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DieseArbeitsmappe"/>
  <xr:revisionPtr revIDLastSave="0" documentId="13_ncr:1_{C03D423F-8F0B-49CC-89E2-864D6E0D9EDF}" xr6:coauthVersionLast="47" xr6:coauthVersionMax="47" xr10:uidLastSave="{00000000-0000-0000-0000-000000000000}"/>
  <bookViews>
    <workbookView xWindow="380" yWindow="380" windowWidth="28800" windowHeight="15370" xr2:uid="{00000000-000D-0000-FFFF-FFFF00000000}"/>
  </bookViews>
  <sheets>
    <sheet name="Tarifrechnung" sheetId="7" r:id="rId1"/>
    <sheet name="Tafeln" sheetId="5" r:id="rId2"/>
  </sheets>
  <functionGroups builtInGroupCount="19"/>
  <definedNames>
    <definedName name="_xleta.MAX" hidden="1" xlm="1">#NAME?</definedName>
    <definedName name="alpha">Tarifrechnung!$E$6</definedName>
    <definedName name="B_xt">Tarifrechnung!$L$5</definedName>
    <definedName name="beta1">Tarifrechnung!$E$7</definedName>
    <definedName name="BGRP">Tarifrechnung!$B$11</definedName>
    <definedName name="BJB">Tarifrechnung!$L$6</definedName>
    <definedName name="gamma1">Tarifrechnung!$E$8</definedName>
    <definedName name="gamma2">Tarifrechnung!$E$9</definedName>
    <definedName name="gamma3">Tarifrechnung!$E$10</definedName>
    <definedName name="GESCHL">Tarifrechnung!$B$5</definedName>
    <definedName name="k">Tarifrechnung!$E$11</definedName>
    <definedName name="m_Tafeln">Tafeln!$B$4:$I$127</definedName>
    <definedName name="MinAlterFlex">Tarifrechnung!$E$13</definedName>
    <definedName name="MinRLZFlex">Tarifrechnung!$E$14</definedName>
    <definedName name="n">Tarifrechnung!$B$6</definedName>
    <definedName name="P_xt">Tarifrechnung!$L$9</definedName>
    <definedName name="ratzu">Tarifrechnung!$E$12</definedName>
    <definedName name="RK">Tarifrechnung!$B$10</definedName>
    <definedName name="StoAb_max">Tarifrechnung!$E$16</definedName>
    <definedName name="StoAb_min">Tarifrechnung!$E$15</definedName>
    <definedName name="StoAb_rel">Tarifrechnung!$E$17</definedName>
    <definedName name="t">Tarifrechnung!$B$7</definedName>
    <definedName name="Tafel">Tarifrechnung!$E$5</definedName>
    <definedName name="v_Tafeln">Tafeln!$B$3:$I$3</definedName>
    <definedName name="v_x">Tafeln!$A$4:$A$127</definedName>
    <definedName name="VS">Tarifrechnung!$B$8</definedName>
    <definedName name="x">Tarifrechnung!$B$4</definedName>
    <definedName name="Zins">Tarifrechnung!$E$4</definedName>
    <definedName name="zw">Tarifrechnung!$B$9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7" l="1"/>
  <c r="E16" i="7"/>
  <c r="E15" i="7"/>
  <c r="I12" i="7"/>
  <c r="H12" i="7"/>
  <c r="E5" i="7"/>
  <c r="E14" i="7"/>
  <c r="E13" i="7"/>
  <c r="E12" i="7"/>
  <c r="E11" i="7"/>
  <c r="E10" i="7"/>
  <c r="E9" i="7"/>
  <c r="E8" i="7"/>
  <c r="E7" i="7"/>
  <c r="E6" i="7"/>
  <c r="E4" i="7"/>
  <c r="G12" i="7"/>
  <c r="B22" i="7" a="1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26" i="7" a="1"/>
  <c r="B44" i="7" a="1"/>
  <c r="C53" i="7" a="1"/>
  <c r="D52" i="7" a="1"/>
  <c r="D44" i="7" a="1"/>
  <c r="C23" i="7" a="1"/>
  <c r="D71" i="7" a="1"/>
  <c r="D56" i="7" a="1"/>
  <c r="D50" i="7" a="1"/>
  <c r="C24" i="7" a="1"/>
  <c r="D46" i="7" a="1"/>
  <c r="C26" i="7" a="1"/>
  <c r="D69" i="7" a="1"/>
  <c r="C41" i="7" a="1"/>
  <c r="C40" i="7" a="1"/>
  <c r="C59" i="7" a="1"/>
  <c r="C39" i="7" a="1"/>
  <c r="D24" i="7" a="1"/>
  <c r="B48" i="7" a="1"/>
  <c r="C60" i="7" a="1"/>
  <c r="C48" i="7" a="1"/>
  <c r="D65" i="7" a="1"/>
  <c r="B30" i="7" a="1"/>
  <c r="D61" i="7" a="1"/>
  <c r="D64" i="7" a="1"/>
  <c r="B51" i="7" a="1"/>
  <c r="C32" i="7" a="1"/>
  <c r="C46" i="7" a="1"/>
  <c r="D60" i="7" a="1"/>
  <c r="C35" i="7" a="1"/>
  <c r="D54" i="7" a="1"/>
  <c r="D35" i="7" a="1"/>
  <c r="C63" i="7" a="1"/>
  <c r="B41" i="7" a="1"/>
  <c r="C43" i="7" a="1"/>
  <c r="C65" i="7" a="1"/>
  <c r="D45" i="7" a="1"/>
  <c r="B28" i="7" a="1"/>
  <c r="B36" i="7" a="1"/>
  <c r="D66" i="7" a="1"/>
  <c r="B21" i="7" a="1"/>
  <c r="D57" i="7" a="1"/>
  <c r="B23" i="7" a="1"/>
  <c r="C67" i="7" a="1"/>
  <c r="D58" i="7" a="1"/>
  <c r="D23" i="7" a="1"/>
  <c r="D47" i="7" a="1"/>
  <c r="B32" i="7" a="1"/>
  <c r="B27" i="7" a="1"/>
  <c r="C54" i="7" a="1"/>
  <c r="C34" i="7" a="1"/>
  <c r="C66" i="7" a="1"/>
  <c r="C50" i="7" a="1"/>
  <c r="C33" i="7" a="1"/>
  <c r="B25" i="7" a="1"/>
  <c r="D42" i="7" a="1"/>
  <c r="B34" i="7" a="1"/>
  <c r="C30" i="7" a="1"/>
  <c r="D41" i="7" a="1"/>
  <c r="D67" i="7" a="1"/>
  <c r="C71" i="7" a="1"/>
  <c r="C31" i="7" a="1"/>
  <c r="D70" i="7" a="1"/>
  <c r="B35" i="7" a="1"/>
  <c r="C52" i="7" a="1"/>
  <c r="D33" i="7" a="1"/>
  <c r="D22" i="7" a="1"/>
  <c r="D36" i="7" a="1"/>
  <c r="C58" i="7" a="1"/>
  <c r="C57" i="7" a="1"/>
  <c r="D62" i="7" a="1"/>
  <c r="D28" i="7" a="1"/>
  <c r="C55" i="7" a="1"/>
  <c r="C64" i="7" a="1"/>
  <c r="D32" i="7" a="1"/>
  <c r="D34" i="7" a="1"/>
  <c r="D49" i="7" a="1"/>
  <c r="D59" i="7" a="1"/>
  <c r="B39" i="7" a="1"/>
  <c r="B37" i="7" a="1"/>
  <c r="B50" i="7" a="1"/>
  <c r="B43" i="7" a="1"/>
  <c r="D40" i="7" a="1"/>
  <c r="D37" i="7" a="1"/>
  <c r="D48" i="7" a="1"/>
  <c r="D53" i="7" a="1"/>
  <c r="C37" i="7" a="1"/>
  <c r="B49" i="7" a="1"/>
  <c r="C47" i="7" a="1"/>
  <c r="B38" i="7" a="1"/>
  <c r="C70" i="7" a="1"/>
  <c r="D29" i="7" a="1"/>
  <c r="C22" i="7" a="1"/>
  <c r="D55" i="7" a="1"/>
  <c r="D21" i="7" a="1"/>
  <c r="C28" i="7" a="1"/>
  <c r="B24" i="7" a="1"/>
  <c r="D27" i="7" a="1"/>
  <c r="D51" i="7" a="1"/>
  <c r="C29" i="7" a="1"/>
  <c r="C61" i="7" a="1"/>
  <c r="C68" i="7" a="1"/>
  <c r="D39" i="7" a="1"/>
  <c r="B40" i="7" a="1"/>
  <c r="C25" i="7" a="1"/>
  <c r="B46" i="7" a="1"/>
  <c r="C45" i="7" a="1"/>
  <c r="D30" i="7" a="1"/>
  <c r="D31" i="7" a="1"/>
  <c r="D43" i="7" a="1"/>
  <c r="C38" i="7" a="1"/>
  <c r="C42" i="7" a="1"/>
  <c r="B47" i="7" a="1"/>
  <c r="D26" i="7" a="1"/>
  <c r="D63" i="7" a="1"/>
  <c r="C49" i="7" a="1"/>
  <c r="B45" i="7" a="1"/>
  <c r="C27" i="7" a="1"/>
  <c r="B33" i="7" a="1"/>
  <c r="C51" i="7" a="1"/>
  <c r="C56" i="7" a="1"/>
  <c r="C21" i="7" a="1"/>
  <c r="C36" i="7" a="1"/>
  <c r="C44" i="7" a="1"/>
  <c r="B29" i="7" a="1"/>
  <c r="L5" i="7" a="1"/>
  <c r="L9" i="7" s="1" a="1"/>
  <c r="D68" i="7" a="1"/>
  <c r="B31" i="7" a="1"/>
  <c r="D25" i="7" a="1"/>
  <c r="D38" i="7" a="1"/>
  <c r="C62" i="7" a="1"/>
  <c r="B42" i="7" a="1"/>
  <c r="C69" i="7" a="1"/>
  <c r="G66" i="7" s="1"/>
  <c r="G63" i="7" s="1"/>
  <c r="G69" i="7" s="1"/>
  <c r="G46" i="7" s="1"/>
  <c r="G52" i="7" s="1"/>
  <c r="G55" i="7" s="1"/>
  <c r="G58" i="7" s="1"/>
  <c r="G61" i="7" s="1"/>
  <c r="G64" i="7" s="1"/>
  <c r="G67" i="7" s="1"/>
  <c r="G70" i="7" s="1"/>
  <c r="G54" i="7" s="1"/>
  <c r="G57" i="7" s="1"/>
  <c r="G53" i="7" s="1"/>
  <c r="G56" i="7" s="1"/>
  <c r="G59" i="7" s="1"/>
  <c r="G62" i="7" s="1"/>
  <c r="G65" i="7" s="1"/>
  <c r="G68" i="7" s="1"/>
  <c r="G71" i="7" s="1"/>
  <c r="G60" i="7" s="1"/>
  <c r="I71" i="7" l="1"/>
  <c r="J71" i="7" s="1"/>
  <c r="I70" i="7"/>
  <c r="J70" i="7" s="1"/>
  <c r="I69" i="7"/>
  <c r="J69" i="7" s="1"/>
  <c r="I68" i="7"/>
  <c r="J68" i="7" s="1"/>
  <c r="I67" i="7"/>
  <c r="J67" i="7" s="1"/>
  <c r="I66" i="7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6" i="7"/>
  <c r="J56" i="7" s="1"/>
  <c r="I55" i="7"/>
  <c r="J55" i="7" s="1"/>
  <c r="I53" i="7"/>
  <c r="J53" i="7" s="1"/>
  <c r="I51" i="7"/>
  <c r="J51" i="7" s="1"/>
  <c r="I50" i="7"/>
  <c r="J50" i="7" s="1"/>
  <c r="I49" i="7"/>
  <c r="J49" i="7" s="1"/>
  <c r="I48" i="7"/>
  <c r="J48" i="7" s="1"/>
  <c r="I46" i="7"/>
  <c r="J46" i="7" s="1"/>
  <c r="I45" i="7"/>
  <c r="I43" i="7"/>
  <c r="I42" i="7"/>
  <c r="I40" i="7"/>
  <c r="I39" i="7"/>
  <c r="I37" i="7"/>
  <c r="I36" i="7"/>
  <c r="I34" i="7"/>
  <c r="I33" i="7"/>
  <c r="I31" i="7"/>
  <c r="I30" i="7"/>
  <c r="I29" i="7"/>
  <c r="I27" i="7"/>
  <c r="I25" i="7"/>
  <c r="I23" i="7"/>
  <c r="I22" i="7"/>
  <c r="I58" i="7"/>
  <c r="J58" i="7" s="1"/>
  <c r="I57" i="7"/>
  <c r="J57" i="7" s="1"/>
  <c r="I54" i="7"/>
  <c r="J54" i="7" s="1"/>
  <c r="I52" i="7"/>
  <c r="J52" i="7" s="1"/>
  <c r="I47" i="7"/>
  <c r="J47" i="7" s="1"/>
  <c r="I44" i="7"/>
  <c r="I41" i="7"/>
  <c r="I38" i="7"/>
  <c r="I35" i="7"/>
  <c r="I32" i="7"/>
  <c r="I28" i="7"/>
  <c r="I26" i="7"/>
  <c r="I24" i="7"/>
  <c r="I21" i="7"/>
  <c r="G42" i="7"/>
  <c r="G47" i="7"/>
  <c r="G44" i="7"/>
  <c r="G49" i="7"/>
  <c r="G43" i="7"/>
  <c r="G45" i="7"/>
  <c r="G48" i="7"/>
  <c r="G50" i="7"/>
  <c r="G51" i="7"/>
  <c r="G21" i="7"/>
  <c r="G41" i="7"/>
  <c r="G35" i="7"/>
  <c r="G23" i="7"/>
  <c r="G32" i="7"/>
  <c r="G39" i="7"/>
  <c r="G28" i="7"/>
  <c r="G27" i="7"/>
  <c r="G22" i="7"/>
  <c r="G33" i="7"/>
  <c r="G25" i="7"/>
  <c r="G34" i="7"/>
  <c r="G29" i="7"/>
  <c r="G38" i="7"/>
  <c r="G36" i="7"/>
  <c r="G30" i="7"/>
  <c r="G37" i="7"/>
  <c r="G26" i="7"/>
  <c r="G24" i="7"/>
  <c r="G40" i="7"/>
  <c r="G31" i="7"/>
  <c r="E60" i="7" a="1"/>
  <c r="E57" i="7" a="1"/>
  <c r="E34" i="7" a="1"/>
  <c r="E46" i="7" a="1"/>
  <c r="E49" i="7" a="1"/>
  <c r="E65" i="7" a="1"/>
  <c r="E41" i="7" a="1"/>
  <c r="E37" i="7" a="1"/>
  <c r="E27" i="7" a="1"/>
  <c r="E50" i="7" a="1"/>
  <c r="E39" i="7" a="1"/>
  <c r="E63" i="7" a="1"/>
  <c r="E30" i="7" a="1"/>
  <c r="E29" i="7" a="1"/>
  <c r="E26" i="7" a="1"/>
  <c r="E40" i="7" a="1"/>
  <c r="E58" i="7" a="1"/>
  <c r="E68" i="7" a="1"/>
  <c r="E62" i="7" a="1"/>
  <c r="E61" i="7" a="1"/>
  <c r="E45" i="7" a="1"/>
  <c r="E67" i="7" a="1"/>
  <c r="E42" i="7" a="1"/>
  <c r="E70" i="7" a="1"/>
  <c r="E53" i="7" a="1"/>
  <c r="E21" i="7" a="1"/>
  <c r="E25" i="7" a="1"/>
  <c r="E32" i="7" a="1"/>
  <c r="E66" i="7" a="1"/>
  <c r="E35" i="7" a="1"/>
  <c r="E69" i="7" a="1"/>
  <c r="E36" i="7" a="1"/>
  <c r="E48" i="7" a="1"/>
  <c r="E44" i="7" a="1"/>
  <c r="E33" i="7" a="1"/>
  <c r="E51" i="7" a="1"/>
  <c r="E22" i="7" a="1"/>
  <c r="E59" i="7" a="1"/>
  <c r="E24" i="7" a="1"/>
  <c r="E56" i="7" a="1"/>
  <c r="E54" i="7" a="1"/>
  <c r="E38" i="7" a="1"/>
  <c r="E28" i="7" a="1"/>
  <c r="E23" i="7" a="1"/>
  <c r="E43" i="7" a="1"/>
  <c r="E52" i="7" a="1"/>
  <c r="E64" i="7" a="1"/>
  <c r="E71" i="7" a="1"/>
  <c r="E31" i="7" a="1"/>
  <c r="E55" i="7" a="1"/>
  <c r="E47" i="7" a="1"/>
  <c r="L6" i="7" l="1"/>
  <c r="L7" i="7" s="1"/>
  <c r="F36" i="7" l="1"/>
  <c r="J36" i="7" s="1"/>
  <c r="F70" i="7"/>
  <c r="F42" i="7"/>
  <c r="J42" i="7" s="1"/>
  <c r="F65" i="7"/>
  <c r="F39" i="7"/>
  <c r="J39" i="7" s="1"/>
  <c r="F32" i="7"/>
  <c r="J32" i="7" s="1"/>
  <c r="F49" i="7"/>
  <c r="F47" i="7"/>
  <c r="F33" i="7"/>
  <c r="J33" i="7" s="1"/>
  <c r="F22" i="7"/>
  <c r="J22" i="7" s="1"/>
  <c r="F38" i="7"/>
  <c r="J38" i="7" s="1"/>
  <c r="F25" i="7"/>
  <c r="J25" i="7" s="1"/>
  <c r="F55" i="7"/>
  <c r="F62" i="7"/>
  <c r="F43" i="7"/>
  <c r="J43" i="7" s="1"/>
  <c r="F58" i="7"/>
  <c r="F24" i="7"/>
  <c r="J24" i="7" s="1"/>
  <c r="F28" i="7"/>
  <c r="J28" i="7" s="1"/>
  <c r="F60" i="7"/>
  <c r="F61" i="7"/>
  <c r="H61" i="7" s="1" a="1"/>
  <c r="F44" i="7"/>
  <c r="J44" i="7" s="1"/>
  <c r="F69" i="7"/>
  <c r="F35" i="7"/>
  <c r="J35" i="7" s="1"/>
  <c r="F53" i="7"/>
  <c r="F66" i="7"/>
  <c r="F48" i="7"/>
  <c r="F34" i="7"/>
  <c r="J34" i="7" s="1"/>
  <c r="F56" i="7"/>
  <c r="H56" i="7" s="1" a="1"/>
  <c r="F59" i="7"/>
  <c r="F50" i="7"/>
  <c r="F30" i="7"/>
  <c r="J30" i="7" s="1"/>
  <c r="F23" i="7"/>
  <c r="J23" i="7" s="1"/>
  <c r="F41" i="7"/>
  <c r="J41" i="7" s="1"/>
  <c r="F68" i="7"/>
  <c r="F37" i="7"/>
  <c r="J37" i="7" s="1"/>
  <c r="F27" i="7"/>
  <c r="J27" i="7" s="1"/>
  <c r="F40" i="7"/>
  <c r="J40" i="7" s="1"/>
  <c r="F29" i="7"/>
  <c r="J29" i="7" s="1"/>
  <c r="F52" i="7"/>
  <c r="H52" i="7" s="1" a="1"/>
  <c r="F31" i="7"/>
  <c r="J31" i="7" s="1"/>
  <c r="F26" i="7"/>
  <c r="J26" i="7" s="1"/>
  <c r="F54" i="7"/>
  <c r="H54" i="7" s="1" a="1"/>
  <c r="F46" i="7"/>
  <c r="H46" i="7" s="1" a="1"/>
  <c r="H53" i="7" a="1"/>
  <c r="H65" i="7" a="1"/>
  <c r="H59" i="7" a="1"/>
  <c r="H34" i="7" a="1"/>
  <c r="K34" i="7" s="1"/>
  <c r="H49" i="7" a="1"/>
  <c r="H69" i="7" a="1"/>
  <c r="H50" i="7" a="1"/>
  <c r="H33" i="7" a="1"/>
  <c r="K33" i="7" s="1"/>
  <c r="H68" i="7" a="1"/>
  <c r="H60" i="7" a="1"/>
  <c r="H70" i="7" a="1"/>
  <c r="H44" i="7" a="1"/>
  <c r="H66" i="7" a="1"/>
  <c r="H48" i="7" a="1"/>
  <c r="H55" i="7" a="1"/>
  <c r="H47" i="7" a="1"/>
  <c r="H62" i="7" a="1"/>
  <c r="H58" i="7" a="1"/>
  <c r="K70" i="7" s="1"/>
  <c r="K68" i="7" s="1"/>
  <c r="K69" i="7" s="1"/>
  <c r="L34" i="7" s="1"/>
  <c r="K62" i="7" s="1"/>
  <c r="K66" i="7" s="1"/>
  <c r="K55" i="7" s="1"/>
  <c r="K53" i="7" s="1"/>
  <c r="F21" i="7"/>
  <c r="J21" i="7" s="1"/>
  <c r="F51" i="7"/>
  <c r="F63" i="7"/>
  <c r="F71" i="7"/>
  <c r="F45" i="7"/>
  <c r="J45" i="7" s="1"/>
  <c r="F64" i="7"/>
  <c r="F67" i="7"/>
  <c r="H67" i="7" s="1" a="1"/>
  <c r="F57" i="7"/>
  <c r="H57" i="7" s="1" a="1"/>
  <c r="H32" i="7" a="1"/>
  <c r="H36" i="7" a="1"/>
  <c r="H25" i="7" a="1"/>
  <c r="H64" i="7" a="1"/>
  <c r="H39" i="7" a="1"/>
  <c r="K39" i="7" s="1"/>
  <c r="H26" i="7" a="1"/>
  <c r="H41" i="7" a="1"/>
  <c r="K41" i="7" s="1"/>
  <c r="H23" i="7" a="1"/>
  <c r="H40" i="7" a="1"/>
  <c r="H29" i="7" a="1"/>
  <c r="H28" i="7" a="1"/>
  <c r="H37" i="7" a="1"/>
  <c r="K37" i="7" s="1"/>
  <c r="H38" i="7" a="1"/>
  <c r="H30" i="7" a="1"/>
  <c r="H27" i="7" a="1"/>
  <c r="H24" i="7" a="1"/>
  <c r="H22" i="7" a="1"/>
  <c r="H43" i="7" a="1"/>
  <c r="H51" i="7" a="1"/>
  <c r="H63" i="7" a="1"/>
  <c r="H71" i="7" a="1"/>
  <c r="L39" i="7" s="1"/>
  <c r="H45" i="7" a="1"/>
  <c r="H21" i="7" a="1"/>
  <c r="H42" i="7" l="1" a="1"/>
  <c r="H35" i="7" a="1"/>
  <c r="H31" i="7" a="1"/>
  <c r="L31" i="7" s="1"/>
  <c r="K45" i="7" s="1"/>
  <c r="L21" i="7" s="1"/>
  <c r="K67" i="7"/>
  <c r="K63" i="7" s="1"/>
  <c r="K57" i="7" s="1"/>
  <c r="K64" i="7" s="1"/>
  <c r="K71" i="7" s="1"/>
  <c r="K51" i="7" s="1"/>
  <c r="K32" i="7"/>
  <c r="L32" i="7"/>
  <c r="K46" i="7"/>
  <c r="K60" i="7" s="1"/>
  <c r="K49" i="7" s="1"/>
  <c r="K54" i="7" s="1"/>
  <c r="K50" i="7" s="1"/>
  <c r="K36" i="7"/>
  <c r="K25" i="7"/>
  <c r="K38" i="7"/>
  <c r="K29" i="7"/>
  <c r="K23" i="7"/>
  <c r="L26" i="7"/>
  <c r="L28" i="7"/>
  <c r="K40" i="7"/>
  <c r="L27" i="7"/>
  <c r="K22" i="7"/>
  <c r="K24" i="7"/>
  <c r="L30" i="7"/>
  <c r="K21" i="7"/>
  <c r="L35" i="7" l="1"/>
  <c r="K44" i="7" s="1"/>
  <c r="L33" i="7" s="1"/>
  <c r="K48" i="7" s="1"/>
  <c r="K61" i="7" s="1"/>
  <c r="K47" i="7" s="1"/>
  <c r="K52" i="7" s="1"/>
  <c r="K35" i="7"/>
  <c r="K28" i="7" s="1"/>
  <c r="K26" i="7" s="1"/>
  <c r="L36" i="7" s="1"/>
  <c r="L22" i="7" s="1"/>
  <c r="L37" i="7" s="1"/>
  <c r="L25" i="7" s="1"/>
  <c r="L23" i="7" s="1"/>
  <c r="L29" i="7" s="1"/>
  <c r="K43" i="7" s="1"/>
  <c r="K31" i="7" s="1"/>
  <c r="L38" i="7" s="1"/>
  <c r="K27" i="7" s="1"/>
  <c r="K30" i="7" s="1"/>
  <c r="L40" i="7" s="1"/>
  <c r="L24" i="7" s="1"/>
  <c r="K42" i="7"/>
  <c r="K59" i="7" s="1"/>
  <c r="K56" i="7" s="1"/>
  <c r="K58" i="7" s="1"/>
  <c r="K65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<sst xmlns="http://schemas.openxmlformats.org/spreadsheetml/2006/main" count="64" uniqueCount="60">
  <si>
    <t>Tarifrechner KLV</t>
  </si>
  <si>
    <t>Pfefferminzia Lebensversicherung AG</t>
  </si>
  <si>
    <t>VBA-Lösung mit KW-Cache</t>
  </si>
  <si>
    <t>Vertragsdaten</t>
  </si>
  <si>
    <t>Tarifdaten</t>
  </si>
  <si>
    <t>Beitragsberechnung</t>
  </si>
  <si>
    <t>Zins</t>
  </si>
  <si>
    <t>MinAlterFlex</t>
  </si>
  <si>
    <t>Sex</t>
  </si>
  <si>
    <t>Tafel</t>
  </si>
  <si>
    <t>MinRLZFlex</t>
  </si>
  <si>
    <t>Bxt</t>
  </si>
  <si>
    <t>alpha</t>
  </si>
  <si>
    <t>BJB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</si>
  <si>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</si>
  <si>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</si>
  <si>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</si>
  <si>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</si>
  <si>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</si>
  <si>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</si>
  <si>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</si>
  <si>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</si>
  <si>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</si>
  <si>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</si>
  <si>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</si>
  <si>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</si>
  <si>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</si>
  <si>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</si>
  <si>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</si>
  <si>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</si>
  <si>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</si>
  <si>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</si>
  <si>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</si>
  <si>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</si>
  <si>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</si>
  <si>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</si>
  <si>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</si>
  <si>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</si>
  <si>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</si>
  <si>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</si>
  <si>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</si>
  <si>
    <t>DAV2008_T_R_M</t>
  </si>
  <si>
    <t>DAV2008_T_R_F</t>
  </si>
  <si>
    <t>DAV2008_T_NR_M</t>
  </si>
  <si>
    <t>DAV2008_T_NR_F</t>
  </si>
  <si>
    <t>Status</t>
  </si>
  <si>
    <t>Tarifart</t>
  </si>
  <si>
    <t>Einzel</t>
  </si>
  <si>
    <t>Kollektiv</t>
  </si>
  <si>
    <t>Haus</t>
  </si>
  <si>
    <t>DAV2008_T</t>
  </si>
  <si>
    <t>U70</t>
  </si>
  <si>
    <t>StoAb_min</t>
  </si>
  <si>
    <t>StoAb_max</t>
  </si>
  <si>
    <t>StoAb_rel</t>
  </si>
  <si>
    <t>KLV U R/NR TG2015</t>
  </si>
  <si>
    <t>Nichtraucher</t>
  </si>
  <si>
    <t>Alter bei Beginn</t>
  </si>
  <si>
    <t>Vertragsdauer</t>
  </si>
  <si>
    <t>Beitragszahlungsdauer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</si>
</sst>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  <numFmt numFmtId="167" formatCode="0.0%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3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44" fontId="0" fillId="0" borderId="0" xfId="2" applyFont="1" applyFill="1"/>
    <xf numFmtId="0" fontId="0" fillId="0" borderId="0" xfId="2" applyNumberFormat="1" applyFont="1" applyFill="1"/>
    <xf numFmtId="10" fontId="0" fillId="0" borderId="0" xfId="0" applyNumberFormat="1"/>
    <xf numFmtId="165" fontId="0" fillId="0" borderId="0" xfId="0" applyNumberFormat="1"/>
    <xf numFmtId="4" fontId="0" fillId="0" borderId="0" xfId="0" applyNumberFormat="1"/>
    <xf numFmtId="9" fontId="0" fillId="0" borderId="0" xfId="1" applyFont="1" applyFill="1"/>
    <xf numFmtId="0" fontId="3" fillId="0" borderId="1" xfId="0" applyFont="1" applyBorder="1" applyAlignment="1">
      <alignment horizontal="right"/>
    </xf>
    <xf numFmtId="10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4" fontId="0" fillId="4" borderId="0" xfId="0" applyNumberFormat="1" applyFill="1"/>
    <xf numFmtId="9" fontId="0" fillId="4" borderId="0" xfId="1" applyFont="1" applyFill="1"/>
    <xf numFmtId="0" fontId="0" fillId="0" borderId="0" xfId="0" applyAlignment="1">
      <alignment horizontal="right"/>
    </xf>
    <xf numFmtId="0" fontId="1" fillId="4" borderId="0" xfId="0" applyFont="1" applyFill="1" applyAlignment="1">
      <alignment horizontal="right"/>
    </xf>
    <xf numFmtId="167" fontId="0" fillId="0" borderId="0" xfId="1" applyNumberFormat="1" applyFont="1" applyFill="1"/>
    <xf numFmtId="167" fontId="0" fillId="4" borderId="0" xfId="1" applyNumberFormat="1" applyFont="1" applyFill="1"/>
    <xf numFmtId="0" fontId="3" fillId="0" borderId="2" xfId="0" applyFont="1" applyBorder="1"/>
    <xf numFmtId="44" fontId="3" fillId="0" borderId="3" xfId="2" applyFont="1" applyBorder="1"/>
    <xf numFmtId="0" fontId="3" fillId="0" borderId="0" xfId="0" applyFont="1" applyAlignment="1">
      <alignment horizontal="center"/>
    </xf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71"/>
  <sheetViews>
    <sheetView tabSelected="1" workbookViewId="0">
      <pane ySplit="20" topLeftCell="A21" activePane="bottomLeft" state="frozen"/>
      <selection pane="bottomLeft" activeCell="B11" sqref="B11"/>
    </sheetView>
  </sheetViews>
  <sheetFormatPr baseColWidth="10" defaultColWidth="11.453125" defaultRowHeight="12.5" x14ac:dyDescent="0.25"/>
  <cols>
    <col min="2" max="2" width="12.81640625" bestFit="1" customWidth="1"/>
    <col min="5" max="5" width="12.453125" customWidth="1"/>
    <col min="6" max="6" width="12.81640625" bestFit="1" customWidth="1"/>
    <col min="8" max="8" width="12.81640625" bestFit="1" customWidth="1"/>
    <col min="9" max="9" width="10.26953125" bestFit="1" customWidth="1"/>
    <col min="10" max="10" width="11.54296875" bestFit="1" customWidth="1"/>
    <col min="11" max="12" width="12.81640625" bestFit="1" customWidth="1"/>
  </cols>
  <sheetData>
    <row r="1" spans="1:12" ht="14" x14ac:dyDescent="0.3">
      <c r="A1" s="5" t="s">
        <v>0</v>
      </c>
      <c r="D1" s="11" t="s">
        <v>1</v>
      </c>
      <c r="E1" s="11"/>
      <c r="F1" s="11"/>
      <c r="K1" s="10" t="s">
        <v>2</v>
      </c>
    </row>
    <row r="2" spans="1:12" ht="13" x14ac:dyDescent="0.3">
      <c r="G2" s="35" t="s">
        <v>55</v>
      </c>
      <c r="H2" s="35"/>
      <c r="I2" s="35"/>
    </row>
    <row r="3" spans="1:12" ht="13" x14ac:dyDescent="0.3">
      <c r="A3" s="4" t="s">
        <v>3</v>
      </c>
      <c r="D3" s="4" t="s">
        <v>4</v>
      </c>
      <c r="G3" s="23" t="s">
        <v>47</v>
      </c>
      <c r="H3" s="23" t="s">
        <v>48</v>
      </c>
      <c r="I3" s="23" t="s">
        <v>49</v>
      </c>
      <c r="K3" s="4" t="s">
        <v>5</v>
      </c>
    </row>
    <row r="4" spans="1:12" x14ac:dyDescent="0.25">
      <c r="A4" t="s">
        <v>57</v>
      </c>
      <c r="B4" s="6">
        <v>45</v>
      </c>
      <c r="D4" t="s">
        <v>6</v>
      </c>
      <c r="E4" s="19">
        <f>_xlfn.XLOOKUP(BGRP,$G$3:$I$3,G4:I4,"?",0)</f>
        <v>1.7500000000000002E-2</v>
      </c>
      <c r="G4" s="24">
        <v>1.7500000000000002E-2</v>
      </c>
      <c r="H4" s="24">
        <v>1.7500000000000002E-2</v>
      </c>
      <c r="I4" s="24">
        <v>1.7500000000000002E-2</v>
      </c>
    </row>
    <row r="5" spans="1:12" x14ac:dyDescent="0.25">
      <c r="A5" t="s">
        <v>8</v>
      </c>
      <c r="B5" s="29" t="s">
        <v>51</v>
      </c>
      <c r="D5" t="s">
        <v>9</v>
      </c>
      <c r="E5" t="str">
        <f>_xlfn.XLOOKUP(BGRP,$G$3:$I$3,G5:I5,"?",0)&amp;"_"&amp;IF(RK="Raucher","R","NR")</f>
        <v>DAV2008_T_NR</v>
      </c>
      <c r="G5" s="30" t="s">
        <v>50</v>
      </c>
      <c r="H5" s="30" t="s">
        <v>50</v>
      </c>
      <c r="I5" s="30" t="s">
        <v>50</v>
      </c>
      <c r="K5" s="1" t="s">
        <v>11</v>
      </c>
      <c r="L5" s="8" cm="1">
        <f t="array" ref="L5">( act_nGrAx(x,n,GESCHL,Tafel,Zins)+Act_Dx(x+n,GESCHL,Tafel,Zins)/Act_Dx(x,GESCHL,Tafel,Zins)+gamma1*Act_axn_k(x,t,GESCHL,Tafel,Zins,1)+gamma2*(Act_axn_k(x,n,GESCHL,Tafel,Zins,1)-Act_axn_k(x,t,GESCHL,Tafel,Zins,1)))/((1-beta1)*Act_axn_k(x,t,GESCHL,Tafel,Zins,1)-alpha*t)</f>
        <v>4.1505101833366247E-2</v>
      </c>
    </row>
    <row r="6" spans="1:12" ht="13" thickBot="1" x14ac:dyDescent="0.3">
      <c r="A6" t="s">
        <v>58</v>
      </c>
      <c r="B6" s="6">
        <v>30</v>
      </c>
      <c r="D6" t="s">
        <v>12</v>
      </c>
      <c r="E6" s="19">
        <f t="shared" ref="E6:E17" si="0">_xlfn.XLOOKUP(BGRP,$G$3:$I$3,G6:I6,"?",0)</f>
        <v>2.5000000000000001E-2</v>
      </c>
      <c r="G6" s="24">
        <v>2.5000000000000001E-2</v>
      </c>
      <c r="H6" s="24">
        <v>1.4999999999999999E-2</v>
      </c>
      <c r="I6" s="24">
        <v>0</v>
      </c>
      <c r="K6" s="1" t="s">
        <v>13</v>
      </c>
      <c r="L6" s="12">
        <f>VS*L5</f>
        <v>4150.5101833366243</v>
      </c>
    </row>
    <row r="7" spans="1:12" ht="13.5" thickBot="1" x14ac:dyDescent="0.35">
      <c r="A7" t="s">
        <v>59</v>
      </c>
      <c r="B7" s="6">
        <v>20</v>
      </c>
      <c r="D7" t="s">
        <v>14</v>
      </c>
      <c r="E7" s="19">
        <f t="shared" si="0"/>
        <v>0.03</v>
      </c>
      <c r="G7" s="24">
        <v>0.03</v>
      </c>
      <c r="H7" s="24">
        <v>1.4999999999999999E-2</v>
      </c>
      <c r="I7" s="24">
        <v>0</v>
      </c>
      <c r="K7" s="33" t="s">
        <v>15</v>
      </c>
      <c r="L7" s="34">
        <f>(1+ratzu)/zw*(L6+k)</f>
        <v>364.21964104195467</v>
      </c>
    </row>
    <row r="8" spans="1:12" x14ac:dyDescent="0.25">
      <c r="A8" t="s">
        <v>16</v>
      </c>
      <c r="B8" s="13">
        <v>100000</v>
      </c>
      <c r="D8" t="s">
        <v>17</v>
      </c>
      <c r="E8" s="20">
        <f t="shared" si="0"/>
        <v>1E-3</v>
      </c>
      <c r="G8" s="26">
        <v>1E-3</v>
      </c>
      <c r="H8" s="26">
        <v>8.0000000000000004E-4</v>
      </c>
      <c r="I8" s="26">
        <v>8.0000000000000004E-4</v>
      </c>
    </row>
    <row r="9" spans="1:12" x14ac:dyDescent="0.25">
      <c r="A9" t="s">
        <v>18</v>
      </c>
      <c r="B9" s="6">
        <v>12</v>
      </c>
      <c r="D9" t="s">
        <v>19</v>
      </c>
      <c r="E9" s="20">
        <f t="shared" si="0"/>
        <v>1.25E-3</v>
      </c>
      <c r="G9" s="26">
        <v>1.25E-3</v>
      </c>
      <c r="H9" s="26">
        <v>1E-3</v>
      </c>
      <c r="I9" s="26">
        <v>1E-3</v>
      </c>
      <c r="K9" s="1" t="s">
        <v>20</v>
      </c>
      <c r="L9" s="8" cm="1">
        <f t="array" ref="L9">(act_nGrAx(x,n,GESCHL,Tafel,Zins)+Act_Dx(x+n,GESCHL,Tafel,Zins)/Act_Dx(x,GESCHL,Tafel,Zins)+t*alpha*B_xt)/Act_axn_k(x,t,GESCHL,Tafel,Zins,1)</f>
        <v>3.8854206410230761E-2</v>
      </c>
    </row>
    <row r="10" spans="1:12" x14ac:dyDescent="0.25">
      <c r="A10" t="s">
        <v>45</v>
      </c>
      <c r="B10" s="7" t="s">
        <v>56</v>
      </c>
      <c r="D10" t="s">
        <v>21</v>
      </c>
      <c r="E10" s="20">
        <f t="shared" si="0"/>
        <v>2.5000000000000001E-3</v>
      </c>
      <c r="G10" s="26">
        <v>2.5000000000000001E-3</v>
      </c>
      <c r="H10" s="26">
        <v>2.5000000000000001E-3</v>
      </c>
      <c r="I10" s="26">
        <v>2.5000000000000001E-3</v>
      </c>
    </row>
    <row r="11" spans="1:12" x14ac:dyDescent="0.25">
      <c r="A11" t="s">
        <v>46</v>
      </c>
      <c r="B11" s="7" t="s">
        <v>47</v>
      </c>
      <c r="D11" t="s">
        <v>22</v>
      </c>
      <c r="E11" s="21">
        <f t="shared" si="0"/>
        <v>12</v>
      </c>
      <c r="G11" s="27">
        <v>12</v>
      </c>
      <c r="H11" s="27">
        <v>12</v>
      </c>
      <c r="I11" s="27">
        <v>0</v>
      </c>
    </row>
    <row r="12" spans="1:12" x14ac:dyDescent="0.25">
      <c r="D12" t="s">
        <v>23</v>
      </c>
      <c r="E12" s="22">
        <f t="shared" si="0"/>
        <v>0.05</v>
      </c>
      <c r="G12" s="28">
        <f>IF(zw=2,2%,IF(zw=4,3%,IF(zw=12,5%,0)))</f>
        <v>0.05</v>
      </c>
      <c r="H12" s="28">
        <f>IF(zw=2,1%,IF(zw=4,1.5%,IF(zw=12,2.5%,0)))</f>
        <v>2.5000000000000001E-2</v>
      </c>
      <c r="I12" s="28">
        <f>IF(zw=2,0%,IF(zw=4,0%,IF(zw=12,0%,0)))</f>
        <v>0</v>
      </c>
    </row>
    <row r="13" spans="1:12" x14ac:dyDescent="0.25">
      <c r="D13" s="1" t="s">
        <v>7</v>
      </c>
      <c r="E13">
        <f t="shared" si="0"/>
        <v>60</v>
      </c>
      <c r="G13" s="25">
        <v>60</v>
      </c>
      <c r="H13" s="25">
        <v>60</v>
      </c>
      <c r="I13" s="25">
        <v>60</v>
      </c>
    </row>
    <row r="14" spans="1:12" x14ac:dyDescent="0.25">
      <c r="D14" s="1" t="s">
        <v>10</v>
      </c>
      <c r="E14">
        <f t="shared" si="0"/>
        <v>5</v>
      </c>
      <c r="G14" s="25">
        <v>5</v>
      </c>
      <c r="H14" s="25">
        <v>5</v>
      </c>
      <c r="I14" s="25">
        <v>5</v>
      </c>
    </row>
    <row r="15" spans="1:12" x14ac:dyDescent="0.25">
      <c r="D15" s="1" t="s">
        <v>52</v>
      </c>
      <c r="E15" s="21">
        <f t="shared" si="0"/>
        <v>50</v>
      </c>
      <c r="G15" s="27">
        <v>50</v>
      </c>
      <c r="H15" s="27">
        <v>50</v>
      </c>
      <c r="I15" s="27">
        <v>0</v>
      </c>
    </row>
    <row r="16" spans="1:12" x14ac:dyDescent="0.25">
      <c r="D16" s="1" t="s">
        <v>53</v>
      </c>
      <c r="E16" s="21">
        <f t="shared" si="0"/>
        <v>200</v>
      </c>
      <c r="G16" s="27">
        <v>200</v>
      </c>
      <c r="H16" s="27">
        <v>200</v>
      </c>
      <c r="I16" s="27">
        <v>0</v>
      </c>
    </row>
    <row r="17" spans="1:12" x14ac:dyDescent="0.25">
      <c r="D17" s="1" t="s">
        <v>54</v>
      </c>
      <c r="E17" s="31">
        <f t="shared" si="0"/>
        <v>5.0000000000000001E-3</v>
      </c>
      <c r="G17" s="32">
        <v>5.0000000000000001E-3</v>
      </c>
      <c r="H17" s="32">
        <v>5.0000000000000001E-3</v>
      </c>
      <c r="I17" s="32">
        <v>0</v>
      </c>
    </row>
    <row r="19" spans="1:12" ht="13" x14ac:dyDescent="0.3">
      <c r="A19" s="4" t="s">
        <v>24</v>
      </c>
    </row>
    <row r="20" spans="1:12" x14ac:dyDescent="0.25">
      <c r="A20" s="2" t="s">
        <v>22</v>
      </c>
      <c r="B20" s="14" t="s">
        <v>25</v>
      </c>
      <c r="C20" s="14" t="s">
        <v>26</v>
      </c>
      <c r="D20" s="14" t="s">
        <v>27</v>
      </c>
      <c r="E20" s="2" t="s">
        <v>28</v>
      </c>
      <c r="F20" s="2" t="s">
        <v>29</v>
      </c>
      <c r="G20" s="2" t="s">
        <v>30</v>
      </c>
      <c r="H20" s="2" t="s">
        <v>31</v>
      </c>
      <c r="I20" s="14" t="s">
        <v>32</v>
      </c>
      <c r="J20" s="14" t="s">
        <v>33</v>
      </c>
      <c r="K20" s="14" t="s">
        <v>34</v>
      </c>
      <c r="L20" s="14" t="s">
        <v>35</v>
      </c>
    </row>
    <row r="21" spans="1:12" x14ac:dyDescent="0.25">
      <c r="A21">
        <v>0</v>
      </c>
      <c r="B21" s="9" cm="1">
        <f t="array" ref="B21">IF(A21&lt;=n,act_nGrAx(x+$A21,MAX(0,n-$A21),GESCHL,Tafel,Zins)+Act_Dx(x+n,GESCHL,Tafel,Zins)/Act_Dx(x+$A21,GESCHL,Tafel,Zins),0)</f>
        <v>0.62271201609290294</v>
      </c>
      <c r="C21" s="16" cm="1">
        <f t="array" ref="C21">Act_axn_k(x+$A21,MAX(0,n-$A21),GESCHL,Tafel,Zins,1)</f>
        <v>21.936601350026457</v>
      </c>
      <c r="D21" s="16" cm="1">
        <f t="array" ref="D21">Act_axn_k(x+$A21,MAX(0,t-$A21),GESCHL,Tafel,Zins,1)</f>
        <v>16.561001406533798</v>
      </c>
      <c r="E21" s="9" cm="1">
        <f t="array" ref="E21">B21-P_xt*D21+gamma2*(C21-Act_axn_k(x,n,GESCHL,Tafel,Zins,1)/Act_axn_k(x,t,GESCHL,Tafel,Zins,1)*D21)</f>
        <v>-2.0752550916683155E-2</v>
      </c>
      <c r="F21" s="12">
        <f t="shared" ref="F21:F71" si="1">VS*E21</f>
        <v>-2075.2550916683153</v>
      </c>
      <c r="G21" s="9">
        <f t="shared" ref="G21" si="2">B21+gamma3*C21</f>
        <v>0.67755351946796905</v>
      </c>
      <c r="H21" s="12" cm="1">
        <f t="array" ref="H21">F21+alpha*t*BJB*Act_axn_k(x+A21,MAX(5-A21,0),GESCHL,Tafel,Zins,1)/Act_axn_k(x,5,GESCHL,Tafel,Zins,1)</f>
        <v>0</v>
      </c>
      <c r="I21" s="15">
        <f t="shared" ref="I21:I52" si="3">IF(AND(x+A21&gt;=MinAlterFlex,A21&gt;=n-MinRLZFlex),1,0)</f>
        <v>0</v>
      </c>
      <c r="J21" s="12">
        <f t="shared" ref="J21:J52" si="4">IF(OR(A21&gt;n,I21),0,MIN(StoAb_max,MAX(StoAb_min,StoAb_rel*(VS-F21))))</f>
        <v>200</v>
      </c>
      <c r="K21" s="12">
        <f>MAX(0,H21-J21)</f>
        <v>0</v>
      </c>
      <c r="L21" s="12">
        <f t="shared" ref="L21:L52" si="5">IFERROR(IF(A21&gt;n,0,IF(A21&lt;t,H21/G21,VS)),0)</f>
        <v>0</v>
      </c>
    </row>
    <row r="22" spans="1:12" x14ac:dyDescent="0.25">
      <c r="A22">
        <v>1</v>
      </c>
      <c r="B22" s="9" cm="1">
        <f t="array" ref="B22">IF(A22&lt;=n,act_nGrAx(x+$A22,MAX(0,n-$A22),GESCHL,Tafel,Zins)+Act_Dx(x+n,GESCHL,Tafel,Zins)/Act_Dx(x+$A22,GESCHL,Tafel,Zins),0)</f>
        <v>0.63303576448872978</v>
      </c>
      <c r="C22" s="16" cm="1">
        <f t="array" ref="C22">Act_axn_k(x+$A22,MAX(0,n-$A22),GESCHL,Tafel,Zins,1)</f>
        <v>21.336349121869166</v>
      </c>
      <c r="D22" s="16" cm="1">
        <f t="array" ref="D22">Act_axn_k(x+$A22,MAX(0,t-$A22),GESCHL,Tafel,Zins,1)</f>
        <v>15.85811150267153</v>
      </c>
      <c r="E22" s="9" cm="1">
        <f t="array" ref="E22">B22-P_xt*D22+gamma2*(C22-Act_axn_k(x,n,GESCHL,Tafel,Zins,1)/Act_axn_k(x,t,GESCHL,Tafel,Zins,1)*D22)</f>
        <v>1.729491619623753E-2</v>
      </c>
      <c r="F22" s="12">
        <f t="shared" si="1"/>
        <v>1729.491619623753</v>
      </c>
      <c r="G22" s="9">
        <f t="shared" ref="G22:G71" si="6">B22+gamma3*C22</f>
        <v>0.6863766372934027</v>
      </c>
      <c r="H22" s="12" cm="1">
        <f t="array" ref="H22">F22+alpha*t*BJB*Act_axn_k(x+A22,MAX(5-A22,0),GESCHL,Tafel,Zins,1)/Act_axn_k(x,5,GESCHL,Tafel,Zins,1)</f>
        <v>3405.0737002727078</v>
      </c>
      <c r="I22" s="15">
        <f t="shared" si="3"/>
        <v>0</v>
      </c>
      <c r="J22" s="12">
        <f t="shared" si="4"/>
        <v>200</v>
      </c>
      <c r="K22" s="12">
        <f t="shared" ref="K22:K71" si="7">MAX(0,H22-J22)</f>
        <v>3205.0737002727078</v>
      </c>
      <c r="L22" s="12">
        <f t="shared" si="5"/>
        <v>4960.9405612929604</v>
      </c>
    </row>
    <row r="23" spans="1:12" x14ac:dyDescent="0.25">
      <c r="A23">
        <v>2</v>
      </c>
      <c r="B23" s="9" cm="1">
        <f t="array" ref="B23">IF(A23&lt;=n,act_nGrAx(x+$A23,MAX(0,n-$A23),GESCHL,Tafel,Zins)+Act_Dx(x+n,GESCHL,Tafel,Zins)/Act_Dx(x+$A23,GESCHL,Tafel,Zins),0)</f>
        <v>0.64348728361696872</v>
      </c>
      <c r="C23" s="16" cm="1">
        <f t="array" ref="C23">Act_axn_k(x+$A23,MAX(0,n-$A23),GESCHL,Tafel,Zins,1)</f>
        <v>20.728667938270203</v>
      </c>
      <c r="D23" s="16" cm="1">
        <f t="array" ref="D23">Act_axn_k(x+$A23,MAX(0,t-$A23),GESCHL,Tafel,Zins,1)</f>
        <v>15.144746861051283</v>
      </c>
      <c r="E23" s="9" cm="1">
        <f t="array" ref="E23">B23-P_xt*D23+gamma2*(C23-Act_axn_k(x,n,GESCHL,Tafel,Zins,1)/Act_axn_k(x,t,GESCHL,Tafel,Zins,1)*D23)</f>
        <v>5.5885198937310886E-2</v>
      </c>
      <c r="F23" s="12">
        <f t="shared" si="1"/>
        <v>5588.5198937310888</v>
      </c>
      <c r="G23" s="9">
        <f t="shared" si="6"/>
        <v>0.69530895346264421</v>
      </c>
      <c r="H23" s="12" cm="1">
        <f t="array" ref="H23">F23+alpha*t*BJB*Act_axn_k(x+A23,MAX(5-A23,0),GESCHL,Tafel,Zins,1)/Act_axn_k(x,5,GESCHL,Tafel,Zins,1)</f>
        <v>6857.0446397364922</v>
      </c>
      <c r="I23" s="15">
        <f t="shared" si="3"/>
        <v>0</v>
      </c>
      <c r="J23" s="12">
        <f t="shared" si="4"/>
        <v>200</v>
      </c>
      <c r="K23" s="12">
        <f t="shared" si="7"/>
        <v>6657.0446397364922</v>
      </c>
      <c r="L23" s="12">
        <f t="shared" si="5"/>
        <v>9861.8673117732124</v>
      </c>
    </row>
    <row r="24" spans="1:12" x14ac:dyDescent="0.25">
      <c r="A24">
        <v>3</v>
      </c>
      <c r="B24" s="9" cm="1">
        <f t="array" ref="B24">IF(A24&lt;=n,act_nGrAx(x+$A24,MAX(0,n-$A24),GESCHL,Tafel,Zins)+Act_Dx(x+n,GESCHL,Tafel,Zins)/Act_Dx(x+$A24,GESCHL,Tafel,Zins),0)</f>
        <v>0.65406852113114011</v>
      </c>
      <c r="C24" s="16" cm="1">
        <f t="array" ref="C24">Act_axn_k(x+$A24,MAX(0,n-$A24),GESCHL,Tafel,Zins,1)</f>
        <v>20.113444557089071</v>
      </c>
      <c r="D24" s="16" cm="1">
        <f t="array" ref="D24">Act_axn_k(x+$A24,MAX(0,t-$A24),GESCHL,Tafel,Zins,1)</f>
        <v>14.420617887330069</v>
      </c>
      <c r="E24" s="9" cm="1">
        <f t="array" ref="E24">B24-P_xt*D24+gamma2*(C24-Act_axn_k(x,n,GESCHL,Tafel,Zins,1)/Act_axn_k(x,t,GESCHL,Tafel,Zins,1)*D24)</f>
        <v>9.5031834859382477E-2</v>
      </c>
      <c r="F24" s="12">
        <f t="shared" si="1"/>
        <v>9503.183485938247</v>
      </c>
      <c r="G24" s="9">
        <f t="shared" si="6"/>
        <v>0.70435213252386275</v>
      </c>
      <c r="H24" s="12" cm="1">
        <f t="array" ref="H24">F24+alpha*t*BJB*Act_axn_k(x+A24,MAX(5-A24,0),GESCHL,Tafel,Zins,1)/Act_axn_k(x,5,GESCHL,Tafel,Zins,1)</f>
        <v>10356.97562177639</v>
      </c>
      <c r="I24" s="15">
        <f t="shared" si="3"/>
        <v>0</v>
      </c>
      <c r="J24" s="12">
        <f t="shared" si="4"/>
        <v>200</v>
      </c>
      <c r="K24" s="12">
        <f t="shared" si="7"/>
        <v>10156.97562177639</v>
      </c>
      <c r="L24" s="12">
        <f t="shared" si="5"/>
        <v>14704.258202022986</v>
      </c>
    </row>
    <row r="25" spans="1:12" x14ac:dyDescent="0.25">
      <c r="A25">
        <v>4</v>
      </c>
      <c r="B25" s="9" cm="1">
        <f t="array" ref="B25">IF(A25&lt;=n,act_nGrAx(x+$A25,MAX(0,n-$A25),GESCHL,Tafel,Zins)+Act_Dx(x+n,GESCHL,Tafel,Zins)/Act_Dx(x+$A25,GESCHL,Tafel,Zins),0)</f>
        <v>0.66478216872424789</v>
      </c>
      <c r="C25" s="16" cm="1">
        <f t="array" ref="C25">Act_axn_k(x+$A25,MAX(0,n-$A25),GESCHL,Tafel,Zins,1)</f>
        <v>19.490522475604042</v>
      </c>
      <c r="D25" s="16" cm="1">
        <f t="array" ref="D25">Act_axn_k(x+$A25,MAX(0,t-$A25),GESCHL,Tafel,Zins,1)</f>
        <v>13.685385373013975</v>
      </c>
      <c r="E25" s="9" cm="1">
        <f t="array" ref="E25">B25-P_xt*D25+gamma2*(C25-Act_axn_k(x,n,GESCHL,Tafel,Zins,1)/Act_axn_k(x,t,GESCHL,Tafel,Zins,1)*D25)</f>
        <v>0.13475106134576764</v>
      </c>
      <c r="F25" s="12">
        <f t="shared" si="1"/>
        <v>13475.106134576765</v>
      </c>
      <c r="G25" s="9">
        <f t="shared" si="6"/>
        <v>0.71350847491325797</v>
      </c>
      <c r="H25" s="12" cm="1">
        <f t="array" ref="H25">F25+alpha*t*BJB*Act_axn_k(x+A25,MAX(5-A25,0),GESCHL,Tafel,Zins,1)/Act_axn_k(x,5,GESCHL,Tafel,Zins,1)</f>
        <v>13906.172061012627</v>
      </c>
      <c r="I25" s="15">
        <f t="shared" si="3"/>
        <v>0</v>
      </c>
      <c r="J25" s="12">
        <f t="shared" si="4"/>
        <v>200</v>
      </c>
      <c r="K25" s="12">
        <f t="shared" si="7"/>
        <v>13706.172061012627</v>
      </c>
      <c r="L25" s="12">
        <f t="shared" si="5"/>
        <v>19489.848474053815</v>
      </c>
    </row>
    <row r="26" spans="1:12" x14ac:dyDescent="0.25">
      <c r="A26">
        <v>5</v>
      </c>
      <c r="B26" s="9" cm="1">
        <f t="array" ref="B26">IF(A26&lt;=n,act_nGrAx(x+$A26,MAX(0,n-$A26),GESCHL,Tafel,Zins)+Act_Dx(x+n,GESCHL,Tafel,Zins)/Act_Dx(x+$A26,GESCHL,Tafel,Zins),0)</f>
        <v>0.67563055825846585</v>
      </c>
      <c r="C26" s="16" cm="1">
        <f t="array" ref="C26">Act_axn_k(x+$A26,MAX(0,n-$A26),GESCHL,Tafel,Zins,1)</f>
        <v>18.85976611268589</v>
      </c>
      <c r="D26" s="16" cm="1">
        <f t="array" ref="D26">Act_axn_k(x+$A26,MAX(0,t-$A26),GESCHL,Tafel,Zins,1)</f>
        <v>12.938704219958213</v>
      </c>
      <c r="E26" s="9" cm="1">
        <f t="array" ref="E26">B26-P_xt*D26+gamma2*(C26-Act_axn_k(x,n,GESCHL,Tafel,Zins,1)/Act_axn_k(x,t,GESCHL,Tafel,Zins,1)*D26)</f>
        <v>0.17505902069039758</v>
      </c>
      <c r="F26" s="12">
        <f t="shared" si="1"/>
        <v>17505.902069039759</v>
      </c>
      <c r="G26" s="9">
        <f t="shared" si="6"/>
        <v>0.72277997354018053</v>
      </c>
      <c r="H26" s="12" cm="1">
        <f t="array" ref="H26">F26+alpha*t*BJB*Act_axn_k(x+A26,MAX(5-A26,0),GESCHL,Tafel,Zins,1)/Act_axn_k(x,5,GESCHL,Tafel,Zins,1)</f>
        <v>17505.902069039759</v>
      </c>
      <c r="I26" s="15">
        <f t="shared" si="3"/>
        <v>0</v>
      </c>
      <c r="J26" s="12">
        <f t="shared" si="4"/>
        <v>200</v>
      </c>
      <c r="K26" s="12">
        <f t="shared" si="7"/>
        <v>17305.902069039759</v>
      </c>
      <c r="L26" s="12">
        <f t="shared" si="5"/>
        <v>24220.236738568929</v>
      </c>
    </row>
    <row r="27" spans="1:12" x14ac:dyDescent="0.25">
      <c r="A27">
        <v>6</v>
      </c>
      <c r="B27" s="9" cm="1">
        <f t="array" ref="B27">IF(A27&lt;=n,act_nGrAx(x+$A27,MAX(0,n-$A27),GESCHL,Tafel,Zins)+Act_Dx(x+n,GESCHL,Tafel,Zins)/Act_Dx(x+$A27,GESCHL,Tafel,Zins),0)</f>
        <v>0.68661572742198795</v>
      </c>
      <c r="C27" s="16" cm="1">
        <f t="array" ref="C27">Act_axn_k(x+$A27,MAX(0,n-$A27),GESCHL,Tafel,Zins,1)</f>
        <v>18.221056991321088</v>
      </c>
      <c r="D27" s="16" cm="1">
        <f t="array" ref="D27">Act_axn_k(x+$A27,MAX(0,t-$A27),GESCHL,Tafel,Zins,1)</f>
        <v>12.180216057805332</v>
      </c>
      <c r="E27" s="9" cm="1">
        <f t="array" ref="E27">B27-P_xt*D27+gamma2*(C27-Act_axn_k(x,n,GESCHL,Tafel,Zins,1)/Act_axn_k(x,t,GESCHL,Tafel,Zins,1)*D27)</f>
        <v>0.21597212005002325</v>
      </c>
      <c r="F27" s="12">
        <f t="shared" si="1"/>
        <v>21597.212005002326</v>
      </c>
      <c r="G27" s="9">
        <f t="shared" si="6"/>
        <v>0.73216836990029066</v>
      </c>
      <c r="H27" s="12" cm="1">
        <f t="array" ref="H27">F27+alpha*t*BJB*Act_axn_k(x+A27,MAX(5-A27,0),GESCHL,Tafel,Zins,1)/Act_axn_k(x,5,GESCHL,Tafel,Zins,1)</f>
        <v>21597.212005002326</v>
      </c>
      <c r="I27" s="15">
        <f t="shared" si="3"/>
        <v>0</v>
      </c>
      <c r="J27" s="12">
        <f t="shared" si="4"/>
        <v>200</v>
      </c>
      <c r="K27" s="12">
        <f t="shared" si="7"/>
        <v>21397.212005002326</v>
      </c>
      <c r="L27" s="12">
        <f t="shared" si="5"/>
        <v>29497.603137299571</v>
      </c>
    </row>
    <row r="28" spans="1:12" x14ac:dyDescent="0.25">
      <c r="A28">
        <v>7</v>
      </c>
      <c r="B28" s="9" cm="1">
        <f t="array" ref="B28">IF(A28&lt;=n,act_nGrAx(x+$A28,MAX(0,n-$A28),GESCHL,Tafel,Zins)+Act_Dx(x+n,GESCHL,Tafel,Zins)/Act_Dx(x+$A28,GESCHL,Tafel,Zins),0)</f>
        <v>0.69773643979740207</v>
      </c>
      <c r="C28" s="16" cm="1">
        <f t="array" ref="C28">Act_axn_k(x+$A28,MAX(0,n-$A28),GESCHL,Tafel,Zins,1)</f>
        <v>17.574467000350651</v>
      </c>
      <c r="D28" s="16" cm="1">
        <f t="array" ref="D28">Act_axn_k(x+$A28,MAX(0,t-$A28),GESCHL,Tafel,Zins,1)</f>
        <v>11.409656112497256</v>
      </c>
      <c r="E28" s="9" cm="1">
        <f t="array" ref="E28">B28-P_xt*D28+gamma2*(C28-Act_axn_k(x,n,GESCHL,Tafel,Zins,1)/Act_axn_k(x,t,GESCHL,Tafel,Zins,1)*D28)</f>
        <v>0.25749993885181444</v>
      </c>
      <c r="F28" s="12">
        <f t="shared" si="1"/>
        <v>25749.993885181444</v>
      </c>
      <c r="G28" s="9">
        <f t="shared" si="6"/>
        <v>0.74167260729827866</v>
      </c>
      <c r="H28" s="12" cm="1">
        <f t="array" ref="H28">F28+alpha*t*BJB*Act_axn_k(x+A28,MAX(5-A28,0),GESCHL,Tafel,Zins,1)/Act_axn_k(x,5,GESCHL,Tafel,Zins,1)</f>
        <v>25749.993885181444</v>
      </c>
      <c r="I28" s="15">
        <f t="shared" si="3"/>
        <v>0</v>
      </c>
      <c r="J28" s="12">
        <f t="shared" si="4"/>
        <v>200</v>
      </c>
      <c r="K28" s="12">
        <f t="shared" si="7"/>
        <v>25549.993885181444</v>
      </c>
      <c r="L28" s="12">
        <f t="shared" si="5"/>
        <v>34718.814786731855</v>
      </c>
    </row>
    <row r="29" spans="1:12" x14ac:dyDescent="0.25">
      <c r="A29">
        <v>8</v>
      </c>
      <c r="B29" s="9" cm="1">
        <f t="array" ref="B29">IF(A29&lt;=n,act_nGrAx(x+$A29,MAX(0,n-$A29),GESCHL,Tafel,Zins)+Act_Dx(x+n,GESCHL,Tafel,Zins)/Act_Dx(x+$A29,GESCHL,Tafel,Zins),0)</f>
        <v>0.70899243909712095</v>
      </c>
      <c r="C29" s="16" cm="1">
        <f t="array" ref="C29">Act_axn_k(x+$A29,MAX(0,n-$A29),GESCHL,Tafel,Zins,1)</f>
        <v>16.920011041067092</v>
      </c>
      <c r="D29" s="16" cm="1">
        <f t="array" ref="D29">Act_axn_k(x+$A29,MAX(0,t-$A29),GESCHL,Tafel,Zins,1)</f>
        <v>10.626676342197845</v>
      </c>
      <c r="E29" s="9" cm="1">
        <f t="array" ref="E29">B29-P_xt*D29+gamma2*(C29-Act_axn_k(x,n,GESCHL,Tafel,Zins,1)/Act_axn_k(x,t,GESCHL,Tafel,Zins,1)*D29)</f>
        <v>0.29965633859175422</v>
      </c>
      <c r="F29" s="17">
        <f t="shared" si="1"/>
        <v>29965.633859175421</v>
      </c>
      <c r="G29" s="9">
        <f t="shared" si="6"/>
        <v>0.75129246669978866</v>
      </c>
      <c r="H29" s="17" cm="1">
        <f t="array" ref="H29">F29+alpha*t*BJB*Act_axn_k(x+A29,MAX(5-A29,0),GESCHL,Tafel,Zins,1)/Act_axn_k(x,5,GESCHL,Tafel,Zins,1)</f>
        <v>29965.633859175421</v>
      </c>
      <c r="I29" s="18">
        <f t="shared" si="3"/>
        <v>0</v>
      </c>
      <c r="J29" s="17">
        <f t="shared" si="4"/>
        <v>200</v>
      </c>
      <c r="K29" s="17">
        <f t="shared" si="7"/>
        <v>29765.633859175421</v>
      </c>
      <c r="L29" s="17">
        <f t="shared" si="5"/>
        <v>39885.444334089778</v>
      </c>
    </row>
    <row r="30" spans="1:12" x14ac:dyDescent="0.25">
      <c r="A30">
        <v>9</v>
      </c>
      <c r="B30" s="9" cm="1">
        <f t="array" ref="B30">IF(A30&lt;=n,act_nGrAx(x+$A30,MAX(0,n-$A30),GESCHL,Tafel,Zins)+Act_Dx(x+n,GESCHL,Tafel,Zins)/Act_Dx(x+$A30,GESCHL,Tafel,Zins),0)</f>
        <v>0.72038326012349918</v>
      </c>
      <c r="C30" s="16" cm="1">
        <f t="array" ref="C30">Act_axn_k(x+$A30,MAX(0,n-$A30),GESCHL,Tafel,Zins,1)</f>
        <v>16.257716161390491</v>
      </c>
      <c r="D30" s="16" cm="1">
        <f t="array" ref="D30">Act_axn_k(x+$A30,MAX(0,t-$A30),GESCHL,Tafel,Zins,1)</f>
        <v>9.8308833546220313</v>
      </c>
      <c r="E30" s="9" cm="1">
        <f t="array" ref="E30">B30-P_xt*D30+gamma2*(C30-Act_axn_k(x,n,GESCHL,Tafel,Zins,1)/Act_axn_k(x,t,GESCHL,Tafel,Zins,1)*D30)</f>
        <v>0.34245682418341516</v>
      </c>
      <c r="F30" s="12">
        <f t="shared" si="1"/>
        <v>34245.682418341516</v>
      </c>
      <c r="G30" s="9">
        <f t="shared" si="6"/>
        <v>0.76102755052697546</v>
      </c>
      <c r="H30" s="12" cm="1">
        <f t="array" ref="H30">F30+alpha*t*BJB*Act_axn_k(x+A30,MAX(5-A30,0),GESCHL,Tafel,Zins,1)/Act_axn_k(x,5,GESCHL,Tafel,Zins,1)</f>
        <v>34245.682418341516</v>
      </c>
      <c r="I30" s="15">
        <f t="shared" si="3"/>
        <v>0</v>
      </c>
      <c r="J30" s="12">
        <f t="shared" si="4"/>
        <v>200</v>
      </c>
      <c r="K30" s="12">
        <f t="shared" si="7"/>
        <v>34045.682418341516</v>
      </c>
      <c r="L30" s="12">
        <f t="shared" si="5"/>
        <v>44999.267627864465</v>
      </c>
    </row>
    <row r="31" spans="1:12" x14ac:dyDescent="0.25">
      <c r="A31">
        <v>10</v>
      </c>
      <c r="B31" s="9" cm="1">
        <f t="array" ref="B31">IF(A31&lt;=n,act_nGrAx(x+$A31,MAX(0,n-$A31),GESCHL,Tafel,Zins)+Act_Dx(x+n,GESCHL,Tafel,Zins)/Act_Dx(x+$A31,GESCHL,Tafel,Zins),0)</f>
        <v>0.73191115083774705</v>
      </c>
      <c r="C31" s="16" cm="1">
        <f t="array" ref="C31">Act_axn_k(x+$A31,MAX(0,n-$A31),GESCHL,Tafel,Zins,1)</f>
        <v>15.587451658433544</v>
      </c>
      <c r="D31" s="16" cm="1">
        <f t="array" ref="D31">Act_axn_k(x+$A31,MAX(0,t-$A31),GESCHL,Tafel,Zins,1)</f>
        <v>9.0217281495746278</v>
      </c>
      <c r="E31" s="9" cm="1">
        <f t="array" ref="E31">B31-P_xt*D31+gamma2*(C31-Act_axn_k(x,n,GESCHL,Tafel,Zins,1)/Act_axn_k(x,t,GESCHL,Tafel,Zins,1)*D31)</f>
        <v>0.38592572017918475</v>
      </c>
      <c r="F31" s="12">
        <f t="shared" si="1"/>
        <v>38592.572017918472</v>
      </c>
      <c r="G31" s="9">
        <f t="shared" si="6"/>
        <v>0.77087977998383095</v>
      </c>
      <c r="H31" s="12" cm="1">
        <f t="array" ref="H31">F31+alpha*t*BJB*Act_axn_k(x+A31,MAX(5-A31,0),GESCHL,Tafel,Zins,1)/Act_axn_k(x,5,GESCHL,Tafel,Zins,1)</f>
        <v>38592.572017918472</v>
      </c>
      <c r="I31" s="15">
        <f t="shared" si="3"/>
        <v>0</v>
      </c>
      <c r="J31" s="12">
        <f t="shared" si="4"/>
        <v>200</v>
      </c>
      <c r="K31" s="12">
        <f t="shared" si="7"/>
        <v>38392.572017918472</v>
      </c>
      <c r="L31" s="12">
        <f t="shared" si="5"/>
        <v>50063.022821441686</v>
      </c>
    </row>
    <row r="32" spans="1:12" x14ac:dyDescent="0.25">
      <c r="A32">
        <v>11</v>
      </c>
      <c r="B32" s="9" cm="1">
        <f t="array" ref="B32">IF(A32&lt;=n,act_nGrAx(x+$A32,MAX(0,n-$A32),GESCHL,Tafel,Zins)+Act_Dx(x+n,GESCHL,Tafel,Zins)/Act_Dx(x+$A32,GESCHL,Tafel,Zins),0)</f>
        <v>0.7435780052568095</v>
      </c>
      <c r="C32" s="16" cm="1">
        <f t="array" ref="C32">Act_axn_k(x+$A32,MAX(0,n-$A32),GESCHL,Tafel,Zins,1)</f>
        <v>14.909107408639382</v>
      </c>
      <c r="D32" s="16" cm="1">
        <f t="array" ref="D32">Act_axn_k(x+$A32,MAX(0,t-$A32),GESCHL,Tafel,Zins,1)</f>
        <v>8.198608597669006</v>
      </c>
      <c r="E32" s="9" cm="1">
        <f t="array" ref="E32">B32-P_xt*D32+gamma2*(C32-Act_axn_k(x,n,GESCHL,Tafel,Zins,1)/Act_axn_k(x,t,GESCHL,Tafel,Zins,1)*D32)</f>
        <v>0.43008917517217221</v>
      </c>
      <c r="F32" s="12">
        <f t="shared" si="1"/>
        <v>43008.917517217218</v>
      </c>
      <c r="G32" s="9">
        <f t="shared" si="6"/>
        <v>0.78085077377840795</v>
      </c>
      <c r="H32" s="12" cm="1">
        <f t="array" ref="H32">F32+alpha*t*BJB*Act_axn_k(x+A32,MAX(5-A32,0),GESCHL,Tafel,Zins,1)/Act_axn_k(x,5,GESCHL,Tafel,Zins,1)</f>
        <v>43008.917517217218</v>
      </c>
      <c r="I32" s="15">
        <f t="shared" si="3"/>
        <v>0</v>
      </c>
      <c r="J32" s="12">
        <f t="shared" si="4"/>
        <v>200</v>
      </c>
      <c r="K32" s="12">
        <f t="shared" si="7"/>
        <v>42808.917517217218</v>
      </c>
      <c r="L32" s="12">
        <f t="shared" si="5"/>
        <v>55079.56060426779</v>
      </c>
    </row>
    <row r="33" spans="1:12" x14ac:dyDescent="0.25">
      <c r="A33">
        <v>12</v>
      </c>
      <c r="B33" s="9" cm="1">
        <f t="array" ref="B33">IF(A33&lt;=n,act_nGrAx(x+$A33,MAX(0,n-$A33),GESCHL,Tafel,Zins)+Act_Dx(x+n,GESCHL,Tafel,Zins)/Act_Dx(x+$A33,GESCHL,Tafel,Zins),0)</f>
        <v>0.75538562547847388</v>
      </c>
      <c r="C33" s="16" cm="1">
        <f t="array" ref="C33">Act_axn_k(x+$A33,MAX(0,n-$A33),GESCHL,Tafel,Zins,1)</f>
        <v>14.222578632894082</v>
      </c>
      <c r="D33" s="16" cm="1">
        <f t="array" ref="D33">Act_axn_k(x+$A33,MAX(0,t-$A33),GESCHL,Tafel,Zins,1)</f>
        <v>7.3608445042405561</v>
      </c>
      <c r="E33" s="9" cm="1">
        <f t="array" ref="E33">B33-P_xt*D33+gamma2*(C33-Act_axn_k(x,n,GESCHL,Tafel,Zins,1)/Act_axn_k(x,t,GESCHL,Tafel,Zins,1)*D33)</f>
        <v>0.47497641493729509</v>
      </c>
      <c r="F33" s="12">
        <f t="shared" si="1"/>
        <v>47497.641493729512</v>
      </c>
      <c r="G33" s="9">
        <f t="shared" si="6"/>
        <v>0.7909420720607091</v>
      </c>
      <c r="H33" s="12" cm="1">
        <f t="array" ref="H33">F33+alpha*t*BJB*Act_axn_k(x+A33,MAX(5-A33,0),GESCHL,Tafel,Zins,1)/Act_axn_k(x,5,GESCHL,Tafel,Zins,1)</f>
        <v>47497.641493729512</v>
      </c>
      <c r="I33" s="15">
        <f t="shared" si="3"/>
        <v>0</v>
      </c>
      <c r="J33" s="12">
        <f t="shared" si="4"/>
        <v>200</v>
      </c>
      <c r="K33" s="12">
        <f t="shared" si="7"/>
        <v>47297.641493729512</v>
      </c>
      <c r="L33" s="12">
        <f t="shared" si="5"/>
        <v>60051.985058753846</v>
      </c>
    </row>
    <row r="34" spans="1:12" x14ac:dyDescent="0.25">
      <c r="A34">
        <v>13</v>
      </c>
      <c r="B34" s="9" cm="1">
        <f t="array" ref="B34">IF(A34&lt;=n,act_nGrAx(x+$A34,MAX(0,n-$A34),GESCHL,Tafel,Zins)+Act_Dx(x+n,GESCHL,Tafel,Zins)/Act_Dx(x+$A34,GESCHL,Tafel,Zins),0)</f>
        <v>0.7673356199317618</v>
      </c>
      <c r="C34" s="16" cm="1">
        <f t="array" ref="C34">Act_axn_k(x+$A34,MAX(0,n-$A34),GESCHL,Tafel,Zins,1)</f>
        <v>13.527771812538671</v>
      </c>
      <c r="D34" s="16" cm="1">
        <f t="array" ref="D34">Act_axn_k(x+$A34,MAX(0,t-$A34),GESCHL,Tafel,Zins,1)</f>
        <v>6.5076605235187186</v>
      </c>
      <c r="E34" s="9" cm="1">
        <f t="array" ref="E34">B34-P_xt*D34+gamma2*(C34-Act_axn_k(x,n,GESCHL,Tafel,Zins,1)/Act_axn_k(x,t,GESCHL,Tafel,Zins,1)*D34)</f>
        <v>0.5206203402227022</v>
      </c>
      <c r="F34" s="12">
        <f t="shared" si="1"/>
        <v>52062.034022270222</v>
      </c>
      <c r="G34" s="9">
        <f t="shared" si="6"/>
        <v>0.80115504946310845</v>
      </c>
      <c r="H34" s="12" cm="1">
        <f t="array" ref="H34">F34+alpha*t*BJB*Act_axn_k(x+A34,MAX(5-A34,0),GESCHL,Tafel,Zins,1)/Act_axn_k(x,5,GESCHL,Tafel,Zins,1)</f>
        <v>52062.034022270222</v>
      </c>
      <c r="I34" s="15">
        <f t="shared" si="3"/>
        <v>0</v>
      </c>
      <c r="J34" s="12">
        <f t="shared" si="4"/>
        <v>200</v>
      </c>
      <c r="K34" s="12">
        <f t="shared" si="7"/>
        <v>51862.034022270222</v>
      </c>
      <c r="L34" s="12">
        <f t="shared" si="5"/>
        <v>64983.718266719319</v>
      </c>
    </row>
    <row r="35" spans="1:12" x14ac:dyDescent="0.25">
      <c r="A35">
        <v>14</v>
      </c>
      <c r="B35" s="9" cm="1">
        <f t="array" ref="B35">IF(A35&lt;=n,act_nGrAx(x+$A35,MAX(0,n-$A35),GESCHL,Tafel,Zins)+Act_Dx(x+n,GESCHL,Tafel,Zins)/Act_Dx(x+$A35,GESCHL,Tafel,Zins),0)</f>
        <v>0.77943116196296192</v>
      </c>
      <c r="C35" s="16" cm="1">
        <f t="array" ref="C35">Act_axn_k(x+$A35,MAX(0,n-$A35),GESCHL,Tafel,Zins,1)</f>
        <v>12.824502440153214</v>
      </c>
      <c r="D35" s="16" cm="1">
        <f t="array" ref="D35">Act_axn_k(x+$A35,MAX(0,t-$A35),GESCHL,Tafel,Zins,1)</f>
        <v>5.6381140142341177</v>
      </c>
      <c r="E35" s="9" cm="1">
        <f t="array" ref="E35">B35-P_xt*D35+gamma2*(C35-Act_axn_k(x,n,GESCHL,Tafel,Zins,1)/Act_axn_k(x,t,GESCHL,Tafel,Zins,1)*D35)</f>
        <v>0.56706208008994596</v>
      </c>
      <c r="F35" s="12">
        <f t="shared" si="1"/>
        <v>56706.208008994596</v>
      </c>
      <c r="G35" s="9">
        <f t="shared" si="6"/>
        <v>0.81149241806334493</v>
      </c>
      <c r="H35" s="12" cm="1">
        <f t="array" ref="H35">F35+alpha*t*BJB*Act_axn_k(x+A35,MAX(5-A35,0),GESCHL,Tafel,Zins,1)/Act_axn_k(x,5,GESCHL,Tafel,Zins,1)</f>
        <v>56706.208008994596</v>
      </c>
      <c r="I35" s="15">
        <f t="shared" si="3"/>
        <v>0</v>
      </c>
      <c r="J35" s="12">
        <f t="shared" si="4"/>
        <v>200</v>
      </c>
      <c r="K35" s="12">
        <f t="shared" si="7"/>
        <v>56506.208008994596</v>
      </c>
      <c r="L35" s="12">
        <f t="shared" si="5"/>
        <v>69878.91291002564</v>
      </c>
    </row>
    <row r="36" spans="1:12" x14ac:dyDescent="0.25">
      <c r="A36">
        <v>15</v>
      </c>
      <c r="B36" s="9" cm="1">
        <f t="array" ref="B36">IF(A36&lt;=n,act_nGrAx(x+$A36,MAX(0,n-$A36),GESCHL,Tafel,Zins)+Act_Dx(x+n,GESCHL,Tafel,Zins)/Act_Dx(x+$A36,GESCHL,Tafel,Zins),0)</f>
        <v>0.79167253838552909</v>
      </c>
      <c r="C36" s="16" cm="1">
        <f t="array" ref="C36">Act_axn_k(x+$A36,MAX(0,n-$A36),GESCHL,Tafel,Zins,1)</f>
        <v>12.112753839584109</v>
      </c>
      <c r="D36" s="16" cm="1">
        <f t="array" ref="D36">Act_axn_k(x+$A36,MAX(0,t-$A36),GESCHL,Tafel,Zins,1)</f>
        <v>4.7511794782643912</v>
      </c>
      <c r="E36" s="9" cm="1">
        <f t="array" ref="E36">B36-P_xt*D36+gamma2*(C36-Act_axn_k(x,n,GESCHL,Tafel,Zins,1)/Act_axn_k(x,t,GESCHL,Tafel,Zins,1)*D36)</f>
        <v>0.61434344338369851</v>
      </c>
      <c r="F36" s="12">
        <f t="shared" si="1"/>
        <v>61434.344338369854</v>
      </c>
      <c r="G36" s="9">
        <f t="shared" si="6"/>
        <v>0.8219544229844894</v>
      </c>
      <c r="H36" s="12" cm="1">
        <f t="array" ref="H36">F36+alpha*t*BJB*Act_axn_k(x+A36,MAX(5-A36,0),GESCHL,Tafel,Zins,1)/Act_axn_k(x,5,GESCHL,Tafel,Zins,1)</f>
        <v>61434.344338369854</v>
      </c>
      <c r="I36" s="15">
        <f t="shared" si="3"/>
        <v>0</v>
      </c>
      <c r="J36" s="12">
        <f t="shared" si="4"/>
        <v>192.82827830815074</v>
      </c>
      <c r="K36" s="12">
        <f t="shared" si="7"/>
        <v>61241.516060061702</v>
      </c>
      <c r="L36" s="12">
        <f t="shared" si="5"/>
        <v>74741.789350440842</v>
      </c>
    </row>
    <row r="37" spans="1:12" x14ac:dyDescent="0.25">
      <c r="A37">
        <v>16</v>
      </c>
      <c r="B37" s="9" cm="1">
        <f t="array" ref="B37">IF(A37&lt;=n,act_nGrAx(x+$A37,MAX(0,n-$A37),GESCHL,Tafel,Zins)+Act_Dx(x+n,GESCHL,Tafel,Zins)/Act_Dx(x+$A37,GESCHL,Tafel,Zins),0)</f>
        <v>0.80406019839224252</v>
      </c>
      <c r="C37" s="16" cm="1">
        <f t="array" ref="C37">Act_axn_k(x+$A37,MAX(0,n-$A37),GESCHL,Tafel,Zins,1)</f>
        <v>11.392499893479515</v>
      </c>
      <c r="D37" s="16" cm="1">
        <f t="array" ref="D37">Act_axn_k(x+$A37,MAX(0,t-$A37),GESCHL,Tafel,Zins,1)</f>
        <v>3.8456095062885747</v>
      </c>
      <c r="E37" s="9" cm="1">
        <f t="array" ref="E37">B37-P_xt*D37+gamma2*(C37-Act_axn_k(x,n,GESCHL,Tafel,Zins,1)/Act_axn_k(x,t,GESCHL,Tafel,Zins,1)*D37)</f>
        <v>0.66251537913774727</v>
      </c>
      <c r="F37" s="12">
        <f t="shared" si="1"/>
        <v>66251.537913774722</v>
      </c>
      <c r="G37" s="9">
        <f t="shared" si="6"/>
        <v>0.83254144812594133</v>
      </c>
      <c r="H37" s="12" cm="1">
        <f t="array" ref="H37">F37+alpha*t*BJB*Act_axn_k(x+A37,MAX(5-A37,0),GESCHL,Tafel,Zins,1)/Act_axn_k(x,5,GESCHL,Tafel,Zins,1)</f>
        <v>66251.537913774722</v>
      </c>
      <c r="I37" s="15">
        <f t="shared" si="3"/>
        <v>0</v>
      </c>
      <c r="J37" s="12">
        <f t="shared" si="4"/>
        <v>168.74231043112638</v>
      </c>
      <c r="K37" s="12">
        <f t="shared" si="7"/>
        <v>66082.795603343591</v>
      </c>
      <c r="L37" s="12">
        <f t="shared" si="5"/>
        <v>79577.464957339427</v>
      </c>
    </row>
    <row r="38" spans="1:12" x14ac:dyDescent="0.25">
      <c r="A38">
        <v>17</v>
      </c>
      <c r="B38" s="9" cm="1">
        <f t="array" ref="B38">IF(A38&lt;=n,act_nGrAx(x+$A38,MAX(0,n-$A38),GESCHL,Tafel,Zins)+Act_Dx(x+n,GESCHL,Tafel,Zins)/Act_Dx(x+$A38,GESCHL,Tafel,Zins),0)</f>
        <v>0.81659227766599862</v>
      </c>
      <c r="C38" s="16" cm="1">
        <f t="array" ref="C38">Act_axn_k(x+$A38,MAX(0,n-$A38),GESCHL,Tafel,Zins,1)</f>
        <v>10.663848998562303</v>
      </c>
      <c r="D38" s="16" cm="1">
        <f t="array" ref="D38">Act_axn_k(x+$A38,MAX(0,t-$A38),GESCHL,Tafel,Zins,1)</f>
        <v>2.9199086259287741</v>
      </c>
      <c r="E38" s="9" cm="1">
        <f t="array" ref="E38">B38-P_xt*D38+gamma2*(C38-Act_axn_k(x,n,GESCHL,Tafel,Zins,1)/Act_axn_k(x,t,GESCHL,Tafel,Zins,1)*D38)</f>
        <v>0.71163674004031996</v>
      </c>
      <c r="F38" s="12">
        <f t="shared" si="1"/>
        <v>71163.674004032</v>
      </c>
      <c r="G38" s="9">
        <f t="shared" si="6"/>
        <v>0.84325190016240437</v>
      </c>
      <c r="H38" s="12" cm="1">
        <f t="array" ref="H38">F38+alpha*t*BJB*Act_axn_k(x+A38,MAX(5-A38,0),GESCHL,Tafel,Zins,1)/Act_axn_k(x,5,GESCHL,Tafel,Zins,1)</f>
        <v>71163.674004032</v>
      </c>
      <c r="I38" s="15">
        <f t="shared" si="3"/>
        <v>0</v>
      </c>
      <c r="J38" s="12">
        <f t="shared" si="4"/>
        <v>144.18162997984001</v>
      </c>
      <c r="K38" s="12">
        <f t="shared" si="7"/>
        <v>71019.492374052163</v>
      </c>
      <c r="L38" s="12">
        <f t="shared" si="5"/>
        <v>84391.952144224488</v>
      </c>
    </row>
    <row r="39" spans="1:12" x14ac:dyDescent="0.25">
      <c r="A39">
        <v>18</v>
      </c>
      <c r="B39" s="9" cm="1">
        <f t="array" ref="B39">IF(A39&lt;=n,act_nGrAx(x+$A39,MAX(0,n-$A39),GESCHL,Tafel,Zins)+Act_Dx(x+n,GESCHL,Tafel,Zins)/Act_Dx(x+$A39,GESCHL,Tafel,Zins),0)</f>
        <v>0.8292645829780394</v>
      </c>
      <c r="C39" s="16" cm="1">
        <f t="array" ref="C39">Act_axn_k(x+$A39,MAX(0,n-$A39),GESCHL,Tafel,Zins,1)</f>
        <v>9.9270449611338538</v>
      </c>
      <c r="D39" s="16" cm="1">
        <f t="array" ref="D39">Act_axn_k(x+$A39,MAX(0,t-$A39),GESCHL,Tafel,Zins,1)</f>
        <v>1.9721975429975345</v>
      </c>
      <c r="E39" s="9" cm="1">
        <f t="array" ref="E39">B39-P_xt*D39+gamma2*(C39-Act_axn_k(x,n,GESCHL,Tafel,Zins,1)/Act_axn_k(x,t,GESCHL,Tafel,Zins,1)*D39)</f>
        <v>0.76177976773180878</v>
      </c>
      <c r="F39" s="12">
        <f t="shared" si="1"/>
        <v>76177.976773180882</v>
      </c>
      <c r="G39" s="9">
        <f t="shared" si="6"/>
        <v>0.85408219538087404</v>
      </c>
      <c r="H39" s="12" cm="1">
        <f t="array" ref="H39">F39+alpha*t*BJB*Act_axn_k(x+A39,MAX(5-A39,0),GESCHL,Tafel,Zins,1)/Act_axn_k(x,5,GESCHL,Tafel,Zins,1)</f>
        <v>76177.976773180882</v>
      </c>
      <c r="I39" s="15">
        <f t="shared" si="3"/>
        <v>0</v>
      </c>
      <c r="J39" s="12">
        <f t="shared" si="4"/>
        <v>119.11011613409559</v>
      </c>
      <c r="K39" s="12">
        <f t="shared" si="7"/>
        <v>76058.86665704679</v>
      </c>
      <c r="L39" s="12">
        <f t="shared" si="5"/>
        <v>89192.793369506617</v>
      </c>
    </row>
    <row r="40" spans="1:12" x14ac:dyDescent="0.25">
      <c r="A40">
        <v>19</v>
      </c>
      <c r="B40" s="9" cm="1">
        <f t="array" ref="B40">IF(A40&lt;=n,act_nGrAx(x+$A40,MAX(0,n-$A40),GESCHL,Tafel,Zins)+Act_Dx(x+n,GESCHL,Tafel,Zins)/Act_Dx(x+$A40,GESCHL,Tafel,Zins),0)</f>
        <v>0.84207283701874958</v>
      </c>
      <c r="C40" s="16" cm="1">
        <f t="array" ref="C40">Act_axn_k(x+$A40,MAX(0,n-$A40),GESCHL,Tafel,Zins,1)</f>
        <v>9.1823364761953474</v>
      </c>
      <c r="D40" s="16" cm="1">
        <f t="array" ref="D40">Act_axn_k(x+$A40,MAX(0,t-$A40),GESCHL,Tafel,Zins,1)</f>
        <v>0.99999999999998646</v>
      </c>
      <c r="E40" s="9" cm="1">
        <f t="array" ref="E40">B40-P_xt*D40+gamma2*(C40-Act_axn_k(x,n,GESCHL,Tafel,Zins,1)/Act_axn_k(x,t,GESCHL,Tafel,Zins,1)*D40)</f>
        <v>0.81304080883562913</v>
      </c>
      <c r="F40" s="12">
        <f t="shared" si="1"/>
        <v>81304.080883562914</v>
      </c>
      <c r="G40" s="9">
        <f t="shared" si="6"/>
        <v>0.8650286782092379</v>
      </c>
      <c r="H40" s="12" cm="1">
        <f t="array" ref="H40">F40+alpha*t*BJB*Act_axn_k(x+A40,MAX(5-A40,0),GESCHL,Tafel,Zins,1)/Act_axn_k(x,5,GESCHL,Tafel,Zins,1)</f>
        <v>81304.080883562914</v>
      </c>
      <c r="I40" s="15">
        <f t="shared" si="3"/>
        <v>0</v>
      </c>
      <c r="J40" s="12">
        <f t="shared" si="4"/>
        <v>93.479595582185425</v>
      </c>
      <c r="K40" s="12">
        <f t="shared" si="7"/>
        <v>81210.601287980724</v>
      </c>
      <c r="L40" s="12">
        <f t="shared" si="5"/>
        <v>93990.040945089495</v>
      </c>
    </row>
    <row r="41" spans="1:12" x14ac:dyDescent="0.25">
      <c r="A41">
        <v>20</v>
      </c>
      <c r="B41" s="9" cm="1">
        <f t="array" ref="B41">IF(A41&lt;=n,act_nGrAx(x+$A41,MAX(0,n-$A41),GESCHL,Tafel,Zins)+Act_Dx(x+n,GESCHL,Tafel,Zins)/Act_Dx(x+$A41,GESCHL,Tafel,Zins),0)</f>
        <v>0.85501414326443714</v>
      </c>
      <c r="C41" s="16" cm="1">
        <f t="array" ref="C41">Act_axn_k(x+$A41,MAX(0,n-$A41),GESCHL,Tafel,Zins,1)</f>
        <v>8.429891955910561</v>
      </c>
      <c r="D41" s="16" cm="1">
        <f t="array" ref="D41">Act_axn_k(x+$A41,MAX(0,t-$A41),GESCHL,Tafel,Zins,1)</f>
        <v>0</v>
      </c>
      <c r="E41" s="9" cm="1">
        <f t="array" ref="E41">B41-P_xt*D41+gamma2*(C41-Act_axn_k(x,n,GESCHL,Tafel,Zins,1)/Act_axn_k(x,t,GESCHL,Tafel,Zins,1)*D41)</f>
        <v>0.86555150820932536</v>
      </c>
      <c r="F41" s="12">
        <f t="shared" si="1"/>
        <v>86555.15082093254</v>
      </c>
      <c r="G41" s="9">
        <f t="shared" si="6"/>
        <v>0.87608887315421358</v>
      </c>
      <c r="H41" s="12" cm="1">
        <f t="array" ref="H41">F41+alpha*t*BJB*Act_axn_k(x+A41,MAX(5-A41,0),GESCHL,Tafel,Zins,1)/Act_axn_k(x,5,GESCHL,Tafel,Zins,1)</f>
        <v>86555.15082093254</v>
      </c>
      <c r="I41" s="15">
        <f t="shared" si="3"/>
        <v>0</v>
      </c>
      <c r="J41" s="12">
        <f t="shared" si="4"/>
        <v>67.224245895337305</v>
      </c>
      <c r="K41" s="12">
        <f t="shared" si="7"/>
        <v>86487.9265750372</v>
      </c>
      <c r="L41" s="12">
        <f t="shared" si="5"/>
        <v>100000</v>
      </c>
    </row>
    <row r="42" spans="1:12" x14ac:dyDescent="0.25">
      <c r="A42">
        <v>21</v>
      </c>
      <c r="B42" s="9" cm="1">
        <f t="array" ref="B42">IF(A42&lt;=n,act_nGrAx(x+$A42,MAX(0,n-$A42),GESCHL,Tafel,Zins)+Act_Dx(x+n,GESCHL,Tafel,Zins)/Act_Dx(x+$A42,GESCHL,Tafel,Zins),0)</f>
        <v>0.86808725387459396</v>
      </c>
      <c r="C42" s="16" cm="1">
        <f t="array" ref="C42">Act_axn_k(x+$A42,MAX(0,n-$A42),GESCHL,Tafel,Zins,1)</f>
        <v>7.6697839532915104</v>
      </c>
      <c r="D42" s="16" cm="1">
        <f t="array" ref="D42">Act_axn_k(x+$A42,MAX(0,t-$A42),GESCHL,Tafel,Zins,1)</f>
        <v>0</v>
      </c>
      <c r="E42" s="9" cm="1">
        <f t="array" ref="E42">B42-P_xt*D42+gamma2*(C42-Act_axn_k(x,n,GESCHL,Tafel,Zins,1)/Act_axn_k(x,t,GESCHL,Tafel,Zins,1)*D42)</f>
        <v>0.87767448381620838</v>
      </c>
      <c r="F42" s="12">
        <f t="shared" si="1"/>
        <v>87767.448381620838</v>
      </c>
      <c r="G42" s="9">
        <f t="shared" si="6"/>
        <v>0.8872617137578227</v>
      </c>
      <c r="H42" s="12" cm="1">
        <f t="array" ref="H42">F42+alpha*t*BJB*Act_axn_k(x+A42,MAX(5-A42,0),GESCHL,Tafel,Zins,1)/Act_axn_k(x,5,GESCHL,Tafel,Zins,1)</f>
        <v>87767.448381620838</v>
      </c>
      <c r="I42" s="15">
        <f t="shared" si="3"/>
        <v>0</v>
      </c>
      <c r="J42" s="12">
        <f t="shared" si="4"/>
        <v>61.16275809189581</v>
      </c>
      <c r="K42" s="12">
        <f t="shared" si="7"/>
        <v>87706.285623528936</v>
      </c>
      <c r="L42" s="12">
        <f t="shared" si="5"/>
        <v>100000</v>
      </c>
    </row>
    <row r="43" spans="1:12" x14ac:dyDescent="0.25">
      <c r="A43">
        <v>22</v>
      </c>
      <c r="B43" s="9" cm="1">
        <f t="array" ref="B43">IF(A43&lt;=n,act_nGrAx(x+$A43,MAX(0,n-$A43),GESCHL,Tafel,Zins)+Act_Dx(x+n,GESCHL,Tafel,Zins)/Act_Dx(x+$A43,GESCHL,Tafel,Zins),0)</f>
        <v>0.88130677598565654</v>
      </c>
      <c r="C43" s="16" cm="1">
        <f t="array" ref="C43">Act_axn_k(x+$A43,MAX(0,n-$A43),GESCHL,Tafel,Zins,1)</f>
        <v>6.901163167691065</v>
      </c>
      <c r="D43" s="16" cm="1">
        <f t="array" ref="D43">Act_axn_k(x+$A43,MAX(0,t-$A43),GESCHL,Tafel,Zins,1)</f>
        <v>0</v>
      </c>
      <c r="E43" s="9" cm="1">
        <f t="array" ref="E43">B43-P_xt*D43+gamma2*(C43-Act_axn_k(x,n,GESCHL,Tafel,Zins,1)/Act_axn_k(x,t,GESCHL,Tafel,Zins,1)*D43)</f>
        <v>0.88993322994527035</v>
      </c>
      <c r="F43" s="12">
        <f t="shared" si="1"/>
        <v>88993.322994527029</v>
      </c>
      <c r="G43" s="9">
        <f t="shared" si="6"/>
        <v>0.89855968390488417</v>
      </c>
      <c r="H43" s="12" cm="1">
        <f t="array" ref="H43">F43+alpha*t*BJB*Act_axn_k(x+A43,MAX(5-A43,0),GESCHL,Tafel,Zins,1)/Act_axn_k(x,5,GESCHL,Tafel,Zins,1)</f>
        <v>88993.322994527029</v>
      </c>
      <c r="I43" s="15">
        <f t="shared" si="3"/>
        <v>0</v>
      </c>
      <c r="J43" s="12">
        <f t="shared" si="4"/>
        <v>55.033385027364858</v>
      </c>
      <c r="K43" s="12">
        <f t="shared" si="7"/>
        <v>88938.289609499669</v>
      </c>
      <c r="L43" s="12">
        <f t="shared" si="5"/>
        <v>100000</v>
      </c>
    </row>
    <row r="44" spans="1:12" x14ac:dyDescent="0.25">
      <c r="A44">
        <v>23</v>
      </c>
      <c r="B44" s="9" cm="1">
        <f t="array" ref="B44">IF(A44&lt;=n,act_nGrAx(x+$A44,MAX(0,n-$A44),GESCHL,Tafel,Zins)+Act_Dx(x+n,GESCHL,Tafel,Zins)/Act_Dx(x+$A44,GESCHL,Tafel,Zins),0)</f>
        <v>0.89470079207674669</v>
      </c>
      <c r="C44" s="16" cm="1">
        <f t="array" ref="C44">Act_axn_k(x+$A44,MAX(0,n-$A44),GESCHL,Tafel,Zins,1)</f>
        <v>6.1223968035378515</v>
      </c>
      <c r="D44" s="16" cm="1">
        <f t="array" ref="D44">Act_axn_k(x+$A44,MAX(0,t-$A44),GESCHL,Tafel,Zins,1)</f>
        <v>0</v>
      </c>
      <c r="E44" s="9" cm="1">
        <f t="array" ref="E44">B44-P_xt*D44+gamma2*(C44-Act_axn_k(x,n,GESCHL,Tafel,Zins,1)/Act_axn_k(x,t,GESCHL,Tafel,Zins,1)*D44)</f>
        <v>0.90235378808116895</v>
      </c>
      <c r="F44" s="12">
        <f t="shared" si="1"/>
        <v>90235.37880811689</v>
      </c>
      <c r="G44" s="9">
        <f t="shared" si="6"/>
        <v>0.91000678408559132</v>
      </c>
      <c r="H44" s="12" cm="1">
        <f t="array" ref="H44">F44+alpha*t*BJB*Act_axn_k(x+A44,MAX(5-A44,0),GESCHL,Tafel,Zins,1)/Act_axn_k(x,5,GESCHL,Tafel,Zins,1)</f>
        <v>90235.37880811689</v>
      </c>
      <c r="I44" s="15">
        <f t="shared" si="3"/>
        <v>0</v>
      </c>
      <c r="J44" s="12">
        <f t="shared" si="4"/>
        <v>50</v>
      </c>
      <c r="K44" s="12">
        <f t="shared" si="7"/>
        <v>90185.37880811689</v>
      </c>
      <c r="L44" s="12">
        <f t="shared" si="5"/>
        <v>100000</v>
      </c>
    </row>
    <row r="45" spans="1:12" x14ac:dyDescent="0.25">
      <c r="A45">
        <v>24</v>
      </c>
      <c r="B45" s="9" cm="1">
        <f t="array" ref="B45">IF(A45&lt;=n,act_nGrAx(x+$A45,MAX(0,n-$A45),GESCHL,Tafel,Zins)+Act_Dx(x+n,GESCHL,Tafel,Zins)/Act_Dx(x+$A45,GESCHL,Tafel,Zins),0)</f>
        <v>0.9083123766995852</v>
      </c>
      <c r="C45" s="16" cm="1">
        <f t="array" ref="C45">Act_axn_k(x+$A45,MAX(0,n-$A45),GESCHL,Tafel,Zins,1)</f>
        <v>5.3309803833242668</v>
      </c>
      <c r="D45" s="16" cm="1">
        <f t="array" ref="D45">Act_axn_k(x+$A45,MAX(0,t-$A45),GESCHL,Tafel,Zins,1)</f>
        <v>0</v>
      </c>
      <c r="E45" s="9" cm="1">
        <f t="array" ref="E45">B45-P_xt*D45+gamma2*(C45-Act_axn_k(x,n,GESCHL,Tafel,Zins,1)/Act_axn_k(x,t,GESCHL,Tafel,Zins,1)*D45)</f>
        <v>0.91497610217874048</v>
      </c>
      <c r="F45" s="12">
        <f t="shared" si="1"/>
        <v>91497.610217874055</v>
      </c>
      <c r="G45" s="9">
        <f t="shared" si="6"/>
        <v>0.92163982765789587</v>
      </c>
      <c r="H45" s="12" cm="1">
        <f t="array" ref="H45">F45+alpha*t*BJB*Act_axn_k(x+A45,MAX(5-A45,0),GESCHL,Tafel,Zins,1)/Act_axn_k(x,5,GESCHL,Tafel,Zins,1)</f>
        <v>91497.610217874055</v>
      </c>
      <c r="I45" s="15">
        <f t="shared" si="3"/>
        <v>0</v>
      </c>
      <c r="J45" s="12">
        <f t="shared" si="4"/>
        <v>50</v>
      </c>
      <c r="K45" s="12">
        <f t="shared" si="7"/>
        <v>91447.610217874055</v>
      </c>
      <c r="L45" s="12">
        <f t="shared" si="5"/>
        <v>100000</v>
      </c>
    </row>
    <row r="46" spans="1:12" x14ac:dyDescent="0.25">
      <c r="A46">
        <v>25</v>
      </c>
      <c r="B46" s="9" cm="1">
        <f t="array" ref="B46">IF(A46&lt;=n,act_nGrAx(x+$A46,MAX(0,n-$A46),GESCHL,Tafel,Zins)+Act_Dx(x+n,GESCHL,Tafel,Zins)/Act_Dx(x+$A46,GESCHL,Tafel,Zins),0)</f>
        <v>0.92220878008058271</v>
      </c>
      <c r="C46" s="16" cm="1">
        <f t="array" ref="C46">Act_axn_k(x+$A46,MAX(0,n-$A46),GESCHL,Tafel,Zins,1)</f>
        <v>4.5230037867434207</v>
      </c>
      <c r="D46" s="16" cm="1">
        <f t="array" ref="D46">Act_axn_k(x+$A46,MAX(0,t-$A46),GESCHL,Tafel,Zins,1)</f>
        <v>0</v>
      </c>
      <c r="E46" s="9" cm="1">
        <f t="array" ref="E46">B46-P_xt*D46+gamma2*(C46-Act_axn_k(x,n,GESCHL,Tafel,Zins,1)/Act_axn_k(x,t,GESCHL,Tafel,Zins,1)*D46)</f>
        <v>0.92786253481401204</v>
      </c>
      <c r="F46" s="12">
        <f t="shared" si="1"/>
        <v>92786.253481401203</v>
      </c>
      <c r="G46" s="9">
        <f t="shared" si="6"/>
        <v>0.93351628954744126</v>
      </c>
      <c r="H46" s="12" cm="1">
        <f t="array" ref="H46">F46+alpha*t*BJB*Act_axn_k(x+A46,MAX(5-A46,0),GESCHL,Tafel,Zins,1)/Act_axn_k(x,5,GESCHL,Tafel,Zins,1)</f>
        <v>92786.253481401203</v>
      </c>
      <c r="I46" s="15">
        <f t="shared" si="3"/>
        <v>1</v>
      </c>
      <c r="J46" s="12">
        <f t="shared" si="4"/>
        <v>0</v>
      </c>
      <c r="K46" s="12">
        <f t="shared" si="7"/>
        <v>92786.253481401203</v>
      </c>
      <c r="L46" s="12">
        <f t="shared" si="5"/>
        <v>100000</v>
      </c>
    </row>
    <row r="47" spans="1:12" x14ac:dyDescent="0.25">
      <c r="A47">
        <v>26</v>
      </c>
      <c r="B47" s="9" cm="1">
        <f t="array" ref="B47">IF(A47&lt;=n,act_nGrAx(x+$A47,MAX(0,n-$A47),GESCHL,Tafel,Zins)+Act_Dx(x+n,GESCHL,Tafel,Zins)/Act_Dx(x+$A47,GESCHL,Tafel,Zins),0)</f>
        <v>0.93647770582066014</v>
      </c>
      <c r="C47" s="16" cm="1">
        <f t="array" ref="C47">Act_axn_k(x+$A47,MAX(0,n-$A47),GESCHL,Tafel,Zins,1)</f>
        <v>3.6933676758561118</v>
      </c>
      <c r="D47" s="16" cm="1">
        <f t="array" ref="D47">Act_axn_k(x+$A47,MAX(0,t-$A47),GESCHL,Tafel,Zins,1)</f>
        <v>0</v>
      </c>
      <c r="E47" s="9" cm="1">
        <f t="array" ref="E47">B47-P_xt*D47+gamma2*(C47-Act_axn_k(x,n,GESCHL,Tafel,Zins,1)/Act_axn_k(x,t,GESCHL,Tafel,Zins,1)*D47)</f>
        <v>0.94109441541548033</v>
      </c>
      <c r="F47" s="12">
        <f t="shared" si="1"/>
        <v>94109.441541548033</v>
      </c>
      <c r="G47" s="9">
        <f t="shared" si="6"/>
        <v>0.94571112501030041</v>
      </c>
      <c r="H47" s="12" cm="1">
        <f t="array" ref="H47">F47+alpha*t*BJB*Act_axn_k(x+A47,MAX(5-A47,0),GESCHL,Tafel,Zins,1)/Act_axn_k(x,5,GESCHL,Tafel,Zins,1)</f>
        <v>94109.441541548033</v>
      </c>
      <c r="I47" s="15">
        <f t="shared" si="3"/>
        <v>1</v>
      </c>
      <c r="J47" s="12">
        <f t="shared" si="4"/>
        <v>0</v>
      </c>
      <c r="K47" s="12">
        <f t="shared" si="7"/>
        <v>94109.441541548033</v>
      </c>
      <c r="L47" s="12">
        <f t="shared" si="5"/>
        <v>100000</v>
      </c>
    </row>
    <row r="48" spans="1:12" x14ac:dyDescent="0.25">
      <c r="A48">
        <v>27</v>
      </c>
      <c r="B48" s="9" cm="1">
        <f t="array" ref="B48">IF(A48&lt;=n,act_nGrAx(x+$A48,MAX(0,n-$A48),GESCHL,Tafel,Zins)+Act_Dx(x+n,GESCHL,Tafel,Zins)/Act_Dx(x+$A48,GESCHL,Tafel,Zins),0)</f>
        <v>0.95123010893880733</v>
      </c>
      <c r="C48" s="16" cm="1">
        <f t="array" ref="C48">Act_axn_k(x+$A48,MAX(0,n-$A48),GESCHL,Tafel,Zins,1)</f>
        <v>2.8356208088437844</v>
      </c>
      <c r="D48" s="16" cm="1">
        <f t="array" ref="D48">Act_axn_k(x+$A48,MAX(0,t-$A48),GESCHL,Tafel,Zins,1)</f>
        <v>0</v>
      </c>
      <c r="E48" s="9" cm="1">
        <f t="array" ref="E48">B48-P_xt*D48+gamma2*(C48-Act_axn_k(x,n,GESCHL,Tafel,Zins,1)/Act_axn_k(x,t,GESCHL,Tafel,Zins,1)*D48)</f>
        <v>0.95477463494986203</v>
      </c>
      <c r="F48" s="12">
        <f t="shared" si="1"/>
        <v>95477.463494986208</v>
      </c>
      <c r="G48" s="9">
        <f t="shared" si="6"/>
        <v>0.95831916096091674</v>
      </c>
      <c r="H48" s="12" cm="1">
        <f t="array" ref="H48">F48+alpha*t*BJB*Act_axn_k(x+A48,MAX(5-A48,0),GESCHL,Tafel,Zins,1)/Act_axn_k(x,5,GESCHL,Tafel,Zins,1)</f>
        <v>95477.463494986208</v>
      </c>
      <c r="I48" s="15">
        <f t="shared" si="3"/>
        <v>1</v>
      </c>
      <c r="J48" s="12">
        <f t="shared" si="4"/>
        <v>0</v>
      </c>
      <c r="K48" s="12">
        <f t="shared" si="7"/>
        <v>95477.463494986208</v>
      </c>
      <c r="L48" s="12">
        <f t="shared" si="5"/>
        <v>100000</v>
      </c>
    </row>
    <row r="49" spans="1:12" x14ac:dyDescent="0.25">
      <c r="A49">
        <v>28</v>
      </c>
      <c r="B49" s="9" cm="1">
        <f t="array" ref="B49">IF(A49&lt;=n,act_nGrAx(x+$A49,MAX(0,n-$A49),GESCHL,Tafel,Zins)+Act_Dx(x+n,GESCHL,Tafel,Zins)/Act_Dx(x+$A49,GESCHL,Tafel,Zins),0)</f>
        <v>0.96661369884515036</v>
      </c>
      <c r="C49" s="16" cm="1">
        <f t="array" ref="C49">Act_axn_k(x+$A49,MAX(0,n-$A49),GESCHL,Tafel,Zins,1)</f>
        <v>1.9411749385749568</v>
      </c>
      <c r="D49" s="16" cm="1">
        <f t="array" ref="D49">Act_axn_k(x+$A49,MAX(0,t-$A49),GESCHL,Tafel,Zins,1)</f>
        <v>0</v>
      </c>
      <c r="E49" s="9" cm="1">
        <f t="array" ref="E49">B49-P_xt*D49+gamma2*(C49-Act_axn_k(x,n,GESCHL,Tafel,Zins,1)/Act_axn_k(x,t,GESCHL,Tafel,Zins,1)*D49)</f>
        <v>0.96904016751836908</v>
      </c>
      <c r="F49" s="12">
        <f t="shared" si="1"/>
        <v>96904.016751836913</v>
      </c>
      <c r="G49" s="9">
        <f t="shared" si="6"/>
        <v>0.9714666361915878</v>
      </c>
      <c r="H49" s="12" cm="1">
        <f t="array" ref="H49">F49+alpha*t*BJB*Act_axn_k(x+A49,MAX(5-A49,0),GESCHL,Tafel,Zins,1)/Act_axn_k(x,5,GESCHL,Tafel,Zins,1)</f>
        <v>96904.016751836913</v>
      </c>
      <c r="I49" s="15">
        <f t="shared" si="3"/>
        <v>1</v>
      </c>
      <c r="J49" s="12">
        <f t="shared" si="4"/>
        <v>0</v>
      </c>
      <c r="K49" s="12">
        <f t="shared" si="7"/>
        <v>96904.016751836913</v>
      </c>
      <c r="L49" s="12">
        <f t="shared" si="5"/>
        <v>100000</v>
      </c>
    </row>
    <row r="50" spans="1:12" x14ac:dyDescent="0.25">
      <c r="A50">
        <v>29</v>
      </c>
      <c r="B50" s="9" cm="1">
        <f t="array" ref="B50">IF(A50&lt;=n,act_nGrAx(x+$A50,MAX(0,n-$A50),GESCHL,Tafel,Zins)+Act_Dx(x+n,GESCHL,Tafel,Zins)/Act_Dx(x+$A50,GESCHL,Tafel,Zins),0)</f>
        <v>0.98280098280098516</v>
      </c>
      <c r="C50" s="16" cm="1">
        <f t="array" ref="C50">Act_axn_k(x+$A50,MAX(0,n-$A50),GESCHL,Tafel,Zins,1)</f>
        <v>1.0000000000000007</v>
      </c>
      <c r="D50" s="16" cm="1">
        <f t="array" ref="D50">Act_axn_k(x+$A50,MAX(0,t-$A50),GESCHL,Tafel,Zins,1)</f>
        <v>0</v>
      </c>
      <c r="E50" s="9" cm="1">
        <f t="array" ref="E50">B50-P_xt*D50+gamma2*(C50-Act_axn_k(x,n,GESCHL,Tafel,Zins,1)/Act_axn_k(x,t,GESCHL,Tafel,Zins,1)*D50)</f>
        <v>0.98405098280098513</v>
      </c>
      <c r="F50" s="12">
        <f t="shared" si="1"/>
        <v>98405.098280098508</v>
      </c>
      <c r="G50" s="9">
        <f t="shared" si="6"/>
        <v>0.9853009828009851</v>
      </c>
      <c r="H50" s="12" cm="1">
        <f t="array" ref="H50">F50+alpha*t*BJB*Act_axn_k(x+A50,MAX(5-A50,0),GESCHL,Tafel,Zins,1)/Act_axn_k(x,5,GESCHL,Tafel,Zins,1)</f>
        <v>98405.098280098508</v>
      </c>
      <c r="I50" s="15">
        <f t="shared" si="3"/>
        <v>1</v>
      </c>
      <c r="J50" s="12">
        <f t="shared" si="4"/>
        <v>0</v>
      </c>
      <c r="K50" s="12">
        <f t="shared" si="7"/>
        <v>98405.098280098508</v>
      </c>
      <c r="L50" s="12">
        <f t="shared" si="5"/>
        <v>100000</v>
      </c>
    </row>
    <row r="51" spans="1:12" x14ac:dyDescent="0.25">
      <c r="A51">
        <v>30</v>
      </c>
      <c r="B51" s="9" cm="1">
        <f t="array" ref="B51">IF(A51&lt;=n,act_nGrAx(x+$A51,MAX(0,n-$A51),GESCHL,Tafel,Zins)+Act_Dx(x+n,GESCHL,Tafel,Zins)/Act_Dx(x+$A51,GESCHL,Tafel,Zins),0)</f>
        <v>1</v>
      </c>
      <c r="C51" s="16" cm="1">
        <f t="array" ref="C51">Act_axn_k(x+$A51,MAX(0,n-$A51),GESCHL,Tafel,Zins,1)</f>
        <v>0</v>
      </c>
      <c r="D51" s="16" cm="1">
        <f t="array" ref="D51">Act_axn_k(x+$A51,MAX(0,t-$A51),GESCHL,Tafel,Zins,1)</f>
        <v>0</v>
      </c>
      <c r="E51" s="9" cm="1">
        <f t="array" ref="E51">B51-P_xt*D51+gamma2*(C51-Act_axn_k(x,n,GESCHL,Tafel,Zins,1)/Act_axn_k(x,t,GESCHL,Tafel,Zins,1)*D51)</f>
        <v>1</v>
      </c>
      <c r="F51" s="12">
        <f t="shared" si="1"/>
        <v>100000</v>
      </c>
      <c r="G51" s="9">
        <f t="shared" si="6"/>
        <v>1</v>
      </c>
      <c r="H51" s="12" cm="1">
        <f t="array" ref="H51">F51+alpha*t*BJB*Act_axn_k(x+A51,MAX(5-A51,0),GESCHL,Tafel,Zins,1)/Act_axn_k(x,5,GESCHL,Tafel,Zins,1)</f>
        <v>100000</v>
      </c>
      <c r="I51" s="15">
        <f t="shared" si="3"/>
        <v>1</v>
      </c>
      <c r="J51" s="12">
        <f t="shared" si="4"/>
        <v>0</v>
      </c>
      <c r="K51" s="12">
        <f t="shared" si="7"/>
        <v>100000</v>
      </c>
      <c r="L51" s="12">
        <f t="shared" si="5"/>
        <v>100000</v>
      </c>
    </row>
    <row r="52" spans="1:12" x14ac:dyDescent="0.25">
      <c r="A52">
        <v>31</v>
      </c>
      <c r="B52" s="9" cm="1">
        <f t="array" ref="B52">IF(A52&lt;=n,act_nGrAx(x+$A52,MAX(0,n-$A52),GESCHL,Tafel,Zins)+Act_Dx(x+n,GESCHL,Tafel,Zins)/Act_Dx(x+$A52,GESCHL,Tafel,Zins),0)</f>
        <v>0</v>
      </c>
      <c r="C52" s="16" cm="1">
        <f t="array" ref="C52">Act_axn_k(x+$A52,MAX(0,n-$A52),GESCHL,Tafel,Zins,1)</f>
        <v>0</v>
      </c>
      <c r="D52" s="16" cm="1">
        <f t="array" ref="D52">Act_axn_k(x+$A52,MAX(0,t-$A52),GESCHL,Tafel,Zins,1)</f>
        <v>0</v>
      </c>
      <c r="E52" s="9" cm="1">
        <f t="array" ref="E52">B52-P_xt*D52+gamma2*(C52-Act_axn_k(x,n,GESCHL,Tafel,Zins,1)/Act_axn_k(x,t,GESCHL,Tafel,Zins,1)*D52)</f>
        <v>0</v>
      </c>
      <c r="F52" s="12">
        <f t="shared" si="1"/>
        <v>0</v>
      </c>
      <c r="G52" s="9">
        <f t="shared" si="6"/>
        <v>0</v>
      </c>
      <c r="H52" s="12" cm="1">
        <f t="array" ref="H52">F52+alpha*t*BJB*Act_axn_k(x+A52,MAX(5-A52,0),GESCHL,Tafel,Zins,1)/Act_axn_k(x,5,GESCHL,Tafel,Zins,1)</f>
        <v>0</v>
      </c>
      <c r="I52" s="15">
        <f t="shared" si="3"/>
        <v>1</v>
      </c>
      <c r="J52" s="12">
        <f t="shared" si="4"/>
        <v>0</v>
      </c>
      <c r="K52" s="12">
        <f t="shared" si="7"/>
        <v>0</v>
      </c>
      <c r="L52" s="12">
        <f t="shared" si="5"/>
        <v>0</v>
      </c>
    </row>
    <row r="53" spans="1:12" x14ac:dyDescent="0.25">
      <c r="A53">
        <v>32</v>
      </c>
      <c r="B53" s="9" cm="1">
        <f t="array" ref="B53">IF(A53&lt;=n,act_nGrAx(x+$A53,MAX(0,n-$A53),GESCHL,Tafel,Zins)+Act_Dx(x+n,GESCHL,Tafel,Zins)/Act_Dx(x+$A53,GESCHL,Tafel,Zins),0)</f>
        <v>0</v>
      </c>
      <c r="C53" s="16" cm="1">
        <f t="array" ref="C53">Act_axn_k(x+$A53,MAX(0,n-$A53),GESCHL,Tafel,Zins,1)</f>
        <v>0</v>
      </c>
      <c r="D53" s="16" cm="1">
        <f t="array" ref="D53">Act_axn_k(x+$A53,MAX(0,t-$A53),GESCHL,Tafel,Zins,1)</f>
        <v>0</v>
      </c>
      <c r="E53" s="9" cm="1">
        <f t="array" ref="E53">B53-P_xt*D53+gamma2*(C53-Act_axn_k(x,n,GESCHL,Tafel,Zins,1)/Act_axn_k(x,t,GESCHL,Tafel,Zins,1)*D53)</f>
        <v>0</v>
      </c>
      <c r="F53" s="12">
        <f t="shared" si="1"/>
        <v>0</v>
      </c>
      <c r="G53" s="9">
        <f t="shared" si="6"/>
        <v>0</v>
      </c>
      <c r="H53" s="12" cm="1">
        <f t="array" ref="H53">F53+alpha*t*BJB*Act_axn_k(x+A53,MAX(5-A53,0),GESCHL,Tafel,Zins,1)/Act_axn_k(x,5,GESCHL,Tafel,Zins,1)</f>
        <v>0</v>
      </c>
      <c r="I53" s="15">
        <f t="shared" ref="I53:I71" si="8">IF(AND(x+A53&gt;=MinAlterFlex,A53&gt;=n-MinRLZFlex),1,0)</f>
        <v>1</v>
      </c>
      <c r="J53" s="12">
        <f t="shared" ref="J53:J84" si="9">IF(OR(A53&gt;n,I53),0,MIN(StoAb_max,MAX(StoAb_min,StoAb_rel*(VS-F53))))</f>
        <v>0</v>
      </c>
      <c r="K53" s="12">
        <f t="shared" si="7"/>
        <v>0</v>
      </c>
      <c r="L53" s="12">
        <f t="shared" ref="L53:L71" si="10">IFERROR(IF(A53&gt;n,0,IF(A53&lt;t,H53/G53,VS)),0)</f>
        <v>0</v>
      </c>
    </row>
    <row r="54" spans="1:12" x14ac:dyDescent="0.25">
      <c r="A54">
        <v>33</v>
      </c>
      <c r="B54" s="9" cm="1">
        <f t="array" ref="B54">IF(A54&lt;=n,act_nGrAx(x+$A54,MAX(0,n-$A54),GESCHL,Tafel,Zins)+Act_Dx(x+n,GESCHL,Tafel,Zins)/Act_Dx(x+$A54,GESCHL,Tafel,Zins),0)</f>
        <v>0</v>
      </c>
      <c r="C54" s="16" cm="1">
        <f t="array" ref="C54">Act_axn_k(x+$A54,MAX(0,n-$A54),GESCHL,Tafel,Zins,1)</f>
        <v>0</v>
      </c>
      <c r="D54" s="16" cm="1">
        <f t="array" ref="D54">Act_axn_k(x+$A54,MAX(0,t-$A54),GESCHL,Tafel,Zins,1)</f>
        <v>0</v>
      </c>
      <c r="E54" s="9" cm="1">
        <f t="array" ref="E54">B54-P_xt*D54+gamma2*(C54-Act_axn_k(x,n,GESCHL,Tafel,Zins,1)/Act_axn_k(x,t,GESCHL,Tafel,Zins,1)*D54)</f>
        <v>0</v>
      </c>
      <c r="F54" s="12">
        <f t="shared" si="1"/>
        <v>0</v>
      </c>
      <c r="G54" s="9">
        <f t="shared" si="6"/>
        <v>0</v>
      </c>
      <c r="H54" s="12" cm="1">
        <f t="array" ref="H54">F54+alpha*t*BJB*Act_axn_k(x+A54,MAX(5-A54,0),GESCHL,Tafel,Zins,1)/Act_axn_k(x,5,GESCHL,Tafel,Zins,1)</f>
        <v>0</v>
      </c>
      <c r="I54" s="15">
        <f t="shared" si="8"/>
        <v>1</v>
      </c>
      <c r="J54" s="12">
        <f t="shared" si="9"/>
        <v>0</v>
      </c>
      <c r="K54" s="12">
        <f t="shared" si="7"/>
        <v>0</v>
      </c>
      <c r="L54" s="12">
        <f t="shared" si="10"/>
        <v>0</v>
      </c>
    </row>
    <row r="55" spans="1:12" x14ac:dyDescent="0.25">
      <c r="A55">
        <v>34</v>
      </c>
      <c r="B55" s="9" cm="1">
        <f t="array" ref="B55">IF(A55&lt;=n,act_nGrAx(x+$A55,MAX(0,n-$A55),GESCHL,Tafel,Zins)+Act_Dx(x+n,GESCHL,Tafel,Zins)/Act_Dx(x+$A55,GESCHL,Tafel,Zins),0)</f>
        <v>0</v>
      </c>
      <c r="C55" s="16" cm="1">
        <f t="array" ref="C55">Act_axn_k(x+$A55,MAX(0,n-$A55),GESCHL,Tafel,Zins,1)</f>
        <v>0</v>
      </c>
      <c r="D55" s="16" cm="1">
        <f t="array" ref="D55">Act_axn_k(x+$A55,MAX(0,t-$A55),GESCHL,Tafel,Zins,1)</f>
        <v>0</v>
      </c>
      <c r="E55" s="9" cm="1">
        <f t="array" ref="E55">B55-P_xt*D55+gamma2*(C55-Act_axn_k(x,n,GESCHL,Tafel,Zins,1)/Act_axn_k(x,t,GESCHL,Tafel,Zins,1)*D55)</f>
        <v>0</v>
      </c>
      <c r="F55" s="12">
        <f t="shared" si="1"/>
        <v>0</v>
      </c>
      <c r="G55" s="9">
        <f t="shared" si="6"/>
        <v>0</v>
      </c>
      <c r="H55" s="12" cm="1">
        <f t="array" ref="H55">F55+alpha*t*BJB*Act_axn_k(x+A55,MAX(5-A55,0),GESCHL,Tafel,Zins,1)/Act_axn_k(x,5,GESCHL,Tafel,Zins,1)</f>
        <v>0</v>
      </c>
      <c r="I55" s="15">
        <f t="shared" si="8"/>
        <v>1</v>
      </c>
      <c r="J55" s="12">
        <f t="shared" si="9"/>
        <v>0</v>
      </c>
      <c r="K55" s="12">
        <f t="shared" si="7"/>
        <v>0</v>
      </c>
      <c r="L55" s="12">
        <f t="shared" si="10"/>
        <v>0</v>
      </c>
    </row>
    <row r="56" spans="1:12" x14ac:dyDescent="0.25">
      <c r="A56">
        <v>35</v>
      </c>
      <c r="B56" s="9" cm="1">
        <f t="array" ref="B56">IF(A56&lt;=n,act_nGrAx(x+$A56,MAX(0,n-$A56),GESCHL,Tafel,Zins)+Act_Dx(x+n,GESCHL,Tafel,Zins)/Act_Dx(x+$A56,GESCHL,Tafel,Zins),0)</f>
        <v>0</v>
      </c>
      <c r="C56" s="16" cm="1">
        <f t="array" ref="C56">Act_axn_k(x+$A56,MAX(0,n-$A56),GESCHL,Tafel,Zins,1)</f>
        <v>0</v>
      </c>
      <c r="D56" s="16" cm="1">
        <f t="array" ref="D56">Act_axn_k(x+$A56,MAX(0,t-$A56),GESCHL,Tafel,Zins,1)</f>
        <v>0</v>
      </c>
      <c r="E56" s="9" cm="1">
        <f t="array" ref="E56">B56-P_xt*D56+gamma2*(C56-Act_axn_k(x,n,GESCHL,Tafel,Zins,1)/Act_axn_k(x,t,GESCHL,Tafel,Zins,1)*D56)</f>
        <v>0</v>
      </c>
      <c r="F56" s="12">
        <f t="shared" si="1"/>
        <v>0</v>
      </c>
      <c r="G56" s="9">
        <f t="shared" si="6"/>
        <v>0</v>
      </c>
      <c r="H56" s="12" cm="1">
        <f t="array" ref="H56">F56+alpha*t*BJB*Act_axn_k(x+A56,MAX(5-A56,0),GESCHL,Tafel,Zins,1)/Act_axn_k(x,5,GESCHL,Tafel,Zins,1)</f>
        <v>0</v>
      </c>
      <c r="I56" s="15">
        <f t="shared" si="8"/>
        <v>1</v>
      </c>
      <c r="J56" s="12">
        <f t="shared" si="9"/>
        <v>0</v>
      </c>
      <c r="K56" s="12">
        <f t="shared" si="7"/>
        <v>0</v>
      </c>
      <c r="L56" s="12">
        <f t="shared" si="10"/>
        <v>0</v>
      </c>
    </row>
    <row r="57" spans="1:12" x14ac:dyDescent="0.25">
      <c r="A57">
        <v>36</v>
      </c>
      <c r="B57" s="9" cm="1">
        <f t="array" ref="B57">IF(A57&lt;=n,act_nGrAx(x+$A57,MAX(0,n-$A57),GESCHL,Tafel,Zins)+Act_Dx(x+n,GESCHL,Tafel,Zins)/Act_Dx(x+$A57,GESCHL,Tafel,Zins),0)</f>
        <v>0</v>
      </c>
      <c r="C57" s="16" cm="1">
        <f t="array" ref="C57">Act_axn_k(x+$A57,MAX(0,n-$A57),GESCHL,Tafel,Zins,1)</f>
        <v>0</v>
      </c>
      <c r="D57" s="16" cm="1">
        <f t="array" ref="D57">Act_axn_k(x+$A57,MAX(0,t-$A57),GESCHL,Tafel,Zins,1)</f>
        <v>0</v>
      </c>
      <c r="E57" s="9" cm="1">
        <f t="array" ref="E57">B57-P_xt*D57+gamma2*(C57-Act_axn_k(x,n,GESCHL,Tafel,Zins,1)/Act_axn_k(x,t,GESCHL,Tafel,Zins,1)*D57)</f>
        <v>0</v>
      </c>
      <c r="F57" s="12">
        <f t="shared" si="1"/>
        <v>0</v>
      </c>
      <c r="G57" s="9">
        <f t="shared" si="6"/>
        <v>0</v>
      </c>
      <c r="H57" s="12" cm="1">
        <f t="array" ref="H57">F57+alpha*t*BJB*Act_axn_k(x+A57,MAX(5-A57,0),GESCHL,Tafel,Zins,1)/Act_axn_k(x,5,GESCHL,Tafel,Zins,1)</f>
        <v>0</v>
      </c>
      <c r="I57" s="15">
        <f t="shared" si="8"/>
        <v>1</v>
      </c>
      <c r="J57" s="12">
        <f t="shared" si="9"/>
        <v>0</v>
      </c>
      <c r="K57" s="12">
        <f t="shared" si="7"/>
        <v>0</v>
      </c>
      <c r="L57" s="12">
        <f t="shared" si="10"/>
        <v>0</v>
      </c>
    </row>
    <row r="58" spans="1:12" x14ac:dyDescent="0.25">
      <c r="A58">
        <v>37</v>
      </c>
      <c r="B58" s="9" cm="1">
        <f t="array" ref="B58">IF(A58&lt;=n,act_nGrAx(x+$A58,MAX(0,n-$A58),GESCHL,Tafel,Zins)+Act_Dx(x+n,GESCHL,Tafel,Zins)/Act_Dx(x+$A58,GESCHL,Tafel,Zins),0)</f>
        <v>0</v>
      </c>
      <c r="C58" s="16" cm="1">
        <f t="array" ref="C58">Act_axn_k(x+$A58,MAX(0,n-$A58),GESCHL,Tafel,Zins,1)</f>
        <v>0</v>
      </c>
      <c r="D58" s="16" cm="1">
        <f t="array" ref="D58">Act_axn_k(x+$A58,MAX(0,t-$A58),GESCHL,Tafel,Zins,1)</f>
        <v>0</v>
      </c>
      <c r="E58" s="9" cm="1">
        <f t="array" ref="E58">B58-P_xt*D58+gamma2*(C58-Act_axn_k(x,n,GESCHL,Tafel,Zins,1)/Act_axn_k(x,t,GESCHL,Tafel,Zins,1)*D58)</f>
        <v>0</v>
      </c>
      <c r="F58" s="12">
        <f t="shared" si="1"/>
        <v>0</v>
      </c>
      <c r="G58" s="9">
        <f t="shared" si="6"/>
        <v>0</v>
      </c>
      <c r="H58" s="12" cm="1">
        <f t="array" ref="H58">F58+alpha*t*BJB*Act_axn_k(x+A58,MAX(5-A58,0),GESCHL,Tafel,Zins,1)/Act_axn_k(x,5,GESCHL,Tafel,Zins,1)</f>
        <v>0</v>
      </c>
      <c r="I58" s="15">
        <f t="shared" si="8"/>
        <v>1</v>
      </c>
      <c r="J58" s="12">
        <f t="shared" si="9"/>
        <v>0</v>
      </c>
      <c r="K58" s="12">
        <f t="shared" si="7"/>
        <v>0</v>
      </c>
      <c r="L58" s="12">
        <f t="shared" si="10"/>
        <v>0</v>
      </c>
    </row>
    <row r="59" spans="1:12" x14ac:dyDescent="0.25">
      <c r="A59">
        <v>38</v>
      </c>
      <c r="B59" s="9" cm="1">
        <f t="array" ref="B59">IF(A59&lt;=n,act_nGrAx(x+$A59,MAX(0,n-$A59),GESCHL,Tafel,Zins)+Act_Dx(x+n,GESCHL,Tafel,Zins)/Act_Dx(x+$A59,GESCHL,Tafel,Zins),0)</f>
        <v>0</v>
      </c>
      <c r="C59" s="16" cm="1">
        <f t="array" ref="C59">Act_axn_k(x+$A59,MAX(0,n-$A59),GESCHL,Tafel,Zins,1)</f>
        <v>0</v>
      </c>
      <c r="D59" s="16" cm="1">
        <f t="array" ref="D59">Act_axn_k(x+$A59,MAX(0,t-$A59),GESCHL,Tafel,Zins,1)</f>
        <v>0</v>
      </c>
      <c r="E59" s="9" cm="1">
        <f t="array" ref="E59">B59-P_xt*D59+gamma2*(C59-Act_axn_k(x,n,GESCHL,Tafel,Zins,1)/Act_axn_k(x,t,GESCHL,Tafel,Zins,1)*D59)</f>
        <v>0</v>
      </c>
      <c r="F59" s="12">
        <f t="shared" si="1"/>
        <v>0</v>
      </c>
      <c r="G59" s="9">
        <f t="shared" si="6"/>
        <v>0</v>
      </c>
      <c r="H59" s="12" cm="1">
        <f t="array" ref="H59">F59+alpha*t*BJB*Act_axn_k(x+A59,MAX(5-A59,0),GESCHL,Tafel,Zins,1)/Act_axn_k(x,5,GESCHL,Tafel,Zins,1)</f>
        <v>0</v>
      </c>
      <c r="I59" s="15">
        <f t="shared" si="8"/>
        <v>1</v>
      </c>
      <c r="J59" s="12">
        <f t="shared" si="9"/>
        <v>0</v>
      </c>
      <c r="K59" s="12">
        <f t="shared" si="7"/>
        <v>0</v>
      </c>
      <c r="L59" s="12">
        <f t="shared" si="10"/>
        <v>0</v>
      </c>
    </row>
    <row r="60" spans="1:12" x14ac:dyDescent="0.25">
      <c r="A60">
        <v>39</v>
      </c>
      <c r="B60" s="9" cm="1">
        <f t="array" ref="B60">IF(A60&lt;=n,act_nGrAx(x+$A60,MAX(0,n-$A60),GESCHL,Tafel,Zins)+Act_Dx(x+n,GESCHL,Tafel,Zins)/Act_Dx(x+$A60,GESCHL,Tafel,Zins),0)</f>
        <v>0</v>
      </c>
      <c r="C60" s="16" cm="1">
        <f t="array" ref="C60">Act_axn_k(x+$A60,MAX(0,n-$A60),GESCHL,Tafel,Zins,1)</f>
        <v>0</v>
      </c>
      <c r="D60" s="16" cm="1">
        <f t="array" ref="D60">Act_axn_k(x+$A60,MAX(0,t-$A60),GESCHL,Tafel,Zins,1)</f>
        <v>0</v>
      </c>
      <c r="E60" s="9" cm="1">
        <f t="array" ref="E60">B60-P_xt*D60+gamma2*(C60-Act_axn_k(x,n,GESCHL,Tafel,Zins,1)/Act_axn_k(x,t,GESCHL,Tafel,Zins,1)*D60)</f>
        <v>0</v>
      </c>
      <c r="F60" s="12">
        <f t="shared" si="1"/>
        <v>0</v>
      </c>
      <c r="G60" s="9">
        <f t="shared" si="6"/>
        <v>0</v>
      </c>
      <c r="H60" s="12" cm="1">
        <f t="array" ref="H60">F60+alpha*t*BJB*Act_axn_k(x+A60,MAX(5-A60,0),GESCHL,Tafel,Zins,1)/Act_axn_k(x,5,GESCHL,Tafel,Zins,1)</f>
        <v>0</v>
      </c>
      <c r="I60" s="15">
        <f t="shared" si="8"/>
        <v>1</v>
      </c>
      <c r="J60" s="12">
        <f t="shared" si="9"/>
        <v>0</v>
      </c>
      <c r="K60" s="12">
        <f t="shared" si="7"/>
        <v>0</v>
      </c>
      <c r="L60" s="12">
        <f t="shared" si="10"/>
        <v>0</v>
      </c>
    </row>
    <row r="61" spans="1:12" x14ac:dyDescent="0.25">
      <c r="A61">
        <v>40</v>
      </c>
      <c r="B61" s="9" cm="1">
        <f t="array" ref="B61">IF(A61&lt;=n,act_nGrAx(x+$A61,MAX(0,n-$A61),GESCHL,Tafel,Zins)+Act_Dx(x+n,GESCHL,Tafel,Zins)/Act_Dx(x+$A61,GESCHL,Tafel,Zins),0)</f>
        <v>0</v>
      </c>
      <c r="C61" s="16" cm="1">
        <f t="array" ref="C61">Act_axn_k(x+$A61,MAX(0,n-$A61),GESCHL,Tafel,Zins,1)</f>
        <v>0</v>
      </c>
      <c r="D61" s="16" cm="1">
        <f t="array" ref="D61">Act_axn_k(x+$A61,MAX(0,t-$A61),GESCHL,Tafel,Zins,1)</f>
        <v>0</v>
      </c>
      <c r="E61" s="9" cm="1">
        <f t="array" ref="E61">B61-P_xt*D61+gamma2*(C61-Act_axn_k(x,n,GESCHL,Tafel,Zins,1)/Act_axn_k(x,t,GESCHL,Tafel,Zins,1)*D61)</f>
        <v>0</v>
      </c>
      <c r="F61" s="12">
        <f t="shared" si="1"/>
        <v>0</v>
      </c>
      <c r="G61" s="9">
        <f t="shared" si="6"/>
        <v>0</v>
      </c>
      <c r="H61" s="12" cm="1">
        <f t="array" ref="H61">F61+alpha*t*BJB*Act_axn_k(x+A61,MAX(5-A61,0),GESCHL,Tafel,Zins,1)/Act_axn_k(x,5,GESCHL,Tafel,Zins,1)</f>
        <v>0</v>
      </c>
      <c r="I61" s="15">
        <f t="shared" si="8"/>
        <v>1</v>
      </c>
      <c r="J61" s="12">
        <f t="shared" si="9"/>
        <v>0</v>
      </c>
      <c r="K61" s="12">
        <f t="shared" si="7"/>
        <v>0</v>
      </c>
      <c r="L61" s="12">
        <f t="shared" si="10"/>
        <v>0</v>
      </c>
    </row>
    <row r="62" spans="1:12" x14ac:dyDescent="0.25">
      <c r="A62">
        <v>41</v>
      </c>
      <c r="B62" s="9" cm="1">
        <f t="array" ref="B62">IF(A62&lt;=n,act_nGrAx(x+$A62,MAX(0,n-$A62),GESCHL,Tafel,Zins)+Act_Dx(x+n,GESCHL,Tafel,Zins)/Act_Dx(x+$A62,GESCHL,Tafel,Zins),0)</f>
        <v>0</v>
      </c>
      <c r="C62" s="16" cm="1">
        <f t="array" ref="C62">Act_axn_k(x+$A62,MAX(0,n-$A62),GESCHL,Tafel,Zins,1)</f>
        <v>0</v>
      </c>
      <c r="D62" s="16" cm="1">
        <f t="array" ref="D62">Act_axn_k(x+$A62,MAX(0,t-$A62),GESCHL,Tafel,Zins,1)</f>
        <v>0</v>
      </c>
      <c r="E62" s="9" cm="1">
        <f t="array" ref="E62">B62-P_xt*D62+gamma2*(C62-Act_axn_k(x,n,GESCHL,Tafel,Zins,1)/Act_axn_k(x,t,GESCHL,Tafel,Zins,1)*D62)</f>
        <v>0</v>
      </c>
      <c r="F62" s="12">
        <f t="shared" si="1"/>
        <v>0</v>
      </c>
      <c r="G62" s="9">
        <f t="shared" si="6"/>
        <v>0</v>
      </c>
      <c r="H62" s="12" cm="1">
        <f t="array" ref="H62">F62+alpha*t*BJB*Act_axn_k(x+A62,MAX(5-A62,0),GESCHL,Tafel,Zins,1)/Act_axn_k(x,5,GESCHL,Tafel,Zins,1)</f>
        <v>0</v>
      </c>
      <c r="I62" s="15">
        <f t="shared" si="8"/>
        <v>1</v>
      </c>
      <c r="J62" s="12">
        <f t="shared" si="9"/>
        <v>0</v>
      </c>
      <c r="K62" s="12">
        <f t="shared" si="7"/>
        <v>0</v>
      </c>
      <c r="L62" s="12">
        <f t="shared" si="10"/>
        <v>0</v>
      </c>
    </row>
    <row r="63" spans="1:12" x14ac:dyDescent="0.25">
      <c r="A63">
        <v>42</v>
      </c>
      <c r="B63" s="9" cm="1">
        <f t="array" ref="B63">IF(A63&lt;=n,act_nGrAx(x+$A63,MAX(0,n-$A63),GESCHL,Tafel,Zins)+Act_Dx(x+n,GESCHL,Tafel,Zins)/Act_Dx(x+$A63,GESCHL,Tafel,Zins),0)</f>
        <v>0</v>
      </c>
      <c r="C63" s="16" cm="1">
        <f t="array" ref="C63">Act_axn_k(x+$A63,MAX(0,n-$A63),GESCHL,Tafel,Zins,1)</f>
        <v>0</v>
      </c>
      <c r="D63" s="16" cm="1">
        <f t="array" ref="D63">Act_axn_k(x+$A63,MAX(0,t-$A63),GESCHL,Tafel,Zins,1)</f>
        <v>0</v>
      </c>
      <c r="E63" s="9" cm="1">
        <f t="array" ref="E63">B63-P_xt*D63+gamma2*(C63-Act_axn_k(x,n,GESCHL,Tafel,Zins,1)/Act_axn_k(x,t,GESCHL,Tafel,Zins,1)*D63)</f>
        <v>0</v>
      </c>
      <c r="F63" s="12">
        <f t="shared" si="1"/>
        <v>0</v>
      </c>
      <c r="G63" s="9">
        <f t="shared" si="6"/>
        <v>0</v>
      </c>
      <c r="H63" s="12" cm="1">
        <f t="array" ref="H63">F63+alpha*t*BJB*Act_axn_k(x+A63,MAX(5-A63,0),GESCHL,Tafel,Zins,1)/Act_axn_k(x,5,GESCHL,Tafel,Zins,1)</f>
        <v>0</v>
      </c>
      <c r="I63" s="15">
        <f t="shared" si="8"/>
        <v>1</v>
      </c>
      <c r="J63" s="12">
        <f t="shared" si="9"/>
        <v>0</v>
      </c>
      <c r="K63" s="12">
        <f t="shared" si="7"/>
        <v>0</v>
      </c>
      <c r="L63" s="12">
        <f t="shared" si="10"/>
        <v>0</v>
      </c>
    </row>
    <row r="64" spans="1:12" x14ac:dyDescent="0.25">
      <c r="A64">
        <v>43</v>
      </c>
      <c r="B64" s="9" cm="1">
        <f t="array" ref="B64">IF(A64&lt;=n,act_nGrAx(x+$A64,MAX(0,n-$A64),GESCHL,Tafel,Zins)+Act_Dx(x+n,GESCHL,Tafel,Zins)/Act_Dx(x+$A64,GESCHL,Tafel,Zins),0)</f>
        <v>0</v>
      </c>
      <c r="C64" s="16" cm="1">
        <f t="array" ref="C64">Act_axn_k(x+$A64,MAX(0,n-$A64),GESCHL,Tafel,Zins,1)</f>
        <v>0</v>
      </c>
      <c r="D64" s="16" cm="1">
        <f t="array" ref="D64">Act_axn_k(x+$A64,MAX(0,t-$A64),GESCHL,Tafel,Zins,1)</f>
        <v>0</v>
      </c>
      <c r="E64" s="9" cm="1">
        <f t="array" ref="E64">B64-P_xt*D64+gamma2*(C64-Act_axn_k(x,n,GESCHL,Tafel,Zins,1)/Act_axn_k(x,t,GESCHL,Tafel,Zins,1)*D64)</f>
        <v>0</v>
      </c>
      <c r="F64" s="12">
        <f t="shared" si="1"/>
        <v>0</v>
      </c>
      <c r="G64" s="9">
        <f t="shared" si="6"/>
        <v>0</v>
      </c>
      <c r="H64" s="12" cm="1">
        <f t="array" ref="H64">F64+alpha*t*BJB*Act_axn_k(x+A64,MAX(5-A64,0),GESCHL,Tafel,Zins,1)/Act_axn_k(x,5,GESCHL,Tafel,Zins,1)</f>
        <v>0</v>
      </c>
      <c r="I64" s="15">
        <f t="shared" si="8"/>
        <v>1</v>
      </c>
      <c r="J64" s="12">
        <f t="shared" si="9"/>
        <v>0</v>
      </c>
      <c r="K64" s="12">
        <f t="shared" si="7"/>
        <v>0</v>
      </c>
      <c r="L64" s="12">
        <f t="shared" si="10"/>
        <v>0</v>
      </c>
    </row>
    <row r="65" spans="1:12" x14ac:dyDescent="0.25">
      <c r="A65">
        <v>44</v>
      </c>
      <c r="B65" s="9" cm="1">
        <f t="array" ref="B65">IF(A65&lt;=n,act_nGrAx(x+$A65,MAX(0,n-$A65),GESCHL,Tafel,Zins)+Act_Dx(x+n,GESCHL,Tafel,Zins)/Act_Dx(x+$A65,GESCHL,Tafel,Zins),0)</f>
        <v>0</v>
      </c>
      <c r="C65" s="16" cm="1">
        <f t="array" ref="C65">Act_axn_k(x+$A65,MAX(0,n-$A65),GESCHL,Tafel,Zins,1)</f>
        <v>0</v>
      </c>
      <c r="D65" s="16" cm="1">
        <f t="array" ref="D65">Act_axn_k(x+$A65,MAX(0,t-$A65),GESCHL,Tafel,Zins,1)</f>
        <v>0</v>
      </c>
      <c r="E65" s="9" cm="1">
        <f t="array" ref="E65">B65-P_xt*D65+gamma2*(C65-Act_axn_k(x,n,GESCHL,Tafel,Zins,1)/Act_axn_k(x,t,GESCHL,Tafel,Zins,1)*D65)</f>
        <v>0</v>
      </c>
      <c r="F65" s="12">
        <f t="shared" si="1"/>
        <v>0</v>
      </c>
      <c r="G65" s="9">
        <f t="shared" si="6"/>
        <v>0</v>
      </c>
      <c r="H65" s="12" cm="1">
        <f t="array" ref="H65">F65+alpha*t*BJB*Act_axn_k(x+A65,MAX(5-A65,0),GESCHL,Tafel,Zins,1)/Act_axn_k(x,5,GESCHL,Tafel,Zins,1)</f>
        <v>0</v>
      </c>
      <c r="I65" s="15">
        <f t="shared" si="8"/>
        <v>1</v>
      </c>
      <c r="J65" s="12">
        <f t="shared" si="9"/>
        <v>0</v>
      </c>
      <c r="K65" s="12">
        <f t="shared" si="7"/>
        <v>0</v>
      </c>
      <c r="L65" s="12">
        <f t="shared" si="10"/>
        <v>0</v>
      </c>
    </row>
    <row r="66" spans="1:12" x14ac:dyDescent="0.25">
      <c r="A66">
        <v>45</v>
      </c>
      <c r="B66" s="9" cm="1">
        <f t="array" ref="B66">IF(A66&lt;=n,act_nGrAx(x+$A66,MAX(0,n-$A66),GESCHL,Tafel,Zins)+Act_Dx(x+n,GESCHL,Tafel,Zins)/Act_Dx(x+$A66,GESCHL,Tafel,Zins),0)</f>
        <v>0</v>
      </c>
      <c r="C66" s="16" cm="1">
        <f t="array" ref="C66">Act_axn_k(x+$A66,MAX(0,n-$A66),GESCHL,Tafel,Zins,1)</f>
        <v>0</v>
      </c>
      <c r="D66" s="16" cm="1">
        <f t="array" ref="D66">Act_axn_k(x+$A66,MAX(0,t-$A66),GESCHL,Tafel,Zins,1)</f>
        <v>0</v>
      </c>
      <c r="E66" s="9" cm="1">
        <f t="array" ref="E66">B66-P_xt*D66+gamma2*(C66-Act_axn_k(x,n,GESCHL,Tafel,Zins,1)/Act_axn_k(x,t,GESCHL,Tafel,Zins,1)*D66)</f>
        <v>0</v>
      </c>
      <c r="F66" s="12">
        <f t="shared" si="1"/>
        <v>0</v>
      </c>
      <c r="G66" s="9">
        <f t="shared" si="6"/>
        <v>0</v>
      </c>
      <c r="H66" s="12" cm="1">
        <f t="array" ref="H66">F66+alpha*t*BJB*Act_axn_k(x+A66,MAX(5-A66,0),GESCHL,Tafel,Zins,1)/Act_axn_k(x,5,GESCHL,Tafel,Zins,1)</f>
        <v>0</v>
      </c>
      <c r="I66" s="15">
        <f t="shared" si="8"/>
        <v>1</v>
      </c>
      <c r="J66" s="12">
        <f t="shared" si="9"/>
        <v>0</v>
      </c>
      <c r="K66" s="12">
        <f t="shared" si="7"/>
        <v>0</v>
      </c>
      <c r="L66" s="12">
        <f t="shared" si="10"/>
        <v>0</v>
      </c>
    </row>
    <row r="67" spans="1:12" x14ac:dyDescent="0.25">
      <c r="A67">
        <v>46</v>
      </c>
      <c r="B67" s="9" cm="1">
        <f t="array" ref="B67">IF(A67&lt;=n,act_nGrAx(x+$A67,MAX(0,n-$A67),GESCHL,Tafel,Zins)+Act_Dx(x+n,GESCHL,Tafel,Zins)/Act_Dx(x+$A67,GESCHL,Tafel,Zins),0)</f>
        <v>0</v>
      </c>
      <c r="C67" s="16" cm="1">
        <f t="array" ref="C67">Act_axn_k(x+$A67,MAX(0,n-$A67),GESCHL,Tafel,Zins,1)</f>
        <v>0</v>
      </c>
      <c r="D67" s="16" cm="1">
        <f t="array" ref="D67">Act_axn_k(x+$A67,MAX(0,t-$A67),GESCHL,Tafel,Zins,1)</f>
        <v>0</v>
      </c>
      <c r="E67" s="9" cm="1">
        <f t="array" ref="E67">B67-P_xt*D67+gamma2*(C67-Act_axn_k(x,n,GESCHL,Tafel,Zins,1)/Act_axn_k(x,t,GESCHL,Tafel,Zins,1)*D67)</f>
        <v>0</v>
      </c>
      <c r="F67" s="12">
        <f t="shared" si="1"/>
        <v>0</v>
      </c>
      <c r="G67" s="9">
        <f t="shared" si="6"/>
        <v>0</v>
      </c>
      <c r="H67" s="12" cm="1">
        <f t="array" ref="H67">F67+alpha*t*BJB*Act_axn_k(x+A67,MAX(5-A67,0),GESCHL,Tafel,Zins,1)/Act_axn_k(x,5,GESCHL,Tafel,Zins,1)</f>
        <v>0</v>
      </c>
      <c r="I67" s="15">
        <f t="shared" si="8"/>
        <v>1</v>
      </c>
      <c r="J67" s="12">
        <f t="shared" si="9"/>
        <v>0</v>
      </c>
      <c r="K67" s="12">
        <f t="shared" si="7"/>
        <v>0</v>
      </c>
      <c r="L67" s="12">
        <f t="shared" si="10"/>
        <v>0</v>
      </c>
    </row>
    <row r="68" spans="1:12" x14ac:dyDescent="0.25">
      <c r="A68">
        <v>47</v>
      </c>
      <c r="B68" s="9" cm="1">
        <f t="array" ref="B68">IF(A68&lt;=n,act_nGrAx(x+$A68,MAX(0,n-$A68),GESCHL,Tafel,Zins)+Act_Dx(x+n,GESCHL,Tafel,Zins)/Act_Dx(x+$A68,GESCHL,Tafel,Zins),0)</f>
        <v>0</v>
      </c>
      <c r="C68" s="16" cm="1">
        <f t="array" ref="C68">Act_axn_k(x+$A68,MAX(0,n-$A68),GESCHL,Tafel,Zins,1)</f>
        <v>0</v>
      </c>
      <c r="D68" s="16" cm="1">
        <f t="array" ref="D68">Act_axn_k(x+$A68,MAX(0,t-$A68),GESCHL,Tafel,Zins,1)</f>
        <v>0</v>
      </c>
      <c r="E68" s="9" cm="1">
        <f t="array" ref="E68">B68-P_xt*D68+gamma2*(C68-Act_axn_k(x,n,GESCHL,Tafel,Zins,1)/Act_axn_k(x,t,GESCHL,Tafel,Zins,1)*D68)</f>
        <v>0</v>
      </c>
      <c r="F68" s="12">
        <f t="shared" si="1"/>
        <v>0</v>
      </c>
      <c r="G68" s="9">
        <f t="shared" si="6"/>
        <v>0</v>
      </c>
      <c r="H68" s="12" cm="1">
        <f t="array" ref="H68">F68+alpha*t*BJB*Act_axn_k(x+A68,MAX(5-A68,0),GESCHL,Tafel,Zins,1)/Act_axn_k(x,5,GESCHL,Tafel,Zins,1)</f>
        <v>0</v>
      </c>
      <c r="I68" s="15">
        <f t="shared" si="8"/>
        <v>1</v>
      </c>
      <c r="J68" s="12">
        <f t="shared" si="9"/>
        <v>0</v>
      </c>
      <c r="K68" s="12">
        <f t="shared" si="7"/>
        <v>0</v>
      </c>
      <c r="L68" s="12">
        <f t="shared" si="10"/>
        <v>0</v>
      </c>
    </row>
    <row r="69" spans="1:12" x14ac:dyDescent="0.25">
      <c r="A69">
        <v>48</v>
      </c>
      <c r="B69" s="9" cm="1">
        <f t="array" ref="B69">IF(A69&lt;=n,act_nGrAx(x+$A69,MAX(0,n-$A69),GESCHL,Tafel,Zins)+Act_Dx(x+n,GESCHL,Tafel,Zins)/Act_Dx(x+$A69,GESCHL,Tafel,Zins),0)</f>
        <v>0</v>
      </c>
      <c r="C69" s="16" cm="1">
        <f t="array" ref="C69">Act_axn_k(x+$A69,MAX(0,n-$A69),GESCHL,Tafel,Zins,1)</f>
        <v>0</v>
      </c>
      <c r="D69" s="16" cm="1">
        <f t="array" ref="D69">Act_axn_k(x+$A69,MAX(0,t-$A69),GESCHL,Tafel,Zins,1)</f>
        <v>0</v>
      </c>
      <c r="E69" s="9" cm="1">
        <f t="array" ref="E69">B69-P_xt*D69+gamma2*(C69-Act_axn_k(x,n,GESCHL,Tafel,Zins,1)/Act_axn_k(x,t,GESCHL,Tafel,Zins,1)*D69)</f>
        <v>0</v>
      </c>
      <c r="F69" s="12">
        <f t="shared" si="1"/>
        <v>0</v>
      </c>
      <c r="G69" s="9">
        <f t="shared" si="6"/>
        <v>0</v>
      </c>
      <c r="H69" s="12" cm="1">
        <f t="array" ref="H69">F69+alpha*t*BJB*Act_axn_k(x+A69,MAX(5-A69,0),GESCHL,Tafel,Zins,1)/Act_axn_k(x,5,GESCHL,Tafel,Zins,1)</f>
        <v>0</v>
      </c>
      <c r="I69" s="15">
        <f t="shared" si="8"/>
        <v>1</v>
      </c>
      <c r="J69" s="12">
        <f t="shared" si="9"/>
        <v>0</v>
      </c>
      <c r="K69" s="12">
        <f t="shared" si="7"/>
        <v>0</v>
      </c>
      <c r="L69" s="12">
        <f t="shared" si="10"/>
        <v>0</v>
      </c>
    </row>
    <row r="70" spans="1:12" x14ac:dyDescent="0.25">
      <c r="A70">
        <v>49</v>
      </c>
      <c r="B70" s="9" cm="1">
        <f t="array" ref="B70">IF(A70&lt;=n,act_nGrAx(x+$A70,MAX(0,n-$A70),GESCHL,Tafel,Zins)+Act_Dx(x+n,GESCHL,Tafel,Zins)/Act_Dx(x+$A70,GESCHL,Tafel,Zins),0)</f>
        <v>0</v>
      </c>
      <c r="C70" s="16" cm="1">
        <f t="array" ref="C70">Act_axn_k(x+$A70,MAX(0,n-$A70),GESCHL,Tafel,Zins,1)</f>
        <v>0</v>
      </c>
      <c r="D70" s="16" cm="1">
        <f t="array" ref="D70">Act_axn_k(x+$A70,MAX(0,t-$A70),GESCHL,Tafel,Zins,1)</f>
        <v>0</v>
      </c>
      <c r="E70" s="9" cm="1">
        <f t="array" ref="E70">B70-P_xt*D70+gamma2*(C70-Act_axn_k(x,n,GESCHL,Tafel,Zins,1)/Act_axn_k(x,t,GESCHL,Tafel,Zins,1)*D70)</f>
        <v>0</v>
      </c>
      <c r="F70" s="12">
        <f t="shared" si="1"/>
        <v>0</v>
      </c>
      <c r="G70" s="9">
        <f t="shared" si="6"/>
        <v>0</v>
      </c>
      <c r="H70" s="12" cm="1">
        <f t="array" ref="H70">F70+alpha*t*BJB*Act_axn_k(x+A70,MAX(5-A70,0),GESCHL,Tafel,Zins,1)/Act_axn_k(x,5,GESCHL,Tafel,Zins,1)</f>
        <v>0</v>
      </c>
      <c r="I70" s="15">
        <f t="shared" si="8"/>
        <v>1</v>
      </c>
      <c r="J70" s="12">
        <f t="shared" si="9"/>
        <v>0</v>
      </c>
      <c r="K70" s="12">
        <f t="shared" si="7"/>
        <v>0</v>
      </c>
      <c r="L70" s="12">
        <f t="shared" si="10"/>
        <v>0</v>
      </c>
    </row>
    <row r="71" spans="1:12" x14ac:dyDescent="0.25">
      <c r="A71">
        <v>50</v>
      </c>
      <c r="B71" s="9" cm="1">
        <f t="array" ref="B71">IF(A71&lt;=n,act_nGrAx(x+$A71,MAX(0,n-$A71),GESCHL,Tafel,Zins)+Act_Dx(x+n,GESCHL,Tafel,Zins)/Act_Dx(x+$A71,GESCHL,Tafel,Zins),0)</f>
        <v>0</v>
      </c>
      <c r="C71" s="16" cm="1">
        <f t="array" ref="C71">Act_axn_k(x+$A71,MAX(0,n-$A71),GESCHL,Tafel,Zins,1)</f>
        <v>0</v>
      </c>
      <c r="D71" s="16" cm="1">
        <f t="array" ref="D71">Act_axn_k(x+$A71,MAX(0,t-$A71),GESCHL,Tafel,Zins,1)</f>
        <v>0</v>
      </c>
      <c r="E71" s="9" cm="1">
        <f t="array" ref="E71">B71-P_xt*D71+gamma2*(C71-Act_axn_k(x,n,GESCHL,Tafel,Zins,1)/Act_axn_k(x,t,GESCHL,Tafel,Zins,1)*D71)</f>
        <v>0</v>
      </c>
      <c r="F71" s="12">
        <f t="shared" si="1"/>
        <v>0</v>
      </c>
      <c r="G71" s="9">
        <f t="shared" si="6"/>
        <v>0</v>
      </c>
      <c r="H71" s="12" cm="1">
        <f t="array" ref="H71">F71+alpha*t*BJB*Act_axn_k(x+A71,MAX(5-A71,0),GESCHL,Tafel,Zins,1)/Act_axn_k(x,5,GESCHL,Tafel,Zins,1)</f>
        <v>0</v>
      </c>
      <c r="I71" s="15">
        <f t="shared" si="8"/>
        <v>1</v>
      </c>
      <c r="J71" s="12">
        <f t="shared" si="9"/>
        <v>0</v>
      </c>
      <c r="K71" s="12">
        <f t="shared" si="7"/>
        <v>0</v>
      </c>
      <c r="L71" s="12">
        <f t="shared" si="10"/>
        <v>0</v>
      </c>
    </row>
  </sheetData>
  <mergeCells count="1">
    <mergeCell ref="G2:I2"/>
  </mergeCells>
  <conditionalFormatting sqref="A21:L71">
    <cfRule type="expression" dxfId="2" priority="1">
      <formula>$A21&gt;n</formula>
    </cfRule>
    <cfRule type="expression" dxfId="1" priority="2">
      <formula>$A21=n</formula>
    </cfRule>
    <cfRule type="expression" dxfId="0" priority="3">
      <formula>$A21=t</formula>
    </cfRule>
  </conditionalFormatting>
  <dataValidations count="4">
    <dataValidation type="list" allowBlank="1" showInputMessage="1" showErrorMessage="1" sqref="B5" xr:uid="{01A88204-4895-42C4-A29A-4E373E9EE946}">
      <formula1>"U70"</formula1>
    </dataValidation>
    <dataValidation type="list" allowBlank="1" showInputMessage="1" showErrorMessage="1" sqref="B9" xr:uid="{948B63C1-9665-42EE-B260-2F130E106642}">
      <formula1>"1,2,4,12"</formula1>
    </dataValidation>
    <dataValidation type="list" allowBlank="1" showInputMessage="1" showErrorMessage="1" sqref="B10" xr:uid="{3F14A1C7-F275-47CB-9DF4-99D79A51F329}">
      <formula1>"Raucher,Nichtraucher"</formula1>
    </dataValidation>
    <dataValidation type="list" allowBlank="1" showInputMessage="1" showErrorMessage="1" sqref="B11" xr:uid="{6F97F3A7-C3D5-4963-B8A0-135672A94477}">
      <formula1>"Einzel,Kollektiv,Haus"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I127"/>
  <sheetViews>
    <sheetView workbookViewId="0">
      <pane xSplit="1" ySplit="3" topLeftCell="B106" activePane="bottomRight" state="frozen"/>
      <selection pane="topRight" activeCell="U4" sqref="U4"/>
      <selection pane="bottomLeft" activeCell="U4" sqref="U4"/>
      <selection pane="bottomRight" activeCell="H129" sqref="H129"/>
    </sheetView>
  </sheetViews>
  <sheetFormatPr baseColWidth="10" defaultColWidth="15.81640625" defaultRowHeight="12.5" x14ac:dyDescent="0.25"/>
  <cols>
    <col min="1" max="5" width="15.81640625" style="1"/>
    <col min="6" max="6" width="15.7265625" style="1" bestFit="1" customWidth="1"/>
    <col min="7" max="7" width="15.26953125" style="1" bestFit="1" customWidth="1"/>
    <col min="8" max="8" width="17.1796875" style="1" bestFit="1" customWidth="1"/>
    <col min="9" max="9" width="16.7265625" style="1" bestFit="1" customWidth="1"/>
    <col min="10" max="16384" width="15.81640625" style="1"/>
  </cols>
  <sheetData>
    <row r="3" spans="1:9" x14ac:dyDescent="0.25">
      <c r="A3" s="2" t="s">
        <v>36</v>
      </c>
      <c r="B3" s="2" t="s">
        <v>37</v>
      </c>
      <c r="C3" s="2" t="s">
        <v>38</v>
      </c>
      <c r="D3" s="2" t="s">
        <v>39</v>
      </c>
      <c r="E3" s="2" t="s">
        <v>40</v>
      </c>
      <c r="F3" s="2" t="s">
        <v>41</v>
      </c>
      <c r="G3" s="2" t="s">
        <v>42</v>
      </c>
      <c r="H3" s="2" t="s">
        <v>43</v>
      </c>
      <c r="I3" s="2" t="s">
        <v>44</v>
      </c>
    </row>
    <row r="4" spans="1:9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  <c r="F4" s="3">
        <v>6.6150000000000002E-3</v>
      </c>
      <c r="G4" s="3">
        <v>5.5059999999999996E-3</v>
      </c>
      <c r="H4" s="3">
        <v>6.1130000000000004E-3</v>
      </c>
      <c r="I4" s="3">
        <v>5.0879999999999996E-3</v>
      </c>
    </row>
    <row r="5" spans="1:9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  <c r="F5" s="3">
        <v>4.5800000000000002E-4</v>
      </c>
      <c r="G5" s="3">
        <v>4.1899999999999999E-4</v>
      </c>
      <c r="H5" s="3">
        <v>4.2299999999999998E-4</v>
      </c>
      <c r="I5" s="3">
        <v>3.8699999999999997E-4</v>
      </c>
    </row>
    <row r="6" spans="1:9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  <c r="F6" s="3">
        <v>3.7100000000000002E-4</v>
      </c>
      <c r="G6" s="3">
        <v>3.4400000000000001E-4</v>
      </c>
      <c r="H6" s="3">
        <v>3.4299999999999999E-4</v>
      </c>
      <c r="I6" s="3">
        <v>3.1799999999999998E-4</v>
      </c>
    </row>
    <row r="7" spans="1:9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  <c r="F7" s="3">
        <v>2.9700000000000001E-4</v>
      </c>
      <c r="G7" s="3">
        <v>2.7599999999999999E-4</v>
      </c>
      <c r="H7" s="3">
        <v>2.7500000000000002E-4</v>
      </c>
      <c r="I7" s="3">
        <v>2.5500000000000002E-4</v>
      </c>
    </row>
    <row r="8" spans="1:9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  <c r="F8" s="3">
        <v>2.3800000000000001E-4</v>
      </c>
      <c r="G8" s="3">
        <v>2.1900000000000001E-4</v>
      </c>
      <c r="H8" s="3">
        <v>2.2000000000000001E-4</v>
      </c>
      <c r="I8" s="3">
        <v>2.02E-4</v>
      </c>
    </row>
    <row r="9" spans="1:9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  <c r="F9" s="3">
        <v>1.9699999999999999E-4</v>
      </c>
      <c r="G9" s="3">
        <v>1.7699999999999999E-4</v>
      </c>
      <c r="H9" s="3">
        <v>1.8200000000000001E-4</v>
      </c>
      <c r="I9" s="3">
        <v>1.63E-4</v>
      </c>
    </row>
    <row r="10" spans="1:9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  <c r="F10" s="3">
        <v>1.6799999999999999E-4</v>
      </c>
      <c r="G10" s="3">
        <v>1.45E-4</v>
      </c>
      <c r="H10" s="3">
        <v>1.55E-4</v>
      </c>
      <c r="I10" s="3">
        <v>1.34E-4</v>
      </c>
    </row>
    <row r="11" spans="1:9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  <c r="F11" s="3">
        <v>1.5100000000000001E-4</v>
      </c>
      <c r="G11" s="3">
        <v>1.25E-4</v>
      </c>
      <c r="H11" s="3">
        <v>1.3899999999999999E-4</v>
      </c>
      <c r="I11" s="3">
        <v>1.15E-4</v>
      </c>
    </row>
    <row r="12" spans="1:9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  <c r="F12" s="3">
        <v>1.4200000000000001E-4</v>
      </c>
      <c r="G12" s="3">
        <v>1.13E-4</v>
      </c>
      <c r="H12" s="3">
        <v>1.2899999999999999E-4</v>
      </c>
      <c r="I12" s="3">
        <v>1.05E-4</v>
      </c>
    </row>
    <row r="13" spans="1:9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  <c r="F13" s="3">
        <v>1.3899999999999999E-4</v>
      </c>
      <c r="G13" s="3">
        <v>1.0900000000000001E-4</v>
      </c>
      <c r="H13" s="3">
        <v>1.25E-4</v>
      </c>
      <c r="I13" s="3">
        <v>9.8999999999999994E-5</v>
      </c>
    </row>
    <row r="14" spans="1:9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  <c r="F14" s="3">
        <v>1.46E-4</v>
      </c>
      <c r="G14" s="3">
        <v>1.15E-4</v>
      </c>
      <c r="H14" s="3">
        <v>1.2899999999999999E-4</v>
      </c>
      <c r="I14" s="3">
        <v>1.02E-4</v>
      </c>
    </row>
    <row r="15" spans="1:9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  <c r="F15" s="3">
        <v>1.65E-4</v>
      </c>
      <c r="G15" s="3">
        <v>1.2799999999999999E-4</v>
      </c>
      <c r="H15" s="3">
        <v>1.4300000000000001E-4</v>
      </c>
      <c r="I15" s="3">
        <v>1.11E-4</v>
      </c>
    </row>
    <row r="16" spans="1:9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  <c r="F16" s="3">
        <v>2.02E-4</v>
      </c>
      <c r="G16" s="3">
        <v>1.4899999999999999E-4</v>
      </c>
      <c r="H16" s="3">
        <v>1.73E-4</v>
      </c>
      <c r="I16" s="3">
        <v>1.27E-4</v>
      </c>
    </row>
    <row r="17" spans="1:9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  <c r="F17" s="3">
        <v>2.6400000000000002E-4</v>
      </c>
      <c r="G17" s="3">
        <v>1.8599999999999999E-4</v>
      </c>
      <c r="H17" s="3">
        <v>2.22E-4</v>
      </c>
      <c r="I17" s="3">
        <v>1.5300000000000001E-4</v>
      </c>
    </row>
    <row r="18" spans="1:9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  <c r="F18" s="3">
        <v>3.6299999999999999E-4</v>
      </c>
      <c r="G18" s="3">
        <v>2.3599999999999999E-4</v>
      </c>
      <c r="H18" s="3">
        <v>3.0299999999999999E-4</v>
      </c>
      <c r="I18" s="3">
        <v>1.8799999999999999E-4</v>
      </c>
    </row>
    <row r="19" spans="1:9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  <c r="F19" s="3">
        <v>5.0199999999999995E-4</v>
      </c>
      <c r="G19" s="3">
        <v>2.9399999999999999E-4</v>
      </c>
      <c r="H19" s="3">
        <v>4.17E-4</v>
      </c>
      <c r="I19" s="3">
        <v>2.2800000000000001E-4</v>
      </c>
    </row>
    <row r="20" spans="1:9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  <c r="F20" s="3">
        <v>6.6799999999999997E-4</v>
      </c>
      <c r="G20" s="3">
        <v>3.5500000000000001E-4</v>
      </c>
      <c r="H20" s="3">
        <v>5.5699999999999999E-4</v>
      </c>
      <c r="I20" s="3">
        <v>2.7099999999999997E-4</v>
      </c>
    </row>
    <row r="21" spans="1:9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  <c r="F21" s="3">
        <v>8.4800000000000001E-4</v>
      </c>
      <c r="G21" s="3">
        <v>4.1199999999999999E-4</v>
      </c>
      <c r="H21" s="3">
        <v>7.0899999999999999E-4</v>
      </c>
      <c r="I21" s="3">
        <v>3.1E-4</v>
      </c>
    </row>
    <row r="22" spans="1:9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  <c r="F22" s="3">
        <v>1.0089999999999999E-3</v>
      </c>
      <c r="G22" s="3">
        <v>4.35E-4</v>
      </c>
      <c r="H22" s="3">
        <v>8.4999999999999995E-4</v>
      </c>
      <c r="I22" s="3">
        <v>3.2400000000000001E-4</v>
      </c>
    </row>
    <row r="23" spans="1:9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  <c r="F23" s="3">
        <v>1.1249999999999999E-3</v>
      </c>
      <c r="G23" s="3">
        <v>4.44E-4</v>
      </c>
      <c r="H23" s="3">
        <v>9.5299999999999996E-4</v>
      </c>
      <c r="I23" s="3">
        <v>3.3E-4</v>
      </c>
    </row>
    <row r="24" spans="1:9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  <c r="F24" s="3">
        <v>1.186E-3</v>
      </c>
      <c r="G24" s="3">
        <v>4.4200000000000001E-4</v>
      </c>
      <c r="H24" s="3">
        <v>1.0120000000000001E-3</v>
      </c>
      <c r="I24" s="3">
        <v>3.28E-4</v>
      </c>
    </row>
    <row r="25" spans="1:9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  <c r="F25" s="3">
        <v>1.1900000000000001E-3</v>
      </c>
      <c r="G25" s="3">
        <v>4.3399999999999998E-4</v>
      </c>
      <c r="H25" s="3">
        <v>1.0219999999999999E-3</v>
      </c>
      <c r="I25" s="3">
        <v>3.19E-4</v>
      </c>
    </row>
    <row r="26" spans="1:9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  <c r="F26" s="3">
        <v>1.163E-3</v>
      </c>
      <c r="G26" s="3">
        <v>4.2200000000000001E-4</v>
      </c>
      <c r="H26" s="3">
        <v>1.0039999999999999E-3</v>
      </c>
      <c r="I26" s="3">
        <v>3.0899999999999998E-4</v>
      </c>
    </row>
    <row r="27" spans="1:9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  <c r="F27" s="3">
        <v>1.1169999999999999E-3</v>
      </c>
      <c r="G27" s="3">
        <v>4.0999999999999999E-4</v>
      </c>
      <c r="H27" s="3">
        <v>9.6299999999999999E-4</v>
      </c>
      <c r="I27" s="3">
        <v>2.9999999999999997E-4</v>
      </c>
    </row>
    <row r="28" spans="1:9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  <c r="F28" s="3">
        <v>1.0610000000000001E-3</v>
      </c>
      <c r="G28" s="3">
        <v>4.06E-4</v>
      </c>
      <c r="H28" s="3">
        <v>9.1100000000000003E-4</v>
      </c>
      <c r="I28" s="3">
        <v>2.9300000000000002E-4</v>
      </c>
    </row>
    <row r="29" spans="1:9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  <c r="F29" s="3">
        <v>1.0120000000000001E-3</v>
      </c>
      <c r="G29" s="3">
        <v>4.0700000000000003E-4</v>
      </c>
      <c r="H29" s="3">
        <v>8.5599999999999999E-4</v>
      </c>
      <c r="I29" s="3">
        <v>2.8699999999999998E-4</v>
      </c>
    </row>
    <row r="30" spans="1:9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  <c r="F30" s="3">
        <v>9.7900000000000005E-4</v>
      </c>
      <c r="G30" s="3">
        <v>4.1599999999999997E-4</v>
      </c>
      <c r="H30" s="3">
        <v>8.0800000000000002E-4</v>
      </c>
      <c r="I30" s="3">
        <v>2.8299999999999999E-4</v>
      </c>
    </row>
    <row r="31" spans="1:9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  <c r="F31" s="3">
        <v>9.6599999999999995E-4</v>
      </c>
      <c r="G31" s="3">
        <v>4.3199999999999998E-4</v>
      </c>
      <c r="H31" s="3">
        <v>7.7200000000000001E-4</v>
      </c>
      <c r="I31" s="3">
        <v>2.7999999999999998E-4</v>
      </c>
    </row>
    <row r="32" spans="1:9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  <c r="F32" s="3">
        <v>9.7900000000000005E-4</v>
      </c>
      <c r="G32" s="3">
        <v>4.5800000000000002E-4</v>
      </c>
      <c r="H32" s="3">
        <v>7.3700000000000002E-4</v>
      </c>
      <c r="I32" s="3">
        <v>2.7999999999999998E-4</v>
      </c>
    </row>
    <row r="33" spans="1:9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  <c r="F33" s="3">
        <v>1.0139999999999999E-3</v>
      </c>
      <c r="G33" s="3">
        <v>4.8999999999999998E-4</v>
      </c>
      <c r="H33" s="3">
        <v>7.1199999999999996E-4</v>
      </c>
      <c r="I33" s="3">
        <v>2.7999999999999998E-4</v>
      </c>
    </row>
    <row r="34" spans="1:9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  <c r="F34" s="3">
        <v>1.0690000000000001E-3</v>
      </c>
      <c r="G34" s="3">
        <v>5.31E-4</v>
      </c>
      <c r="H34" s="3">
        <v>6.9899999999999997E-4</v>
      </c>
      <c r="I34" s="3">
        <v>2.8299999999999999E-4</v>
      </c>
    </row>
    <row r="35" spans="1:9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  <c r="F35" s="3">
        <v>1.1349999999999999E-3</v>
      </c>
      <c r="G35" s="3">
        <v>5.8100000000000003E-4</v>
      </c>
      <c r="H35" s="3">
        <v>6.9499999999999998E-4</v>
      </c>
      <c r="I35" s="3">
        <v>2.9E-4</v>
      </c>
    </row>
    <row r="36" spans="1:9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  <c r="F36" s="3">
        <v>1.2110000000000001E-3</v>
      </c>
      <c r="G36" s="3">
        <v>6.4700000000000001E-4</v>
      </c>
      <c r="H36" s="3">
        <v>6.9700000000000003E-4</v>
      </c>
      <c r="I36" s="3">
        <v>3.0600000000000001E-4</v>
      </c>
    </row>
    <row r="37" spans="1:9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  <c r="F37" s="3">
        <v>1.2930000000000001E-3</v>
      </c>
      <c r="G37" s="3">
        <v>7.2900000000000005E-4</v>
      </c>
      <c r="H37" s="3">
        <v>7.0600000000000003E-4</v>
      </c>
      <c r="I37" s="3">
        <v>3.3100000000000002E-4</v>
      </c>
    </row>
    <row r="38" spans="1:9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  <c r="F38" s="3">
        <v>1.382E-3</v>
      </c>
      <c r="G38" s="3">
        <v>8.3199999999999995E-4</v>
      </c>
      <c r="H38" s="3">
        <v>7.2199999999999999E-4</v>
      </c>
      <c r="I38" s="3">
        <v>3.6400000000000001E-4</v>
      </c>
    </row>
    <row r="39" spans="1:9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  <c r="F39" s="3">
        <v>1.4779999999999999E-3</v>
      </c>
      <c r="G39" s="3">
        <v>9.5299999999999996E-4</v>
      </c>
      <c r="H39" s="3">
        <v>7.4200000000000004E-4</v>
      </c>
      <c r="I39" s="3">
        <v>4.0700000000000003E-4</v>
      </c>
    </row>
    <row r="40" spans="1:9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  <c r="F40" s="3">
        <v>1.588E-3</v>
      </c>
      <c r="G40" s="3">
        <v>1.083E-3</v>
      </c>
      <c r="H40" s="3">
        <v>7.6999999999999996E-4</v>
      </c>
      <c r="I40" s="3">
        <v>4.55E-4</v>
      </c>
    </row>
    <row r="41" spans="1:9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  <c r="F41" s="3">
        <v>1.7149999999999999E-3</v>
      </c>
      <c r="G41" s="3">
        <v>1.2179999999999999E-3</v>
      </c>
      <c r="H41" s="3">
        <v>8.0800000000000002E-4</v>
      </c>
      <c r="I41" s="3">
        <v>5.0799999999999999E-4</v>
      </c>
    </row>
    <row r="42" spans="1:9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  <c r="F42" s="3">
        <v>1.8730000000000001E-3</v>
      </c>
      <c r="G42" s="3">
        <v>1.3630000000000001E-3</v>
      </c>
      <c r="H42" s="3">
        <v>8.5800000000000004E-4</v>
      </c>
      <c r="I42" s="3">
        <v>5.6599999999999999E-4</v>
      </c>
    </row>
    <row r="43" spans="1:9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  <c r="F43" s="3">
        <v>2.068E-3</v>
      </c>
      <c r="G43" s="3">
        <v>1.5139999999999999E-3</v>
      </c>
      <c r="H43" s="3">
        <v>9.2199999999999997E-4</v>
      </c>
      <c r="I43" s="3">
        <v>6.2600000000000004E-4</v>
      </c>
    </row>
    <row r="44" spans="1:9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  <c r="F44" s="3">
        <v>2.3059999999999999E-3</v>
      </c>
      <c r="G44" s="3">
        <v>1.6789999999999999E-3</v>
      </c>
      <c r="H44" s="3">
        <v>1.0020000000000001E-3</v>
      </c>
      <c r="I44" s="3">
        <v>6.9499999999999998E-4</v>
      </c>
    </row>
    <row r="45" spans="1:9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  <c r="F45" s="3">
        <v>2.5899999999999999E-3</v>
      </c>
      <c r="G45" s="3">
        <v>1.8619999999999999E-3</v>
      </c>
      <c r="H45" s="3">
        <v>1.0989999999999999E-3</v>
      </c>
      <c r="I45" s="3">
        <v>7.7099999999999998E-4</v>
      </c>
    </row>
    <row r="46" spans="1:9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  <c r="F46" s="3">
        <v>2.9299999999999999E-3</v>
      </c>
      <c r="G46" s="3">
        <v>2.0690000000000001E-3</v>
      </c>
      <c r="H46" s="3">
        <v>1.217E-3</v>
      </c>
      <c r="I46" s="3">
        <v>8.5800000000000004E-4</v>
      </c>
    </row>
    <row r="47" spans="1:9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  <c r="F47" s="3">
        <v>3.3349999999999999E-3</v>
      </c>
      <c r="G47" s="3">
        <v>2.3080000000000002E-3</v>
      </c>
      <c r="H47" s="3">
        <v>1.356E-3</v>
      </c>
      <c r="I47" s="3">
        <v>9.5799999999999998E-4</v>
      </c>
    </row>
    <row r="48" spans="1:9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  <c r="F48" s="3">
        <v>3.8210000000000002E-3</v>
      </c>
      <c r="G48" s="3">
        <v>2.5820000000000001E-3</v>
      </c>
      <c r="H48" s="3">
        <v>1.5250000000000001E-3</v>
      </c>
      <c r="I48" s="3">
        <v>1.073E-3</v>
      </c>
    </row>
    <row r="49" spans="1:9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  <c r="F49" s="3">
        <v>4.3689999999999996E-3</v>
      </c>
      <c r="G49" s="3">
        <v>2.8990000000000001E-3</v>
      </c>
      <c r="H49" s="3">
        <v>1.717E-3</v>
      </c>
      <c r="I49" s="3">
        <v>1.2049999999999999E-3</v>
      </c>
    </row>
    <row r="50" spans="1:9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  <c r="F50" s="3">
        <v>4.9789999999999999E-3</v>
      </c>
      <c r="G50" s="3">
        <v>3.2569999999999999E-3</v>
      </c>
      <c r="H50" s="3">
        <v>1.931E-3</v>
      </c>
      <c r="I50" s="3">
        <v>1.353E-3</v>
      </c>
    </row>
    <row r="51" spans="1:9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  <c r="F51" s="3">
        <v>5.6220000000000003E-3</v>
      </c>
      <c r="G51" s="3">
        <v>3.6549999999999998E-3</v>
      </c>
      <c r="H51" s="3">
        <v>2.1580000000000002E-3</v>
      </c>
      <c r="I51" s="3">
        <v>1.5150000000000001E-3</v>
      </c>
    </row>
    <row r="52" spans="1:9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  <c r="F52" s="3">
        <v>6.3E-3</v>
      </c>
      <c r="G52" s="3">
        <v>4.0889999999999998E-3</v>
      </c>
      <c r="H52" s="3">
        <v>2.398E-3</v>
      </c>
      <c r="I52" s="3">
        <v>1.689E-3</v>
      </c>
    </row>
    <row r="53" spans="1:9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  <c r="F53" s="3">
        <v>7.0169999999999998E-3</v>
      </c>
      <c r="G53" s="3">
        <v>4.5599999999999998E-3</v>
      </c>
      <c r="H53" s="3">
        <v>2.6549999999999998E-3</v>
      </c>
      <c r="I53" s="3">
        <v>1.8749999999999999E-3</v>
      </c>
    </row>
    <row r="54" spans="1:9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  <c r="F54" s="3">
        <v>7.7879999999999998E-3</v>
      </c>
      <c r="G54" s="3">
        <v>5.0650000000000001E-3</v>
      </c>
      <c r="H54" s="3">
        <v>2.9350000000000001E-3</v>
      </c>
      <c r="I54" s="3">
        <v>2.0690000000000001E-3</v>
      </c>
    </row>
    <row r="55" spans="1:9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  <c r="F55" s="3">
        <v>8.6610000000000003E-3</v>
      </c>
      <c r="G55" s="3">
        <v>5.6220000000000003E-3</v>
      </c>
      <c r="H55" s="3">
        <v>3.2539999999999999E-3</v>
      </c>
      <c r="I55" s="3">
        <v>2.2780000000000001E-3</v>
      </c>
    </row>
    <row r="56" spans="1:9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  <c r="F56" s="3">
        <v>9.6319999999999999E-3</v>
      </c>
      <c r="G56" s="3">
        <v>6.2379999999999996E-3</v>
      </c>
      <c r="H56" s="3">
        <v>3.6120000000000002E-3</v>
      </c>
      <c r="I56" s="3">
        <v>2.5040000000000001E-3</v>
      </c>
    </row>
    <row r="57" spans="1:9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  <c r="F57" s="3">
        <v>1.073E-2</v>
      </c>
      <c r="G57" s="3">
        <v>6.9090000000000002E-3</v>
      </c>
      <c r="H57" s="3">
        <v>4.0179999999999999E-3</v>
      </c>
      <c r="I57" s="3">
        <v>2.7430000000000002E-3</v>
      </c>
    </row>
    <row r="58" spans="1:9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  <c r="F58" s="3">
        <v>1.1931000000000001E-2</v>
      </c>
      <c r="G58" s="3">
        <v>7.6439999999999998E-3</v>
      </c>
      <c r="H58" s="3">
        <v>4.463E-3</v>
      </c>
      <c r="I58" s="3">
        <v>3.0000000000000001E-3</v>
      </c>
    </row>
    <row r="59" spans="1:9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  <c r="F59" s="3">
        <v>1.3261999999999999E-2</v>
      </c>
      <c r="G59" s="3">
        <v>8.4539999999999997E-3</v>
      </c>
      <c r="H59" s="3">
        <v>4.9560000000000003E-3</v>
      </c>
      <c r="I59" s="3">
        <v>3.2759999999999998E-3</v>
      </c>
    </row>
    <row r="60" spans="1:9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  <c r="F60" s="3">
        <v>1.4741000000000001E-2</v>
      </c>
      <c r="G60" s="3">
        <v>9.3640000000000008E-3</v>
      </c>
      <c r="H60" s="3">
        <v>5.5030000000000001E-3</v>
      </c>
      <c r="I60" s="3">
        <v>3.5799999999999998E-3</v>
      </c>
    </row>
    <row r="61" spans="1:9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  <c r="F61" s="3">
        <v>1.6407000000000001E-2</v>
      </c>
      <c r="G61" s="3">
        <v>1.0368E-2</v>
      </c>
      <c r="H61" s="3">
        <v>6.1180000000000002E-3</v>
      </c>
      <c r="I61" s="3">
        <v>3.9090000000000001E-3</v>
      </c>
    </row>
    <row r="62" spans="1:9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  <c r="F62" s="3">
        <v>1.8263999999999999E-2</v>
      </c>
      <c r="G62" s="3">
        <v>1.1499000000000001E-2</v>
      </c>
      <c r="H62" s="3">
        <v>6.7990000000000004E-3</v>
      </c>
      <c r="I62" s="3">
        <v>4.2779999999999997E-3</v>
      </c>
    </row>
    <row r="63" spans="1:9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  <c r="F63" s="3">
        <v>2.0386999999999999E-2</v>
      </c>
      <c r="G63" s="3">
        <v>1.2789999999999999E-2</v>
      </c>
      <c r="H63" s="3">
        <v>7.5789999999999998E-3</v>
      </c>
      <c r="I63" s="3">
        <v>4.6950000000000004E-3</v>
      </c>
    </row>
    <row r="64" spans="1:9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  <c r="F64" s="3">
        <v>2.2817E-2</v>
      </c>
      <c r="G64" s="3">
        <v>1.4269E-2</v>
      </c>
      <c r="H64" s="3">
        <v>8.4749999999999999E-3</v>
      </c>
      <c r="I64" s="3">
        <v>5.1749999999999999E-3</v>
      </c>
    </row>
    <row r="65" spans="1:9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  <c r="F65" s="3">
        <v>2.5661E-2</v>
      </c>
      <c r="G65" s="3">
        <v>1.5996E-2</v>
      </c>
      <c r="H65" s="3">
        <v>9.528E-3</v>
      </c>
      <c r="I65" s="3">
        <v>5.738E-3</v>
      </c>
    </row>
    <row r="66" spans="1:9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  <c r="F66" s="3">
        <v>2.903E-2</v>
      </c>
      <c r="G66" s="3">
        <v>1.8067E-2</v>
      </c>
      <c r="H66" s="3">
        <v>1.0788000000000001E-2</v>
      </c>
      <c r="I66" s="3">
        <v>6.4180000000000001E-3</v>
      </c>
    </row>
    <row r="67" spans="1:9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  <c r="F67" s="3">
        <v>3.3072999999999998E-2</v>
      </c>
      <c r="G67" s="3">
        <v>2.0511999999999999E-2</v>
      </c>
      <c r="H67" s="3">
        <v>1.2312999999999999E-2</v>
      </c>
      <c r="I67" s="3">
        <v>7.2329999999999998E-3</v>
      </c>
    </row>
    <row r="68" spans="1:9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  <c r="F68" s="3">
        <v>3.7922999999999998E-2</v>
      </c>
      <c r="G68" s="3">
        <v>2.3351E-2</v>
      </c>
      <c r="H68" s="3">
        <v>1.4177E-2</v>
      </c>
      <c r="I68" s="3">
        <v>8.1880000000000008E-3</v>
      </c>
    </row>
    <row r="69" spans="1:9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  <c r="F69" s="3">
        <v>4.3806999999999999E-2</v>
      </c>
      <c r="G69" s="3">
        <v>2.666E-2</v>
      </c>
      <c r="H69" s="3">
        <v>1.6469000000000001E-2</v>
      </c>
      <c r="I69" s="3">
        <v>9.3220000000000004E-3</v>
      </c>
    </row>
    <row r="70" spans="1:9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  <c r="F70" s="3">
        <v>5.0613999999999999E-2</v>
      </c>
      <c r="G70" s="3">
        <v>3.0414E-2</v>
      </c>
      <c r="H70" s="3">
        <v>1.9179000000000002E-2</v>
      </c>
      <c r="I70" s="3">
        <v>1.0630000000000001E-2</v>
      </c>
    </row>
    <row r="71" spans="1:9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  <c r="F71" s="3">
        <v>5.8285999999999998E-2</v>
      </c>
      <c r="G71" s="3">
        <v>3.4640999999999998E-2</v>
      </c>
      <c r="H71" s="3">
        <v>2.2322999999999999E-2</v>
      </c>
      <c r="I71" s="3">
        <v>1.2137999999999999E-2</v>
      </c>
    </row>
    <row r="72" spans="1:9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  <c r="F72" s="3">
        <v>6.6851999999999995E-2</v>
      </c>
      <c r="G72" s="3">
        <v>3.9281000000000003E-2</v>
      </c>
      <c r="H72" s="3">
        <v>2.5942E-2</v>
      </c>
      <c r="I72" s="3">
        <v>1.384E-2</v>
      </c>
    </row>
    <row r="73" spans="1:9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  <c r="F73" s="3">
        <v>7.5976000000000002E-2</v>
      </c>
      <c r="G73" s="3">
        <v>4.4400000000000002E-2</v>
      </c>
      <c r="H73" s="3">
        <v>2.9947000000000001E-2</v>
      </c>
      <c r="I73" s="3">
        <v>1.5782999999999998E-2</v>
      </c>
    </row>
    <row r="74" spans="1:9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  <c r="F74" s="3">
        <v>8.5529999999999995E-2</v>
      </c>
      <c r="G74" s="3">
        <v>5.0037999999999999E-2</v>
      </c>
      <c r="H74" s="3">
        <v>3.4334999999999997E-2</v>
      </c>
      <c r="I74" s="3">
        <v>1.7999000000000001E-2</v>
      </c>
    </row>
    <row r="75" spans="1:9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  <c r="F75" s="3">
        <v>9.5425999999999997E-2</v>
      </c>
      <c r="G75" s="3">
        <v>5.6195000000000002E-2</v>
      </c>
      <c r="H75" s="3">
        <v>3.9125E-2</v>
      </c>
      <c r="I75" s="3">
        <v>2.0523E-2</v>
      </c>
    </row>
    <row r="76" spans="1:9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  <c r="F76" s="3">
        <v>0.10488599999999999</v>
      </c>
      <c r="G76" s="3">
        <v>6.2771999999999994E-2</v>
      </c>
      <c r="H76" s="3">
        <v>4.4032000000000002E-2</v>
      </c>
      <c r="I76" s="3">
        <v>2.3352000000000001E-2</v>
      </c>
    </row>
    <row r="77" spans="1:9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  <c r="F77" s="3">
        <v>0.11354400000000001</v>
      </c>
      <c r="G77" s="3">
        <v>7.1355000000000002E-2</v>
      </c>
      <c r="H77" s="3">
        <v>4.8919999999999998E-2</v>
      </c>
      <c r="I77" s="3">
        <v>2.7035E-2</v>
      </c>
    </row>
    <row r="78" spans="1:9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  <c r="F78" s="3">
        <v>0.122373</v>
      </c>
      <c r="G78" s="3">
        <v>7.8830999999999998E-2</v>
      </c>
      <c r="H78" s="3">
        <v>5.4243E-2</v>
      </c>
      <c r="I78" s="3">
        <v>3.0412999999999999E-2</v>
      </c>
    </row>
    <row r="79" spans="1:9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  <c r="F79" s="3">
        <v>0.131353</v>
      </c>
      <c r="G79" s="3">
        <v>8.7003999999999998E-2</v>
      </c>
      <c r="H79" s="3">
        <v>6.0033000000000003E-2</v>
      </c>
      <c r="I79" s="3">
        <v>3.4286999999999998E-2</v>
      </c>
    </row>
    <row r="80" spans="1:9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  <c r="F80" s="3">
        <v>0.140792</v>
      </c>
      <c r="G80" s="3">
        <v>9.5927999999999999E-2</v>
      </c>
      <c r="H80" s="3">
        <v>6.6505999999999996E-2</v>
      </c>
      <c r="I80" s="3">
        <v>3.8748999999999999E-2</v>
      </c>
    </row>
    <row r="81" spans="1:9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  <c r="F81" s="3">
        <v>0.150864</v>
      </c>
      <c r="G81" s="3">
        <v>0.105799</v>
      </c>
      <c r="H81" s="3">
        <v>7.3772000000000004E-2</v>
      </c>
      <c r="I81" s="3">
        <v>4.3936999999999997E-2</v>
      </c>
    </row>
    <row r="82" spans="1:9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  <c r="F82" s="3">
        <v>0.16189300000000001</v>
      </c>
      <c r="G82" s="3">
        <v>0.11637599999999999</v>
      </c>
      <c r="H82" s="3">
        <v>8.1806000000000004E-2</v>
      </c>
      <c r="I82" s="3">
        <v>4.9993000000000003E-2</v>
      </c>
    </row>
    <row r="83" spans="1:9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  <c r="F83" s="3">
        <v>0.17367199999999999</v>
      </c>
      <c r="G83" s="3">
        <v>0.12809200000000001</v>
      </c>
      <c r="H83" s="3">
        <v>9.0478000000000003E-2</v>
      </c>
      <c r="I83" s="3">
        <v>5.7023999999999998E-2</v>
      </c>
    </row>
    <row r="84" spans="1:9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  <c r="F84" s="3">
        <v>0.18643699999999999</v>
      </c>
      <c r="G84" s="3">
        <v>0.14057500000000001</v>
      </c>
      <c r="H84" s="3">
        <v>0.100261</v>
      </c>
      <c r="I84" s="3">
        <v>6.5113000000000004E-2</v>
      </c>
    </row>
    <row r="85" spans="1:9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  <c r="F85" s="3">
        <v>0.20014599999999999</v>
      </c>
      <c r="G85" s="3">
        <v>0.153812</v>
      </c>
      <c r="H85" s="3">
        <v>0.111193</v>
      </c>
      <c r="I85" s="3">
        <v>7.4288000000000007E-2</v>
      </c>
    </row>
    <row r="86" spans="1:9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  <c r="F86" s="3">
        <v>0.214499</v>
      </c>
      <c r="G86" s="3">
        <v>0.167574</v>
      </c>
      <c r="H86" s="3">
        <v>0.123283</v>
      </c>
      <c r="I86" s="3">
        <v>8.4589999999999999E-2</v>
      </c>
    </row>
    <row r="87" spans="1:9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  <c r="F87" s="3">
        <v>0.229544</v>
      </c>
      <c r="G87" s="3">
        <v>0.18163000000000001</v>
      </c>
      <c r="H87" s="3">
        <v>0.13649800000000001</v>
      </c>
      <c r="I87" s="3">
        <v>9.6095E-2</v>
      </c>
    </row>
    <row r="88" spans="1:9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  <c r="F88" s="3">
        <v>0.245254</v>
      </c>
      <c r="G88" s="3">
        <v>0.196462</v>
      </c>
      <c r="H88" s="3">
        <v>0.15088699999999999</v>
      </c>
      <c r="I88" s="3">
        <v>0.109028</v>
      </c>
    </row>
    <row r="89" spans="1:9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  <c r="F89" s="3">
        <v>0.26163900000000001</v>
      </c>
      <c r="G89" s="3">
        <v>0.21210899999999999</v>
      </c>
      <c r="H89" s="3">
        <v>0.16650000000000001</v>
      </c>
      <c r="I89" s="3">
        <v>0.123611</v>
      </c>
    </row>
    <row r="90" spans="1:9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  <c r="F90" s="3">
        <v>0.27864499999999998</v>
      </c>
      <c r="G90" s="3">
        <v>0.22859499999999999</v>
      </c>
      <c r="H90" s="3">
        <v>0.18334400000000001</v>
      </c>
      <c r="I90" s="3">
        <v>0.14002200000000001</v>
      </c>
    </row>
    <row r="91" spans="1:9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  <c r="F91" s="3">
        <v>0.29656700000000003</v>
      </c>
      <c r="G91" s="3">
        <v>0.245921</v>
      </c>
      <c r="H91" s="3">
        <v>0.201323</v>
      </c>
      <c r="I91" s="3">
        <v>0.15825700000000001</v>
      </c>
    </row>
    <row r="92" spans="1:9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  <c r="F92" s="3">
        <v>0.31462499999999999</v>
      </c>
      <c r="G92" s="3">
        <v>0.26362999999999998</v>
      </c>
      <c r="H92" s="3">
        <v>0.22028400000000001</v>
      </c>
      <c r="I92" s="3">
        <v>0.17818500000000001</v>
      </c>
    </row>
    <row r="93" spans="1:9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  <c r="F93" s="3">
        <v>0.33321400000000001</v>
      </c>
      <c r="G93" s="3">
        <v>0.281665</v>
      </c>
      <c r="H93" s="3">
        <v>0.24007300000000001</v>
      </c>
      <c r="I93" s="3">
        <v>0.19966900000000001</v>
      </c>
    </row>
    <row r="94" spans="1:9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  <c r="F94" s="3">
        <v>0.35183999999999999</v>
      </c>
      <c r="G94" s="3">
        <v>0.29964299999999999</v>
      </c>
      <c r="H94" s="3">
        <v>0.26055600000000001</v>
      </c>
      <c r="I94" s="3">
        <v>0.22250400000000001</v>
      </c>
    </row>
    <row r="95" spans="1:9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  <c r="F95" s="3">
        <v>0.37069999999999997</v>
      </c>
      <c r="G95" s="3">
        <v>0.31779400000000002</v>
      </c>
      <c r="H95" s="3">
        <v>0.28160200000000002</v>
      </c>
      <c r="I95" s="3">
        <v>0.24645300000000001</v>
      </c>
    </row>
    <row r="96" spans="1:9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  <c r="F96" s="3">
        <v>0.38952100000000001</v>
      </c>
      <c r="G96" s="3">
        <v>0.33563199999999999</v>
      </c>
      <c r="H96" s="3">
        <v>0.30307899999999999</v>
      </c>
      <c r="I96" s="3">
        <v>0.27119500000000002</v>
      </c>
    </row>
    <row r="97" spans="1:9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  <c r="F97" s="3">
        <v>0.40862900000000002</v>
      </c>
      <c r="G97" s="3">
        <v>0.35259400000000002</v>
      </c>
      <c r="H97" s="3">
        <v>0.32487199999999999</v>
      </c>
      <c r="I97" s="3">
        <v>0.29558400000000001</v>
      </c>
    </row>
    <row r="98" spans="1:9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  <c r="F98" s="3">
        <v>0.42746000000000001</v>
      </c>
      <c r="G98" s="3">
        <v>0.36827700000000002</v>
      </c>
      <c r="H98" s="3">
        <v>0.346887</v>
      </c>
      <c r="I98" s="3">
        <v>0.31936199999999998</v>
      </c>
    </row>
    <row r="99" spans="1:9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  <c r="F99" s="3">
        <v>0.44640600000000003</v>
      </c>
      <c r="G99" s="3">
        <v>0.38492900000000002</v>
      </c>
      <c r="H99" s="3">
        <v>0.36905100000000002</v>
      </c>
      <c r="I99" s="3">
        <v>0.343441</v>
      </c>
    </row>
    <row r="100" spans="1:9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  <c r="F100" s="3">
        <v>0.465588</v>
      </c>
      <c r="G100" s="3">
        <v>0.39801199999999998</v>
      </c>
      <c r="H100" s="3">
        <v>0.39130500000000001</v>
      </c>
      <c r="I100" s="3">
        <v>0.36781799999999998</v>
      </c>
    </row>
    <row r="101" spans="1:9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  <c r="F101" s="3">
        <v>0.484763</v>
      </c>
      <c r="G101" s="3">
        <v>0.42471199999999998</v>
      </c>
      <c r="H101" s="3">
        <v>0.41393799999999997</v>
      </c>
      <c r="I101" s="3">
        <v>0.39249299999999998</v>
      </c>
    </row>
    <row r="102" spans="1:9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  <c r="F102" s="3">
        <v>0.50517400000000001</v>
      </c>
      <c r="G102" s="3">
        <v>0.45172899999999999</v>
      </c>
      <c r="H102" s="3">
        <v>0.43731300000000001</v>
      </c>
      <c r="I102" s="3">
        <v>0.41746</v>
      </c>
    </row>
    <row r="103" spans="1:9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  <c r="F103" s="3">
        <v>0.525787</v>
      </c>
      <c r="G103" s="3">
        <v>0.47905799999999998</v>
      </c>
      <c r="H103" s="3">
        <v>0.46110099999999998</v>
      </c>
      <c r="I103" s="3">
        <v>0.442716</v>
      </c>
    </row>
    <row r="104" spans="1:9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  <c r="F104" s="3">
        <v>0.54710000000000003</v>
      </c>
      <c r="G104" s="3">
        <v>0.50669699999999995</v>
      </c>
      <c r="H104" s="3">
        <v>0.48530400000000001</v>
      </c>
      <c r="I104" s="3">
        <v>0.46825800000000001</v>
      </c>
    </row>
    <row r="105" spans="1:9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  <c r="F105" s="3">
        <v>0.56924699999999995</v>
      </c>
      <c r="G105" s="3">
        <v>0.53463400000000005</v>
      </c>
      <c r="H105" s="3">
        <v>0.50992400000000004</v>
      </c>
      <c r="I105" s="3">
        <v>0.49407499999999999</v>
      </c>
    </row>
    <row r="106" spans="1:9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  <c r="F106" s="3">
        <v>0.59236699999999998</v>
      </c>
      <c r="G106" s="3">
        <v>0.56286400000000003</v>
      </c>
      <c r="H106" s="3">
        <v>0.53495700000000002</v>
      </c>
      <c r="I106" s="3">
        <v>0.52016399999999996</v>
      </c>
    </row>
    <row r="107" spans="1:9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  <c r="F107" s="3">
        <v>0.61604800000000004</v>
      </c>
      <c r="G107" s="3">
        <v>0.59137700000000004</v>
      </c>
      <c r="H107" s="3">
        <v>0.56040699999999999</v>
      </c>
      <c r="I107" s="3">
        <v>0.54651400000000006</v>
      </c>
    </row>
    <row r="108" spans="1:9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  <c r="F108" s="3">
        <v>0.64093199999999995</v>
      </c>
      <c r="G108" s="3">
        <v>0.62016099999999996</v>
      </c>
      <c r="H108" s="3">
        <v>0.58626500000000004</v>
      </c>
      <c r="I108" s="3">
        <v>0.57311400000000001</v>
      </c>
    </row>
    <row r="109" spans="1:9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  <c r="F109" s="3">
        <v>0.66716500000000001</v>
      </c>
      <c r="G109" s="3">
        <v>0.64920299999999997</v>
      </c>
      <c r="H109" s="3">
        <v>0.61252899999999999</v>
      </c>
      <c r="I109" s="3">
        <v>0.59995299999999996</v>
      </c>
    </row>
    <row r="110" spans="1:9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  <c r="F110" s="3">
        <v>0.69165900000000002</v>
      </c>
      <c r="G110" s="3">
        <v>0.678485</v>
      </c>
      <c r="H110" s="3">
        <v>0.63918799999999998</v>
      </c>
      <c r="I110" s="3">
        <v>0.62701399999999996</v>
      </c>
    </row>
    <row r="111" spans="1:9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  <c r="F111" s="3">
        <v>0.72092400000000001</v>
      </c>
      <c r="G111" s="3">
        <v>0.70799299999999998</v>
      </c>
      <c r="H111" s="3">
        <v>0.66623299999999996</v>
      </c>
      <c r="I111" s="3">
        <v>0.65428299999999995</v>
      </c>
    </row>
    <row r="112" spans="1:9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  <c r="F112" s="3">
        <v>0.75059299999999995</v>
      </c>
      <c r="G112" s="3">
        <v>0.73770500000000006</v>
      </c>
      <c r="H112" s="3">
        <v>0.69365100000000002</v>
      </c>
      <c r="I112" s="3">
        <v>0.68174100000000004</v>
      </c>
    </row>
    <row r="113" spans="1:9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  <c r="F113" s="3">
        <v>0.78064699999999998</v>
      </c>
      <c r="G113" s="3">
        <v>0.76759500000000003</v>
      </c>
      <c r="H113" s="3">
        <v>0.72142499999999998</v>
      </c>
      <c r="I113" s="3">
        <v>0.70936399999999999</v>
      </c>
    </row>
    <row r="114" spans="1:9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  <c r="F114" s="3">
        <v>0.81106199999999995</v>
      </c>
      <c r="G114" s="3">
        <v>0.79764100000000004</v>
      </c>
      <c r="H114" s="3">
        <v>0.749533</v>
      </c>
      <c r="I114" s="3">
        <v>0.73712999999999995</v>
      </c>
    </row>
    <row r="115" spans="1:9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  <c r="F115" s="3">
        <v>0.841812</v>
      </c>
      <c r="G115" s="3">
        <v>0.82781099999999996</v>
      </c>
      <c r="H115" s="3">
        <v>0.77795000000000003</v>
      </c>
      <c r="I115" s="3">
        <v>0.765011</v>
      </c>
    </row>
    <row r="116" spans="1:9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  <c r="F116" s="3">
        <v>0.87286399999999997</v>
      </c>
      <c r="G116" s="3">
        <v>0.85806899999999997</v>
      </c>
      <c r="H116" s="3">
        <v>0.806647</v>
      </c>
      <c r="I116" s="3">
        <v>0.79297399999999996</v>
      </c>
    </row>
    <row r="117" spans="1:9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  <c r="F117" s="3">
        <v>0.90417800000000004</v>
      </c>
      <c r="G117" s="3">
        <v>0.88838200000000001</v>
      </c>
      <c r="H117" s="3">
        <v>0.83558500000000002</v>
      </c>
      <c r="I117" s="3">
        <v>0.82098700000000002</v>
      </c>
    </row>
    <row r="118" spans="1:9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  <c r="F118" s="3">
        <v>0.93570699999999996</v>
      </c>
      <c r="G118" s="3">
        <v>0.91870399999999997</v>
      </c>
      <c r="H118" s="3">
        <v>0.86472199999999999</v>
      </c>
      <c r="I118" s="3">
        <v>0.84900900000000001</v>
      </c>
    </row>
    <row r="119" spans="1:9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  <c r="F119" s="3">
        <v>0.96739699999999995</v>
      </c>
      <c r="G119" s="3">
        <v>0.94899</v>
      </c>
      <c r="H119" s="3">
        <v>0.89400800000000002</v>
      </c>
      <c r="I119" s="3">
        <v>0.87699800000000006</v>
      </c>
    </row>
    <row r="120" spans="1:9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  <c r="F120" s="3">
        <v>0.99918200000000001</v>
      </c>
      <c r="G120" s="3">
        <v>0.97918799999999995</v>
      </c>
      <c r="H120" s="3">
        <v>0.92338200000000004</v>
      </c>
      <c r="I120" s="3">
        <v>0.90490499999999996</v>
      </c>
    </row>
    <row r="121" spans="1:9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  <c r="F121" s="3">
        <v>1</v>
      </c>
      <c r="G121" s="3">
        <v>1</v>
      </c>
      <c r="H121" s="3">
        <v>0.95277800000000001</v>
      </c>
      <c r="I121" s="3">
        <v>0.93267500000000003</v>
      </c>
    </row>
    <row r="122" spans="1:9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  <c r="F122" s="3">
        <v>1</v>
      </c>
      <c r="G122" s="3">
        <v>1</v>
      </c>
      <c r="H122" s="3">
        <v>0.98211300000000001</v>
      </c>
      <c r="I122" s="3">
        <v>0.96024900000000002</v>
      </c>
    </row>
    <row r="123" spans="1:9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  <c r="F123" s="3">
        <v>1</v>
      </c>
      <c r="G123" s="3">
        <v>1</v>
      </c>
      <c r="H123" s="3">
        <v>1</v>
      </c>
      <c r="I123" s="3">
        <v>0.987564</v>
      </c>
    </row>
    <row r="124" spans="1:9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</row>
    <row r="125" spans="1:9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  <c r="F125" s="3">
        <v>1</v>
      </c>
      <c r="G125" s="3">
        <v>1</v>
      </c>
      <c r="H125" s="3">
        <v>1</v>
      </c>
      <c r="I125" s="3">
        <v>1</v>
      </c>
    </row>
    <row r="126" spans="1:9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  <c r="F126" s="3">
        <v>1</v>
      </c>
      <c r="G126" s="3">
        <v>1</v>
      </c>
      <c r="H126" s="3">
        <v>1</v>
      </c>
      <c r="I126" s="3">
        <v>1</v>
      </c>
    </row>
    <row r="127" spans="1:9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  <c r="F127" s="3">
        <v>1</v>
      </c>
      <c r="G127" s="3">
        <v>1</v>
      </c>
      <c r="H127" s="3">
        <v>1</v>
      </c>
      <c r="I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28</vt:i4>
      </vt:variant>
    </vt:vector>
  </HeadingPairs>
  <TitlesOfParts>
    <vt:vector size="30" baseType="lpstr">
      <vt:lpstr>Tarifrechnung</vt:lpstr>
      <vt:lpstr>Tafeln</vt:lpstr>
      <vt:lpstr>alpha</vt:lpstr>
      <vt:lpstr>B_xt</vt:lpstr>
      <vt:lpstr>beta1</vt:lpstr>
      <vt:lpstr>BGRP</vt:lpstr>
      <vt:lpstr>BJB</vt:lpstr>
      <vt:lpstr>gamma1</vt:lpstr>
      <vt:lpstr>gamma2</vt:lpstr>
      <vt:lpstr>gamma3</vt:lpstr>
      <vt:lpstr>GESCHL</vt:lpstr>
      <vt:lpstr>k</vt:lpstr>
      <vt:lpstr>m_Tafeln</vt:lpstr>
      <vt:lpstr>MinAlterFlex</vt:lpstr>
      <vt:lpstr>MinRLZFlex</vt:lpstr>
      <vt:lpstr>n</vt:lpstr>
      <vt:lpstr>P_xt</vt:lpstr>
      <vt:lpstr>ratzu</vt:lpstr>
      <vt:lpstr>RK</vt:lpstr>
      <vt:lpstr>StoAb_max</vt:lpstr>
      <vt:lpstr>StoAb_min</vt:lpstr>
      <vt:lpstr>StoAb_rel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revision/>
  <dcterms:created xsi:type="dcterms:W3CDTF">1996-10-17T05:27:31Z</dcterms:created>
  <dcterms:modified xsi:type="dcterms:W3CDTF">2026-08-18T14:30:31Z</dcterms:modified>
  <cp:category/>
  <cp:contentStatus/>
</cp:coreProperties>
</file>