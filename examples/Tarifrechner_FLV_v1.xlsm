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dirkn\Documents\DAV AG\Usecase Rechenkern\"/>
    </mc:Choice>
  </mc:AlternateContent>
  <xr:revisionPtr revIDLastSave="0" documentId="13_ncr:1_{65ECF4D0-3EA5-42B7-BEBE-08981F8CA27B}" xr6:coauthVersionLast="47" xr6:coauthVersionMax="47" xr10:uidLastSave="{00000000-0000-0000-0000-000000000000}"/>
  <bookViews>
    <workbookView xWindow="-98" yWindow="-98" windowWidth="21795" windowHeight="12975" xr2:uid="{D9BA118E-FC25-4DEE-9B09-7D82C5A0A10B}"/>
  </bookViews>
  <sheets>
    <sheet name="Daten" sheetId="3" r:id="rId1"/>
    <sheet name="Kalkulation" sheetId="1" r:id="rId2"/>
    <sheet name="Kurse" sheetId="4" r:id="rId3"/>
    <sheet name="Tafeln" sheetId="2" r:id="rId4"/>
  </sheets>
  <functionGroups builtInGroupCount="19"/>
  <definedNames>
    <definedName name="_xleta.MAX" hidden="1" xlm="1">#NAME?</definedName>
    <definedName name="_xleta.YEAR" hidden="1" xlm="1">#NAME?</definedName>
    <definedName name="_xlpm.Art" hidden="1" xlm="1">#NAME?</definedName>
    <definedName name="_xlpm.Datum" hidden="1" xlm="1">#NAME?</definedName>
    <definedName name="_xlpm.Jahr" hidden="1" xlm="1">#NAME?</definedName>
    <definedName name="_xlpm.MaxJahr" hidden="1" xlm="1">#NAME?</definedName>
    <definedName name="_xlpm.Parameter" hidden="1" xlm="1">#NAME?</definedName>
    <definedName name="_xlpm.SuchJahr" hidden="1" xlm="1">#NAME?</definedName>
    <definedName name="_xlpm.Tarifart" hidden="1" xlm="1">#NAME?</definedName>
    <definedName name="_xlpm.x" hidden="1" xlm="1">#NAME?</definedName>
    <definedName name="AblDat">Daten!$B$9</definedName>
    <definedName name="BegDat">Daten!$B$6</definedName>
    <definedName name="BeiSum">Kalkulation!$B$4</definedName>
    <definedName name="Beitrag">Daten!$B$11</definedName>
    <definedName name="BZDauer">Daten!$B$8</definedName>
    <definedName name="dat_Wertstand">Daten!$E$3</definedName>
    <definedName name="Dauer">Daten!$B$7</definedName>
    <definedName name="GebDat">Daten!$B$4</definedName>
    <definedName name="Geschlecht">Daten!$B$3</definedName>
    <definedName name="get_Üb">_xlfn.LAMBDA(_xlpm.Jahr,_xlpm.Art,   _xlfn.LET(     _xlpm.MaxJahr, MAX(tbl_Überschuss[Jahr]),     _xlpm.SuchJahr, MIN(_xlpm.Jahr, _xlpm.MaxJahr),     _xlfn.XLOOKUP(_xlpm.SuchJahr, tbl_Überschuss[Jahr], _xlfn.CHOOSECOLS(tbl_Überschuss[], _xlfn.XMATCH(_xlpm.Art, tbl_Überschuss[#Headers])))   ) )</definedName>
    <definedName name="getKurs">_xlfn.LAMBDA(_xlpm.Datum,IFERROR(_xlfn.XLOOKUP(_xlpm.Datum,tbl_Kurse[Datum],tbl_Kurse[Kursdaten]),99999))</definedName>
    <definedName name="getParm">_xlfn.LAMBDA(_xlpm.Tarifart,_xlpm.Parameter,     IFERROR(         INDEX(             tbl_Tarifdaten[],             MATCH(_xlpm.Parameter,tbl_Tarifdaten[Tarifdaten],0),             MATCH(_xlpm.Tarifart,tbl_Tarifdaten[#Headers],0)         ),         "nicht gefunden"     ) )</definedName>
    <definedName name="Kurse">Daten!$B$13</definedName>
    <definedName name="m_Tafeln">Tafeln!$B$4:$E$127</definedName>
    <definedName name="MRSum">Kalkulation!$B$6</definedName>
    <definedName name="MTS">Daten!$B$10</definedName>
    <definedName name="MTSum">Kalkulation!$B$5</definedName>
    <definedName name="Performance">Daten!$B$14</definedName>
    <definedName name="Tarifart">Daten!$B$5</definedName>
    <definedName name="v_Datbereich">OFFSET(Kalkulation!$A$9,0,0,COUNTIFS(Kalkulation!$A$9:$A$1000,"&lt;="&amp;AblDat,Kalkulation!$A$9:$A$1000,"&lt;&gt;"),1)</definedName>
    <definedName name="v_DK_minus">OFFSET(Kalkulation!$R$9,0,0,COUNTIFS(Kalkulation!$A$9:$A$1000,"&lt;="&amp;AblDat,Kalkulation!$A$9:$A$1000,"&lt;&gt;"),1)</definedName>
    <definedName name="v_DK_plus">OFFSET(Kalkulation!$S$9,0,0,COUNTIFS(Kalkulation!$A$9:$A$1000,"&lt;="&amp;AblDat,Kalkulation!$A$9:$A$1000,"&lt;&gt;"),1)</definedName>
    <definedName name="v_RKW">OFFSET(Kalkulation!$V$9,0,0,COUNTIFS(Kalkulation!$A$9:$A$1000,"&lt;="&amp;AblDat,Kalkulation!$A$9:$A$1000,"&lt;&gt;"),1)</definedName>
    <definedName name="v_Tafeln">Tafeln!$B$3:$E$3</definedName>
    <definedName name="v_TFL">OFFSET(Kalkulation!$T$9,0,0,COUNTIFS(Kalkulation!$A$9:$A$1000,"&lt;="&amp;AblDat,Kalkulation!$A$9:$A$1000,"&lt;&gt;"),1)</definedName>
    <definedName name="v_x">Tafeln!$A$4:$A$127</definedName>
    <definedName name="x">Kalkulation!$B$3</definedName>
    <definedName name="Zahlweise">Daten!$B$12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U500" i="1" l="1" a="1"/>
  <c r="U500" i="1" s="1"/>
  <c r="U499" i="1" a="1"/>
  <c r="U499" i="1" s="1"/>
  <c r="U498" i="1" a="1"/>
  <c r="U498" i="1" s="1"/>
  <c r="U497" i="1" a="1"/>
  <c r="U497" i="1" s="1"/>
  <c r="U496" i="1" a="1"/>
  <c r="U496" i="1" s="1"/>
  <c r="U495" i="1" a="1"/>
  <c r="U495" i="1" s="1"/>
  <c r="U494" i="1" a="1"/>
  <c r="U494" i="1" s="1"/>
  <c r="U493" i="1" a="1"/>
  <c r="U493" i="1" s="1"/>
  <c r="U492" i="1" a="1"/>
  <c r="U492" i="1" s="1"/>
  <c r="U491" i="1" a="1"/>
  <c r="U491" i="1" s="1"/>
  <c r="U490" i="1" a="1"/>
  <c r="U490" i="1" s="1"/>
  <c r="U489" i="1" a="1"/>
  <c r="U489" i="1" s="1"/>
  <c r="U488" i="1" a="1"/>
  <c r="U488" i="1" s="1"/>
  <c r="U487" i="1" a="1"/>
  <c r="U487" i="1" s="1"/>
  <c r="U486" i="1" a="1"/>
  <c r="U486" i="1" s="1"/>
  <c r="U485" i="1" a="1"/>
  <c r="U485" i="1" s="1"/>
  <c r="U484" i="1" a="1"/>
  <c r="U484" i="1" s="1"/>
  <c r="U483" i="1" a="1"/>
  <c r="U483" i="1" s="1"/>
  <c r="U482" i="1" a="1"/>
  <c r="U482" i="1" s="1"/>
  <c r="U481" i="1" a="1"/>
  <c r="U481" i="1" s="1"/>
  <c r="U480" i="1" a="1"/>
  <c r="U480" i="1" s="1"/>
  <c r="U479" i="1" a="1"/>
  <c r="U479" i="1" s="1"/>
  <c r="U478" i="1" a="1"/>
  <c r="U478" i="1" s="1"/>
  <c r="U477" i="1" a="1"/>
  <c r="U477" i="1" s="1"/>
  <c r="U476" i="1" a="1"/>
  <c r="U476" i="1" s="1"/>
  <c r="U475" i="1" a="1"/>
  <c r="U475" i="1" s="1"/>
  <c r="U474" i="1" a="1"/>
  <c r="U474" i="1" s="1"/>
  <c r="U473" i="1" a="1"/>
  <c r="U473" i="1" s="1"/>
  <c r="U472" i="1" a="1"/>
  <c r="U472" i="1" s="1"/>
  <c r="U471" i="1" a="1"/>
  <c r="U471" i="1" s="1"/>
  <c r="U470" i="1" a="1"/>
  <c r="U470" i="1" s="1"/>
  <c r="U469" i="1" a="1"/>
  <c r="U469" i="1" s="1"/>
  <c r="U468" i="1" a="1"/>
  <c r="U468" i="1" s="1"/>
  <c r="U467" i="1" a="1"/>
  <c r="U467" i="1" s="1"/>
  <c r="U466" i="1" a="1"/>
  <c r="U466" i="1" s="1"/>
  <c r="U465" i="1" a="1"/>
  <c r="U465" i="1" s="1"/>
  <c r="U464" i="1" a="1"/>
  <c r="U464" i="1" s="1"/>
  <c r="U463" i="1" a="1"/>
  <c r="U463" i="1" s="1"/>
  <c r="U462" i="1" a="1"/>
  <c r="U462" i="1" s="1"/>
  <c r="U461" i="1" a="1"/>
  <c r="U461" i="1" s="1"/>
  <c r="U460" i="1" a="1"/>
  <c r="U460" i="1" s="1"/>
  <c r="U459" i="1" a="1"/>
  <c r="U459" i="1" s="1"/>
  <c r="U458" i="1" a="1"/>
  <c r="U458" i="1" s="1"/>
  <c r="U457" i="1" a="1"/>
  <c r="U457" i="1" s="1"/>
  <c r="U456" i="1" a="1"/>
  <c r="U456" i="1" s="1"/>
  <c r="U455" i="1" a="1"/>
  <c r="U455" i="1" s="1"/>
  <c r="U454" i="1" a="1"/>
  <c r="U454" i="1" s="1"/>
  <c r="U453" i="1" a="1"/>
  <c r="U453" i="1" s="1"/>
  <c r="U452" i="1" a="1"/>
  <c r="U452" i="1" s="1"/>
  <c r="U451" i="1" a="1"/>
  <c r="U451" i="1" s="1"/>
  <c r="U450" i="1" a="1"/>
  <c r="U450" i="1" s="1"/>
  <c r="U449" i="1" a="1"/>
  <c r="U449" i="1" s="1"/>
  <c r="U448" i="1" a="1"/>
  <c r="U448" i="1" s="1"/>
  <c r="U447" i="1" a="1"/>
  <c r="U447" i="1" s="1"/>
  <c r="U446" i="1" a="1"/>
  <c r="U446" i="1" s="1"/>
  <c r="U445" i="1" a="1"/>
  <c r="U445" i="1" s="1"/>
  <c r="U444" i="1" a="1"/>
  <c r="U444" i="1" s="1"/>
  <c r="U443" i="1" a="1"/>
  <c r="U443" i="1" s="1"/>
  <c r="U442" i="1" a="1"/>
  <c r="U442" i="1" s="1"/>
  <c r="U441" i="1" a="1"/>
  <c r="U441" i="1" s="1"/>
  <c r="U440" i="1" a="1"/>
  <c r="U440" i="1" s="1"/>
  <c r="U439" i="1" a="1"/>
  <c r="U439" i="1" s="1"/>
  <c r="U438" i="1" a="1"/>
  <c r="U438" i="1" s="1"/>
  <c r="U437" i="1" a="1"/>
  <c r="U437" i="1" s="1"/>
  <c r="U436" i="1" a="1"/>
  <c r="U436" i="1" s="1"/>
  <c r="U435" i="1" a="1"/>
  <c r="U435" i="1" s="1"/>
  <c r="U434" i="1" a="1"/>
  <c r="U434" i="1" s="1"/>
  <c r="U433" i="1" a="1"/>
  <c r="U433" i="1" s="1"/>
  <c r="U432" i="1" a="1"/>
  <c r="U432" i="1" s="1"/>
  <c r="U431" i="1" a="1"/>
  <c r="U431" i="1" s="1"/>
  <c r="U430" i="1" a="1"/>
  <c r="U430" i="1" s="1"/>
  <c r="U429" i="1" a="1"/>
  <c r="U429" i="1" s="1"/>
  <c r="U428" i="1" a="1"/>
  <c r="U428" i="1" s="1"/>
  <c r="U427" i="1" a="1"/>
  <c r="U427" i="1" s="1"/>
  <c r="U426" i="1" a="1"/>
  <c r="U426" i="1" s="1"/>
  <c r="U425" i="1" a="1"/>
  <c r="U425" i="1" s="1"/>
  <c r="U424" i="1" a="1"/>
  <c r="U424" i="1" s="1"/>
  <c r="U423" i="1" a="1"/>
  <c r="U423" i="1" s="1"/>
  <c r="U422" i="1" a="1"/>
  <c r="U422" i="1" s="1"/>
  <c r="U421" i="1" a="1"/>
  <c r="U421" i="1" s="1"/>
  <c r="U420" i="1" a="1"/>
  <c r="U420" i="1" s="1"/>
  <c r="U419" i="1" a="1"/>
  <c r="U419" i="1" s="1"/>
  <c r="U418" i="1" a="1"/>
  <c r="U418" i="1" s="1"/>
  <c r="U417" i="1" a="1"/>
  <c r="U417" i="1" s="1"/>
  <c r="U416" i="1" a="1"/>
  <c r="U416" i="1" s="1"/>
  <c r="U415" i="1" a="1"/>
  <c r="U415" i="1" s="1"/>
  <c r="U414" i="1" a="1"/>
  <c r="U414" i="1" s="1"/>
  <c r="U413" i="1" a="1"/>
  <c r="U413" i="1" s="1"/>
  <c r="U412" i="1" a="1"/>
  <c r="U412" i="1" s="1"/>
  <c r="U411" i="1" a="1"/>
  <c r="U411" i="1" s="1"/>
  <c r="U410" i="1" a="1"/>
  <c r="U410" i="1" s="1"/>
  <c r="U409" i="1" a="1"/>
  <c r="U409" i="1" s="1"/>
  <c r="U408" i="1" a="1"/>
  <c r="U408" i="1" s="1"/>
  <c r="U407" i="1" a="1"/>
  <c r="U407" i="1" s="1"/>
  <c r="U406" i="1" a="1"/>
  <c r="U406" i="1" s="1"/>
  <c r="U405" i="1" a="1"/>
  <c r="U405" i="1" s="1"/>
  <c r="U404" i="1" a="1"/>
  <c r="U404" i="1" s="1"/>
  <c r="U403" i="1" a="1"/>
  <c r="U403" i="1" s="1"/>
  <c r="U402" i="1" a="1"/>
  <c r="U402" i="1" s="1"/>
  <c r="U401" i="1" a="1"/>
  <c r="U401" i="1" s="1"/>
  <c r="U400" i="1" a="1"/>
  <c r="U400" i="1" s="1"/>
  <c r="U399" i="1" a="1"/>
  <c r="U399" i="1" s="1"/>
  <c r="U398" i="1" a="1"/>
  <c r="U398" i="1" s="1"/>
  <c r="U397" i="1" a="1"/>
  <c r="U397" i="1" s="1"/>
  <c r="U396" i="1" a="1"/>
  <c r="U396" i="1" s="1"/>
  <c r="U395" i="1" a="1"/>
  <c r="U395" i="1" s="1"/>
  <c r="U394" i="1" a="1"/>
  <c r="U394" i="1" s="1"/>
  <c r="U393" i="1" a="1"/>
  <c r="U393" i="1" s="1"/>
  <c r="U392" i="1" a="1"/>
  <c r="U392" i="1" s="1"/>
  <c r="U391" i="1" a="1"/>
  <c r="U391" i="1" s="1"/>
  <c r="U390" i="1" a="1"/>
  <c r="U390" i="1" s="1"/>
  <c r="U389" i="1" a="1"/>
  <c r="U389" i="1" s="1"/>
  <c r="U388" i="1" a="1"/>
  <c r="U388" i="1" s="1"/>
  <c r="U387" i="1" a="1"/>
  <c r="U387" i="1" s="1"/>
  <c r="U386" i="1" a="1"/>
  <c r="U386" i="1" s="1"/>
  <c r="U385" i="1" a="1"/>
  <c r="U385" i="1" s="1"/>
  <c r="U384" i="1"/>
  <c r="U384" i="1" a="1"/>
  <c r="U383" i="1" a="1"/>
  <c r="U383" i="1" s="1"/>
  <c r="U382" i="1" a="1"/>
  <c r="U382" i="1" s="1"/>
  <c r="U381" i="1" a="1"/>
  <c r="U381" i="1" s="1"/>
  <c r="U380" i="1" a="1"/>
  <c r="U380" i="1" s="1"/>
  <c r="U379" i="1" a="1"/>
  <c r="U379" i="1" s="1"/>
  <c r="U378" i="1" a="1"/>
  <c r="U378" i="1" s="1"/>
  <c r="U377" i="1" a="1"/>
  <c r="U377" i="1" s="1"/>
  <c r="U376" i="1" a="1"/>
  <c r="U376" i="1" s="1"/>
  <c r="U375" i="1" a="1"/>
  <c r="U375" i="1" s="1"/>
  <c r="U374" i="1" a="1"/>
  <c r="U374" i="1" s="1"/>
  <c r="U373" i="1" a="1"/>
  <c r="U373" i="1" s="1"/>
  <c r="U372" i="1" a="1"/>
  <c r="U372" i="1" s="1"/>
  <c r="U371" i="1" a="1"/>
  <c r="U371" i="1" s="1"/>
  <c r="U370" i="1" a="1"/>
  <c r="U370" i="1" s="1"/>
  <c r="U369" i="1" a="1"/>
  <c r="U369" i="1" s="1"/>
  <c r="U368" i="1" a="1"/>
  <c r="U368" i="1" s="1"/>
  <c r="U367" i="1" a="1"/>
  <c r="U367" i="1" s="1"/>
  <c r="U366" i="1" a="1"/>
  <c r="U366" i="1" s="1"/>
  <c r="U365" i="1" a="1"/>
  <c r="U365" i="1" s="1"/>
  <c r="U364" i="1" a="1"/>
  <c r="U364" i="1" s="1"/>
  <c r="U363" i="1" a="1"/>
  <c r="U363" i="1" s="1"/>
  <c r="U362" i="1" a="1"/>
  <c r="U362" i="1" s="1"/>
  <c r="U361" i="1" a="1"/>
  <c r="U361" i="1" s="1"/>
  <c r="U360" i="1" a="1"/>
  <c r="U360" i="1" s="1"/>
  <c r="U359" i="1" a="1"/>
  <c r="U359" i="1" s="1"/>
  <c r="U358" i="1" a="1"/>
  <c r="U358" i="1" s="1"/>
  <c r="U357" i="1" a="1"/>
  <c r="U357" i="1" s="1"/>
  <c r="U356" i="1" a="1"/>
  <c r="U356" i="1" s="1"/>
  <c r="U355" i="1" a="1"/>
  <c r="U355" i="1" s="1"/>
  <c r="U354" i="1" a="1"/>
  <c r="U354" i="1" s="1"/>
  <c r="U353" i="1" a="1"/>
  <c r="U353" i="1" s="1"/>
  <c r="U352" i="1" a="1"/>
  <c r="U352" i="1" s="1"/>
  <c r="U351" i="1"/>
  <c r="U351" i="1" a="1"/>
  <c r="U350" i="1" a="1"/>
  <c r="U350" i="1" s="1"/>
  <c r="U349" i="1" a="1"/>
  <c r="U349" i="1" s="1"/>
  <c r="U348" i="1" a="1"/>
  <c r="U348" i="1" s="1"/>
  <c r="U347" i="1" a="1"/>
  <c r="U347" i="1" s="1"/>
  <c r="U346" i="1" a="1"/>
  <c r="U346" i="1" s="1"/>
  <c r="U345" i="1" a="1"/>
  <c r="U345" i="1" s="1"/>
  <c r="U344" i="1" a="1"/>
  <c r="U344" i="1" s="1"/>
  <c r="U343" i="1" a="1"/>
  <c r="U343" i="1" s="1"/>
  <c r="U342" i="1" a="1"/>
  <c r="U342" i="1" s="1"/>
  <c r="U341" i="1" a="1"/>
  <c r="U341" i="1" s="1"/>
  <c r="U340" i="1" a="1"/>
  <c r="U340" i="1" s="1"/>
  <c r="U339" i="1" a="1"/>
  <c r="U339" i="1" s="1"/>
  <c r="U338" i="1"/>
  <c r="U338" i="1" a="1"/>
  <c r="U337" i="1" a="1"/>
  <c r="U337" i="1" s="1"/>
  <c r="U336" i="1" a="1"/>
  <c r="U336" i="1" s="1"/>
  <c r="U335" i="1" a="1"/>
  <c r="U335" i="1" s="1"/>
  <c r="U334" i="1" a="1"/>
  <c r="U334" i="1" s="1"/>
  <c r="U333" i="1" a="1"/>
  <c r="U333" i="1" s="1"/>
  <c r="U332" i="1"/>
  <c r="U332" i="1" a="1"/>
  <c r="U331" i="1" a="1"/>
  <c r="U331" i="1" s="1"/>
  <c r="U330" i="1" a="1"/>
  <c r="U330" i="1" s="1"/>
  <c r="U329" i="1" a="1"/>
  <c r="U329" i="1" s="1"/>
  <c r="U328" i="1" a="1"/>
  <c r="U328" i="1" s="1"/>
  <c r="U327" i="1" a="1"/>
  <c r="U327" i="1" s="1"/>
  <c r="U326" i="1" a="1"/>
  <c r="U326" i="1" s="1"/>
  <c r="U325" i="1" a="1"/>
  <c r="U325" i="1" s="1"/>
  <c r="U324" i="1" a="1"/>
  <c r="U324" i="1" s="1"/>
  <c r="U323" i="1" a="1"/>
  <c r="U323" i="1" s="1"/>
  <c r="U322" i="1" a="1"/>
  <c r="U322" i="1" s="1"/>
  <c r="U321" i="1" a="1"/>
  <c r="U321" i="1" s="1"/>
  <c r="U320" i="1" a="1"/>
  <c r="U320" i="1" s="1"/>
  <c r="U319" i="1" a="1"/>
  <c r="U319" i="1" s="1"/>
  <c r="U318" i="1" a="1"/>
  <c r="U318" i="1" s="1"/>
  <c r="U317" i="1" a="1"/>
  <c r="U317" i="1" s="1"/>
  <c r="U316" i="1" a="1"/>
  <c r="U316" i="1" s="1"/>
  <c r="U315" i="1" a="1"/>
  <c r="U315" i="1" s="1"/>
  <c r="U314" i="1" a="1"/>
  <c r="U314" i="1" s="1"/>
  <c r="U313" i="1" a="1"/>
  <c r="U313" i="1" s="1"/>
  <c r="U312" i="1" a="1"/>
  <c r="U312" i="1" s="1"/>
  <c r="U311" i="1" a="1"/>
  <c r="U311" i="1" s="1"/>
  <c r="U310" i="1" a="1"/>
  <c r="U310" i="1" s="1"/>
  <c r="U309" i="1" a="1"/>
  <c r="U309" i="1" s="1"/>
  <c r="U308" i="1" a="1"/>
  <c r="U308" i="1" s="1"/>
  <c r="U307" i="1" a="1"/>
  <c r="U307" i="1" s="1"/>
  <c r="U306" i="1" a="1"/>
  <c r="U306" i="1" s="1"/>
  <c r="U305" i="1" a="1"/>
  <c r="U305" i="1" s="1"/>
  <c r="U304" i="1" a="1"/>
  <c r="U304" i="1" s="1"/>
  <c r="U303" i="1" a="1"/>
  <c r="U303" i="1" s="1"/>
  <c r="U302" i="1" a="1"/>
  <c r="U302" i="1" s="1"/>
  <c r="U301" i="1" a="1"/>
  <c r="U301" i="1" s="1"/>
  <c r="U300" i="1" a="1"/>
  <c r="U300" i="1" s="1"/>
  <c r="U299" i="1"/>
  <c r="U299" i="1" a="1"/>
  <c r="U298" i="1" a="1"/>
  <c r="U298" i="1" s="1"/>
  <c r="U297" i="1" a="1"/>
  <c r="U297" i="1" s="1"/>
  <c r="U296" i="1" a="1"/>
  <c r="U296" i="1" s="1"/>
  <c r="U295" i="1" a="1"/>
  <c r="U295" i="1" s="1"/>
  <c r="U294" i="1" a="1"/>
  <c r="U294" i="1" s="1"/>
  <c r="U293" i="1" a="1"/>
  <c r="U293" i="1" s="1"/>
  <c r="U292" i="1" a="1"/>
  <c r="U292" i="1" s="1"/>
  <c r="U291" i="1" a="1"/>
  <c r="U291" i="1" s="1"/>
  <c r="U290" i="1" a="1"/>
  <c r="U290" i="1" s="1"/>
  <c r="U289" i="1" a="1"/>
  <c r="U289" i="1" s="1"/>
  <c r="U288" i="1" a="1"/>
  <c r="U288" i="1" s="1"/>
  <c r="U287" i="1" a="1"/>
  <c r="U287" i="1" s="1"/>
  <c r="U286" i="1" a="1"/>
  <c r="U286" i="1" s="1"/>
  <c r="U285" i="1" a="1"/>
  <c r="U285" i="1" s="1"/>
  <c r="U284" i="1" a="1"/>
  <c r="U284" i="1" s="1"/>
  <c r="U283" i="1" a="1"/>
  <c r="U283" i="1" s="1"/>
  <c r="U282" i="1" a="1"/>
  <c r="U282" i="1" s="1"/>
  <c r="U281" i="1" a="1"/>
  <c r="U281" i="1" s="1"/>
  <c r="U280" i="1" a="1"/>
  <c r="U280" i="1" s="1"/>
  <c r="U279" i="1" a="1"/>
  <c r="U279" i="1" s="1"/>
  <c r="U278" i="1" a="1"/>
  <c r="U278" i="1" s="1"/>
  <c r="U277" i="1" a="1"/>
  <c r="U277" i="1" s="1"/>
  <c r="U276" i="1" a="1"/>
  <c r="U276" i="1" s="1"/>
  <c r="U275" i="1" a="1"/>
  <c r="U275" i="1" s="1"/>
  <c r="U274" i="1" a="1"/>
  <c r="U274" i="1" s="1"/>
  <c r="U273" i="1" a="1"/>
  <c r="U273" i="1" s="1"/>
  <c r="U272" i="1" a="1"/>
  <c r="U272" i="1" s="1"/>
  <c r="U271" i="1" a="1"/>
  <c r="U271" i="1" s="1"/>
  <c r="U270" i="1" a="1"/>
  <c r="U270" i="1" s="1"/>
  <c r="U269" i="1" a="1"/>
  <c r="U269" i="1" s="1"/>
  <c r="U268" i="1" a="1"/>
  <c r="U268" i="1" s="1"/>
  <c r="U267" i="1" a="1"/>
  <c r="U267" i="1" s="1"/>
  <c r="U266" i="1" a="1"/>
  <c r="U266" i="1" s="1"/>
  <c r="U265" i="1" a="1"/>
  <c r="U265" i="1" s="1"/>
  <c r="U264" i="1" a="1"/>
  <c r="U264" i="1" s="1"/>
  <c r="U263" i="1" a="1"/>
  <c r="U263" i="1" s="1"/>
  <c r="U262" i="1" a="1"/>
  <c r="U262" i="1" s="1"/>
  <c r="U261" i="1" a="1"/>
  <c r="U261" i="1" s="1"/>
  <c r="U260" i="1" a="1"/>
  <c r="U260" i="1" s="1"/>
  <c r="U259" i="1" a="1"/>
  <c r="U259" i="1" s="1"/>
  <c r="U258" i="1" a="1"/>
  <c r="U258" i="1" s="1"/>
  <c r="U257" i="1" a="1"/>
  <c r="U257" i="1" s="1"/>
  <c r="U256" i="1" a="1"/>
  <c r="U256" i="1" s="1"/>
  <c r="U255" i="1" a="1"/>
  <c r="U255" i="1" s="1"/>
  <c r="U254" i="1" a="1"/>
  <c r="U254" i="1" s="1"/>
  <c r="U253" i="1" a="1"/>
  <c r="U253" i="1" s="1"/>
  <c r="U252" i="1" a="1"/>
  <c r="U252" i="1" s="1"/>
  <c r="U251" i="1" a="1"/>
  <c r="U251" i="1" s="1"/>
  <c r="U250" i="1" a="1"/>
  <c r="U250" i="1" s="1"/>
  <c r="U249" i="1" a="1"/>
  <c r="U249" i="1" s="1"/>
  <c r="U248" i="1" a="1"/>
  <c r="U248" i="1" s="1"/>
  <c r="U247" i="1" a="1"/>
  <c r="U247" i="1" s="1"/>
  <c r="U246" i="1" a="1"/>
  <c r="U246" i="1" s="1"/>
  <c r="U245" i="1" a="1"/>
  <c r="U245" i="1" s="1"/>
  <c r="U244" i="1" a="1"/>
  <c r="U244" i="1" s="1"/>
  <c r="U243" i="1" a="1"/>
  <c r="U243" i="1" s="1"/>
  <c r="U242" i="1" a="1"/>
  <c r="U242" i="1" s="1"/>
  <c r="U241" i="1" a="1"/>
  <c r="U241" i="1" s="1"/>
  <c r="U240" i="1" a="1"/>
  <c r="U240" i="1" s="1"/>
  <c r="U239" i="1" a="1"/>
  <c r="U239" i="1" s="1"/>
  <c r="U238" i="1" a="1"/>
  <c r="U238" i="1" s="1"/>
  <c r="U237" i="1" a="1"/>
  <c r="U237" i="1" s="1"/>
  <c r="U236" i="1" a="1"/>
  <c r="U236" i="1" s="1"/>
  <c r="U235" i="1" a="1"/>
  <c r="U235" i="1" s="1"/>
  <c r="U234" i="1" a="1"/>
  <c r="U234" i="1" s="1"/>
  <c r="U233" i="1" a="1"/>
  <c r="U233" i="1" s="1"/>
  <c r="U232" i="1" a="1"/>
  <c r="U232" i="1" s="1"/>
  <c r="U231" i="1" a="1"/>
  <c r="U231" i="1" s="1"/>
  <c r="U230" i="1" a="1"/>
  <c r="U230" i="1" s="1"/>
  <c r="U229" i="1" a="1"/>
  <c r="U229" i="1" s="1"/>
  <c r="U228" i="1" a="1"/>
  <c r="U228" i="1" s="1"/>
  <c r="U227" i="1" a="1"/>
  <c r="U227" i="1" s="1"/>
  <c r="U226" i="1" a="1"/>
  <c r="U226" i="1" s="1"/>
  <c r="U225" i="1" a="1"/>
  <c r="U225" i="1" s="1"/>
  <c r="U224" i="1" a="1"/>
  <c r="U224" i="1" s="1"/>
  <c r="U223" i="1" a="1"/>
  <c r="U223" i="1" s="1"/>
  <c r="U222" i="1" a="1"/>
  <c r="U222" i="1" s="1"/>
  <c r="U221" i="1" a="1"/>
  <c r="U221" i="1" s="1"/>
  <c r="U220" i="1" a="1"/>
  <c r="U220" i="1" s="1"/>
  <c r="U219" i="1" a="1"/>
  <c r="U219" i="1" s="1"/>
  <c r="U218" i="1"/>
  <c r="U218" i="1" a="1"/>
  <c r="U217" i="1" a="1"/>
  <c r="U217" i="1" s="1"/>
  <c r="U216" i="1" a="1"/>
  <c r="U216" i="1" s="1"/>
  <c r="U215" i="1" a="1"/>
  <c r="U215" i="1" s="1"/>
  <c r="U214" i="1" a="1"/>
  <c r="U214" i="1" s="1"/>
  <c r="U213" i="1" a="1"/>
  <c r="U213" i="1" s="1"/>
  <c r="U212" i="1" a="1"/>
  <c r="U212" i="1" s="1"/>
  <c r="U211" i="1" a="1"/>
  <c r="U211" i="1" s="1"/>
  <c r="U210" i="1" a="1"/>
  <c r="U210" i="1" s="1"/>
  <c r="U209" i="1" a="1"/>
  <c r="U209" i="1" s="1"/>
  <c r="U208" i="1" a="1"/>
  <c r="U208" i="1" s="1"/>
  <c r="U207" i="1" a="1"/>
  <c r="U207" i="1" s="1"/>
  <c r="U206" i="1" a="1"/>
  <c r="U206" i="1" s="1"/>
  <c r="U205" i="1" a="1"/>
  <c r="U205" i="1" s="1"/>
  <c r="U204" i="1" a="1"/>
  <c r="U204" i="1" s="1"/>
  <c r="U203" i="1" a="1"/>
  <c r="U203" i="1" s="1"/>
  <c r="U202" i="1" a="1"/>
  <c r="U202" i="1" s="1"/>
  <c r="U201" i="1" a="1"/>
  <c r="U201" i="1" s="1"/>
  <c r="U200" i="1" a="1"/>
  <c r="U200" i="1" s="1"/>
  <c r="U199" i="1" a="1"/>
  <c r="U199" i="1" s="1"/>
  <c r="U198" i="1" a="1"/>
  <c r="U198" i="1" s="1"/>
  <c r="U197" i="1" a="1"/>
  <c r="U197" i="1" s="1"/>
  <c r="U196" i="1" a="1"/>
  <c r="U196" i="1" s="1"/>
  <c r="U195" i="1" a="1"/>
  <c r="U195" i="1" s="1"/>
  <c r="U194" i="1" a="1"/>
  <c r="U194" i="1" s="1"/>
  <c r="U193" i="1" a="1"/>
  <c r="U193" i="1" s="1"/>
  <c r="U192" i="1" a="1"/>
  <c r="U192" i="1" s="1"/>
  <c r="U191" i="1" a="1"/>
  <c r="U191" i="1" s="1"/>
  <c r="U190" i="1" a="1"/>
  <c r="U190" i="1" s="1"/>
  <c r="U189" i="1" a="1"/>
  <c r="U189" i="1" s="1"/>
  <c r="U188" i="1" a="1"/>
  <c r="U188" i="1" s="1"/>
  <c r="U187" i="1" a="1"/>
  <c r="U187" i="1" s="1"/>
  <c r="U186" i="1" a="1"/>
  <c r="U186" i="1" s="1"/>
  <c r="U185" i="1" a="1"/>
  <c r="U185" i="1" s="1"/>
  <c r="U184" i="1" a="1"/>
  <c r="U184" i="1" s="1"/>
  <c r="U183" i="1" a="1"/>
  <c r="U183" i="1" s="1"/>
  <c r="U182" i="1" a="1"/>
  <c r="U182" i="1" s="1"/>
  <c r="U181" i="1" a="1"/>
  <c r="U181" i="1" s="1"/>
  <c r="U180" i="1" a="1"/>
  <c r="U180" i="1" s="1"/>
  <c r="U179" i="1" a="1"/>
  <c r="U179" i="1" s="1"/>
  <c r="U178" i="1" a="1"/>
  <c r="U178" i="1" s="1"/>
  <c r="U177" i="1" a="1"/>
  <c r="U177" i="1" s="1"/>
  <c r="U176" i="1"/>
  <c r="U176" i="1" a="1"/>
  <c r="U175" i="1" a="1"/>
  <c r="U175" i="1" s="1"/>
  <c r="U174" i="1" a="1"/>
  <c r="U174" i="1" s="1"/>
  <c r="U173" i="1" a="1"/>
  <c r="U173" i="1" s="1"/>
  <c r="U172" i="1" a="1"/>
  <c r="U172" i="1" s="1"/>
  <c r="U171" i="1" a="1"/>
  <c r="U171" i="1" s="1"/>
  <c r="U170" i="1" a="1"/>
  <c r="U170" i="1" s="1"/>
  <c r="U169" i="1" a="1"/>
  <c r="U169" i="1" s="1"/>
  <c r="U168" i="1" a="1"/>
  <c r="U168" i="1" s="1"/>
  <c r="U167" i="1"/>
  <c r="U167" i="1" a="1"/>
  <c r="U166" i="1" a="1"/>
  <c r="U166" i="1" s="1"/>
  <c r="U165" i="1" a="1"/>
  <c r="U165" i="1" s="1"/>
  <c r="U164" i="1" a="1"/>
  <c r="U164" i="1" s="1"/>
  <c r="U163" i="1" a="1"/>
  <c r="U163" i="1" s="1"/>
  <c r="U162" i="1" a="1"/>
  <c r="U162" i="1" s="1"/>
  <c r="U161" i="1" a="1"/>
  <c r="U161" i="1" s="1"/>
  <c r="U160" i="1" a="1"/>
  <c r="U160" i="1" s="1"/>
  <c r="U159" i="1" a="1"/>
  <c r="U159" i="1" s="1"/>
  <c r="U158" i="1" a="1"/>
  <c r="U158" i="1" s="1"/>
  <c r="U157" i="1" a="1"/>
  <c r="U157" i="1" s="1"/>
  <c r="U156" i="1" a="1"/>
  <c r="U156" i="1" s="1"/>
  <c r="U155" i="1" a="1"/>
  <c r="U155" i="1" s="1"/>
  <c r="U154" i="1" a="1"/>
  <c r="U154" i="1" s="1"/>
  <c r="U153" i="1" a="1"/>
  <c r="U153" i="1" s="1"/>
  <c r="U152" i="1" a="1"/>
  <c r="U152" i="1" s="1"/>
  <c r="U151" i="1" a="1"/>
  <c r="U151" i="1" s="1"/>
  <c r="U150" i="1"/>
  <c r="U150" i="1" a="1"/>
  <c r="U149" i="1" a="1"/>
  <c r="U149" i="1" s="1"/>
  <c r="U148" i="1" a="1"/>
  <c r="U148" i="1" s="1"/>
  <c r="U147" i="1" a="1"/>
  <c r="U147" i="1" s="1"/>
  <c r="U146" i="1" a="1"/>
  <c r="U146" i="1" s="1"/>
  <c r="U145" i="1" a="1"/>
  <c r="U145" i="1" s="1"/>
  <c r="U144" i="1" a="1"/>
  <c r="U144" i="1" s="1"/>
  <c r="U143" i="1" a="1"/>
  <c r="U143" i="1" s="1"/>
  <c r="U142" i="1" a="1"/>
  <c r="U142" i="1" s="1"/>
  <c r="U141" i="1" a="1"/>
  <c r="U141" i="1" s="1"/>
  <c r="U140" i="1" a="1"/>
  <c r="U140" i="1" s="1"/>
  <c r="U139" i="1" a="1"/>
  <c r="U139" i="1" s="1"/>
  <c r="U138" i="1" a="1"/>
  <c r="U138" i="1" s="1"/>
  <c r="U137" i="1" a="1"/>
  <c r="U137" i="1" s="1"/>
  <c r="U136" i="1" a="1"/>
  <c r="U136" i="1" s="1"/>
  <c r="U135" i="1" a="1"/>
  <c r="U135" i="1" s="1"/>
  <c r="U134" i="1" a="1"/>
  <c r="U134" i="1" s="1"/>
  <c r="U133" i="1" a="1"/>
  <c r="U133" i="1" s="1"/>
  <c r="U132" i="1" a="1"/>
  <c r="U132" i="1" s="1"/>
  <c r="U131" i="1" a="1"/>
  <c r="U131" i="1" s="1"/>
  <c r="U130" i="1" a="1"/>
  <c r="U130" i="1" s="1"/>
  <c r="U129" i="1" a="1"/>
  <c r="U129" i="1" s="1"/>
  <c r="U128" i="1" a="1"/>
  <c r="U128" i="1" s="1"/>
  <c r="U127" i="1" a="1"/>
  <c r="U127" i="1" s="1"/>
  <c r="U126" i="1" a="1"/>
  <c r="U126" i="1" s="1"/>
  <c r="U125" i="1" a="1"/>
  <c r="U125" i="1" s="1"/>
  <c r="U124" i="1" a="1"/>
  <c r="U124" i="1" s="1"/>
  <c r="U123" i="1" a="1"/>
  <c r="U123" i="1" s="1"/>
  <c r="U122" i="1" a="1"/>
  <c r="U122" i="1" s="1"/>
  <c r="U121" i="1" a="1"/>
  <c r="U121" i="1" s="1"/>
  <c r="U120" i="1" a="1"/>
  <c r="U120" i="1" s="1"/>
  <c r="U119" i="1" a="1"/>
  <c r="U119" i="1" s="1"/>
  <c r="U118" i="1" a="1"/>
  <c r="U118" i="1" s="1"/>
  <c r="U117" i="1" a="1"/>
  <c r="U117" i="1" s="1"/>
  <c r="U116" i="1" a="1"/>
  <c r="U116" i="1" s="1"/>
  <c r="U115" i="1" a="1"/>
  <c r="U115" i="1" s="1"/>
  <c r="U114" i="1" a="1"/>
  <c r="U114" i="1" s="1"/>
  <c r="U113" i="1" a="1"/>
  <c r="U113" i="1" s="1"/>
  <c r="U112" i="1" a="1"/>
  <c r="U112" i="1" s="1"/>
  <c r="U111" i="1" a="1"/>
  <c r="U111" i="1" s="1"/>
  <c r="U110" i="1" a="1"/>
  <c r="U110" i="1" s="1"/>
  <c r="U109" i="1"/>
  <c r="U109" i="1" a="1"/>
  <c r="U108" i="1" a="1"/>
  <c r="U108" i="1" s="1"/>
  <c r="U107" i="1" a="1"/>
  <c r="U107" i="1" s="1"/>
  <c r="U106" i="1" a="1"/>
  <c r="U106" i="1" s="1"/>
  <c r="U105" i="1" a="1"/>
  <c r="U105" i="1" s="1"/>
  <c r="U104" i="1" a="1"/>
  <c r="U104" i="1" s="1"/>
  <c r="U103" i="1" a="1"/>
  <c r="U103" i="1" s="1"/>
  <c r="U102" i="1" a="1"/>
  <c r="U102" i="1" s="1"/>
  <c r="U101" i="1" a="1"/>
  <c r="U101" i="1" s="1"/>
  <c r="U100" i="1" a="1"/>
  <c r="U100" i="1" s="1"/>
  <c r="U99" i="1" a="1"/>
  <c r="U99" i="1" s="1"/>
  <c r="U98" i="1" a="1"/>
  <c r="U98" i="1" s="1"/>
  <c r="U97" i="1" a="1"/>
  <c r="U97" i="1" s="1"/>
  <c r="U96" i="1" a="1"/>
  <c r="U96" i="1" s="1"/>
  <c r="U95" i="1" a="1"/>
  <c r="U95" i="1" s="1"/>
  <c r="U94" i="1" a="1"/>
  <c r="U94" i="1" s="1"/>
  <c r="U93" i="1" a="1"/>
  <c r="U93" i="1" s="1"/>
  <c r="U92" i="1" a="1"/>
  <c r="U92" i="1" s="1"/>
  <c r="U91" i="1" a="1"/>
  <c r="U91" i="1" s="1"/>
  <c r="U90" i="1" a="1"/>
  <c r="U90" i="1" s="1"/>
  <c r="U89" i="1" a="1"/>
  <c r="U89" i="1" s="1"/>
  <c r="U88" i="1" a="1"/>
  <c r="U88" i="1" s="1"/>
  <c r="U87" i="1" a="1"/>
  <c r="U87" i="1" s="1"/>
  <c r="U86" i="1" a="1"/>
  <c r="U86" i="1" s="1"/>
  <c r="U85" i="1" a="1"/>
  <c r="U85" i="1" s="1"/>
  <c r="U84" i="1" a="1"/>
  <c r="U84" i="1" s="1"/>
  <c r="U83" i="1" a="1"/>
  <c r="U83" i="1" s="1"/>
  <c r="U82" i="1" a="1"/>
  <c r="U82" i="1" s="1"/>
  <c r="U81" i="1" a="1"/>
  <c r="U81" i="1" s="1"/>
  <c r="U80" i="1" a="1"/>
  <c r="U80" i="1" s="1"/>
  <c r="U79" i="1"/>
  <c r="U79" i="1" a="1"/>
  <c r="U78" i="1" a="1"/>
  <c r="U78" i="1" s="1"/>
  <c r="U77" i="1" a="1"/>
  <c r="U77" i="1" s="1"/>
  <c r="U76" i="1" a="1"/>
  <c r="U76" i="1" s="1"/>
  <c r="U75" i="1" a="1"/>
  <c r="U75" i="1" s="1"/>
  <c r="U74" i="1" a="1"/>
  <c r="U74" i="1" s="1"/>
  <c r="U73" i="1" a="1"/>
  <c r="U73" i="1" s="1"/>
  <c r="U72" i="1" a="1"/>
  <c r="U72" i="1" s="1"/>
  <c r="U71" i="1" a="1"/>
  <c r="U71" i="1" s="1"/>
  <c r="U70" i="1" a="1"/>
  <c r="U70" i="1" s="1"/>
  <c r="U69" i="1" a="1"/>
  <c r="U69" i="1" s="1"/>
  <c r="U68" i="1"/>
  <c r="U68" i="1" a="1"/>
  <c r="U67" i="1" a="1"/>
  <c r="U67" i="1" s="1"/>
  <c r="U66" i="1" a="1"/>
  <c r="U66" i="1" s="1"/>
  <c r="U65" i="1" a="1"/>
  <c r="U65" i="1" s="1"/>
  <c r="U64" i="1" a="1"/>
  <c r="U64" i="1" s="1"/>
  <c r="U63" i="1" a="1"/>
  <c r="U63" i="1" s="1"/>
  <c r="U62" i="1" a="1"/>
  <c r="U62" i="1" s="1"/>
  <c r="U61" i="1" a="1"/>
  <c r="U61" i="1" s="1"/>
  <c r="U60" i="1" a="1"/>
  <c r="U60" i="1" s="1"/>
  <c r="U59" i="1" a="1"/>
  <c r="U59" i="1" s="1"/>
  <c r="U58" i="1" a="1"/>
  <c r="U58" i="1" s="1"/>
  <c r="U57" i="1" a="1"/>
  <c r="U57" i="1" s="1"/>
  <c r="U56" i="1" a="1"/>
  <c r="U56" i="1" s="1"/>
  <c r="U55" i="1" a="1"/>
  <c r="U55" i="1" s="1"/>
  <c r="U54" i="1" a="1"/>
  <c r="U54" i="1" s="1"/>
  <c r="U53" i="1" a="1"/>
  <c r="U53" i="1" s="1"/>
  <c r="U52" i="1" a="1"/>
  <c r="U52" i="1" s="1"/>
  <c r="U51" i="1" a="1"/>
  <c r="U51" i="1" s="1"/>
  <c r="U50" i="1" a="1"/>
  <c r="U50" i="1" s="1"/>
  <c r="U49" i="1" a="1"/>
  <c r="U49" i="1" s="1"/>
  <c r="U48" i="1" a="1"/>
  <c r="U48" i="1" s="1"/>
  <c r="U47" i="1" a="1"/>
  <c r="U47" i="1" s="1"/>
  <c r="U46" i="1" a="1"/>
  <c r="U46" i="1" s="1"/>
  <c r="U45" i="1" a="1"/>
  <c r="U45" i="1" s="1"/>
  <c r="U44" i="1" a="1"/>
  <c r="U44" i="1" s="1"/>
  <c r="U43" i="1" a="1"/>
  <c r="U43" i="1" s="1"/>
  <c r="U42" i="1" a="1"/>
  <c r="U42" i="1" s="1"/>
  <c r="U41" i="1" a="1"/>
  <c r="U41" i="1" s="1"/>
  <c r="U40" i="1" a="1"/>
  <c r="U40" i="1" s="1"/>
  <c r="U39" i="1" a="1"/>
  <c r="U39" i="1" s="1"/>
  <c r="U38" i="1" a="1"/>
  <c r="U38" i="1" s="1"/>
  <c r="U37" i="1" a="1"/>
  <c r="U37" i="1" s="1"/>
  <c r="U36" i="1" a="1"/>
  <c r="U36" i="1" s="1"/>
  <c r="U35" i="1" a="1"/>
  <c r="U35" i="1" s="1"/>
  <c r="U34" i="1" a="1"/>
  <c r="U34" i="1" s="1"/>
  <c r="U33" i="1" a="1"/>
  <c r="U33" i="1" s="1"/>
  <c r="U32" i="1" a="1"/>
  <c r="U32" i="1" s="1"/>
  <c r="U31" i="1" a="1"/>
  <c r="U31" i="1" s="1"/>
  <c r="U30" i="1" a="1"/>
  <c r="U30" i="1" s="1"/>
  <c r="U29" i="1" a="1"/>
  <c r="U29" i="1" s="1"/>
  <c r="U28" i="1" a="1"/>
  <c r="U28" i="1" s="1"/>
  <c r="U27" i="1" a="1"/>
  <c r="U27" i="1" s="1"/>
  <c r="U26" i="1" a="1"/>
  <c r="U26" i="1" s="1"/>
  <c r="U25" i="1" a="1"/>
  <c r="U25" i="1" s="1"/>
  <c r="U24" i="1" a="1"/>
  <c r="U24" i="1" s="1"/>
  <c r="U23" i="1" a="1"/>
  <c r="U23" i="1" s="1"/>
  <c r="U22" i="1" a="1"/>
  <c r="U22" i="1" s="1"/>
  <c r="U21" i="1" a="1"/>
  <c r="U21" i="1" s="1"/>
  <c r="U20" i="1" a="1"/>
  <c r="U20" i="1" s="1"/>
  <c r="U19" i="1" a="1"/>
  <c r="U19" i="1" s="1"/>
  <c r="U18" i="1" a="1"/>
  <c r="U18" i="1" s="1"/>
  <c r="U17" i="1" a="1"/>
  <c r="U17" i="1" s="1"/>
  <c r="U16" i="1" a="1"/>
  <c r="U16" i="1" s="1"/>
  <c r="U15" i="1" a="1"/>
  <c r="U15" i="1" s="1"/>
  <c r="U14" i="1" a="1"/>
  <c r="U14" i="1" s="1"/>
  <c r="U13" i="1" a="1"/>
  <c r="U13" i="1" s="1"/>
  <c r="U12" i="1" a="1"/>
  <c r="U12" i="1" s="1"/>
  <c r="U11" i="1" a="1"/>
  <c r="U11" i="1" s="1"/>
  <c r="U10" i="1" a="1"/>
  <c r="U10" i="1" s="1"/>
  <c r="U9" i="1" a="1"/>
  <c r="U9" i="1" s="1"/>
  <c r="B9" i="3"/>
  <c r="G9" i="1" a="1"/>
  <c r="G9" i="1" s="1"/>
  <c r="D5" i="4"/>
  <c r="B5" i="4"/>
  <c r="D6" i="4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E9" i="1"/>
  <c r="B4" i="1"/>
  <c r="B10" i="1"/>
  <c r="B11" i="1" s="1"/>
  <c r="D9" i="1"/>
  <c r="C9" i="1"/>
  <c r="B3" i="1" a="1"/>
  <c r="R9" i="1" l="1" a="1"/>
  <c r="R9" i="1" s="1"/>
  <c r="N9" i="1" s="1" a="1"/>
  <c r="N9" i="1" s="1"/>
  <c r="D7" i="4"/>
  <c r="B6" i="4"/>
  <c r="B5" i="1"/>
  <c r="B4" i="4"/>
  <c r="B6" i="1" a="1"/>
  <c r="B6" i="1" s="1"/>
  <c r="A83" i="1"/>
  <c r="C11" i="1"/>
  <c r="B12" i="1"/>
  <c r="E11" i="1"/>
  <c r="G11" i="1" s="1" a="1"/>
  <c r="G11" i="1" s="1"/>
  <c r="E10" i="1"/>
  <c r="G10" i="1" s="1" a="1"/>
  <c r="G10" i="1" s="1"/>
  <c r="F9" i="1"/>
  <c r="D11" i="1"/>
  <c r="C10" i="1"/>
  <c r="D12" i="1"/>
  <c r="D10" i="1"/>
  <c r="B3" i="1"/>
  <c r="O9" i="1" l="1" a="1"/>
  <c r="O9" i="1" s="1"/>
  <c r="H9" i="1" a="1"/>
  <c r="H9" i="1" s="1"/>
  <c r="J9" i="1" s="1"/>
  <c r="I9" i="1" a="1"/>
  <c r="I9" i="1" s="1"/>
  <c r="T9" i="1"/>
  <c r="D8" i="4"/>
  <c r="B7" i="4"/>
  <c r="A84" i="1"/>
  <c r="F10" i="1"/>
  <c r="F11" i="1"/>
  <c r="C12" i="1"/>
  <c r="E12" i="1"/>
  <c r="G12" i="1" s="1" a="1"/>
  <c r="G12" i="1" s="1"/>
  <c r="B13" i="1"/>
  <c r="K9" i="1" l="1"/>
  <c r="I11" i="1" a="1"/>
  <c r="I11" i="1" s="1"/>
  <c r="H11" i="1" a="1"/>
  <c r="H11" i="1" s="1"/>
  <c r="J11" i="1" s="1"/>
  <c r="I10" i="1" a="1"/>
  <c r="I10" i="1" s="1"/>
  <c r="H10" i="1" a="1"/>
  <c r="H10" i="1" s="1"/>
  <c r="J10" i="1" s="1"/>
  <c r="D9" i="4"/>
  <c r="B8" i="4"/>
  <c r="A85" i="1"/>
  <c r="D13" i="1"/>
  <c r="E13" i="1"/>
  <c r="G13" i="1" s="1" a="1"/>
  <c r="G13" i="1" s="1"/>
  <c r="B14" i="1"/>
  <c r="C13" i="1"/>
  <c r="F12" i="1"/>
  <c r="L9" i="1" a="1"/>
  <c r="K10" i="1" l="1"/>
  <c r="K11" i="1"/>
  <c r="L9" i="1"/>
  <c r="M9" i="1" s="1" a="1"/>
  <c r="M9" i="1" s="1"/>
  <c r="Q9" i="1" s="1" a="1"/>
  <c r="Q9" i="1" s="1"/>
  <c r="P10" i="1" s="1"/>
  <c r="I12" i="1" a="1"/>
  <c r="I12" i="1" s="1"/>
  <c r="H12" i="1" a="1"/>
  <c r="H12" i="1" s="1"/>
  <c r="J12" i="1" s="1"/>
  <c r="D10" i="4"/>
  <c r="B9" i="4"/>
  <c r="A86" i="1"/>
  <c r="C14" i="1"/>
  <c r="B15" i="1"/>
  <c r="E14" i="1"/>
  <c r="G14" i="1" s="1" a="1"/>
  <c r="G14" i="1" s="1"/>
  <c r="D14" i="1"/>
  <c r="F13" i="1"/>
  <c r="K12" i="1" l="1"/>
  <c r="I13" i="1" a="1"/>
  <c r="I13" i="1" s="1"/>
  <c r="H13" i="1" a="1"/>
  <c r="H13" i="1" s="1"/>
  <c r="J13" i="1" s="1"/>
  <c r="D11" i="4"/>
  <c r="B10" i="4"/>
  <c r="S9" i="1" a="1"/>
  <c r="S9" i="1" s="1"/>
  <c r="V9" i="1" s="1"/>
  <c r="R10" i="1" a="1"/>
  <c r="R10" i="1" s="1"/>
  <c r="A87" i="1"/>
  <c r="F14" i="1"/>
  <c r="C15" i="1"/>
  <c r="E15" i="1"/>
  <c r="G15" i="1" s="1" a="1"/>
  <c r="G15" i="1" s="1"/>
  <c r="B16" i="1"/>
  <c r="D15" i="1"/>
  <c r="L10" i="1" a="1"/>
  <c r="K13" i="1" l="1"/>
  <c r="H14" i="1" a="1"/>
  <c r="H14" i="1" s="1"/>
  <c r="J14" i="1" s="1"/>
  <c r="I14" i="1" a="1"/>
  <c r="I14" i="1" s="1"/>
  <c r="O10" i="1" a="1"/>
  <c r="O10" i="1" s="1"/>
  <c r="T10" i="1"/>
  <c r="D12" i="4"/>
  <c r="B11" i="4"/>
  <c r="L10" i="1"/>
  <c r="N10" i="1" a="1"/>
  <c r="N10" i="1" s="1"/>
  <c r="A88" i="1"/>
  <c r="C16" i="1"/>
  <c r="B17" i="1"/>
  <c r="E16" i="1"/>
  <c r="G16" i="1" s="1" a="1"/>
  <c r="G16" i="1" s="1"/>
  <c r="D16" i="1"/>
  <c r="F15" i="1"/>
  <c r="K14" i="1" l="1"/>
  <c r="H15" i="1" a="1"/>
  <c r="H15" i="1" s="1"/>
  <c r="J15" i="1" s="1"/>
  <c r="I15" i="1" a="1"/>
  <c r="I15" i="1" s="1"/>
  <c r="D13" i="4"/>
  <c r="B12" i="4"/>
  <c r="M10" i="1" a="1"/>
  <c r="M10" i="1" s="1"/>
  <c r="Q10" i="1" s="1" a="1"/>
  <c r="Q10" i="1" s="1"/>
  <c r="P11" i="1" s="1"/>
  <c r="A89" i="1"/>
  <c r="F16" i="1"/>
  <c r="B18" i="1"/>
  <c r="E17" i="1"/>
  <c r="G17" i="1" s="1" a="1"/>
  <c r="G17" i="1" s="1"/>
  <c r="D17" i="1"/>
  <c r="C17" i="1"/>
  <c r="K15" i="1" l="1"/>
  <c r="I16" i="1" a="1"/>
  <c r="I16" i="1" s="1"/>
  <c r="H16" i="1" a="1"/>
  <c r="H16" i="1" s="1"/>
  <c r="J16" i="1" s="1"/>
  <c r="D14" i="4"/>
  <c r="B13" i="4"/>
  <c r="S10" i="1" a="1"/>
  <c r="S10" i="1" s="1"/>
  <c r="V10" i="1" s="1"/>
  <c r="A90" i="1"/>
  <c r="F17" i="1"/>
  <c r="E18" i="1"/>
  <c r="G18" i="1" s="1" a="1"/>
  <c r="G18" i="1" s="1"/>
  <c r="C18" i="1"/>
  <c r="B19" i="1"/>
  <c r="D18" i="1"/>
  <c r="K16" i="1" l="1"/>
  <c r="I17" i="1" a="1"/>
  <c r="I17" i="1" s="1"/>
  <c r="H17" i="1" a="1"/>
  <c r="H17" i="1" s="1"/>
  <c r="J17" i="1" s="1"/>
  <c r="D15" i="4"/>
  <c r="B14" i="4"/>
  <c r="R11" i="1" a="1"/>
  <c r="R11" i="1" s="1"/>
  <c r="T11" i="1" s="1"/>
  <c r="A91" i="1"/>
  <c r="E19" i="1"/>
  <c r="G19" i="1" s="1" a="1"/>
  <c r="G19" i="1" s="1"/>
  <c r="B20" i="1"/>
  <c r="D19" i="1"/>
  <c r="C19" i="1"/>
  <c r="F18" i="1"/>
  <c r="L11" i="1" a="1"/>
  <c r="K17" i="1" l="1"/>
  <c r="I18" i="1" a="1"/>
  <c r="I18" i="1" s="1"/>
  <c r="H18" i="1" a="1"/>
  <c r="H18" i="1" s="1"/>
  <c r="J18" i="1" s="1"/>
  <c r="D16" i="4"/>
  <c r="B15" i="4"/>
  <c r="L11" i="1"/>
  <c r="N11" i="1" a="1"/>
  <c r="N11" i="1" s="1"/>
  <c r="O11" i="1" a="1"/>
  <c r="O11" i="1" s="1"/>
  <c r="A92" i="1"/>
  <c r="E20" i="1"/>
  <c r="G20" i="1" s="1" a="1"/>
  <c r="G20" i="1" s="1"/>
  <c r="B21" i="1"/>
  <c r="C20" i="1"/>
  <c r="D20" i="1"/>
  <c r="F19" i="1"/>
  <c r="K18" i="1" l="1"/>
  <c r="I19" i="1" a="1"/>
  <c r="I19" i="1" s="1"/>
  <c r="H19" i="1" a="1"/>
  <c r="H19" i="1" s="1"/>
  <c r="J19" i="1" s="1"/>
  <c r="D17" i="4"/>
  <c r="B16" i="4"/>
  <c r="M11" i="1" a="1"/>
  <c r="M11" i="1" s="1"/>
  <c r="Q11" i="1" s="1" a="1"/>
  <c r="Q11" i="1" s="1"/>
  <c r="P12" i="1" s="1"/>
  <c r="A93" i="1"/>
  <c r="E21" i="1"/>
  <c r="G21" i="1" s="1" a="1"/>
  <c r="G21" i="1" s="1"/>
  <c r="C21" i="1"/>
  <c r="B22" i="1"/>
  <c r="D21" i="1"/>
  <c r="F20" i="1"/>
  <c r="K19" i="1" l="1"/>
  <c r="I20" i="1" a="1"/>
  <c r="I20" i="1" s="1"/>
  <c r="H20" i="1" a="1"/>
  <c r="H20" i="1" s="1"/>
  <c r="J20" i="1" s="1"/>
  <c r="D18" i="4"/>
  <c r="B17" i="4"/>
  <c r="S11" i="1" a="1"/>
  <c r="S11" i="1" s="1"/>
  <c r="V11" i="1" s="1"/>
  <c r="A94" i="1"/>
  <c r="E22" i="1"/>
  <c r="G22" i="1" s="1" a="1"/>
  <c r="G22" i="1" s="1"/>
  <c r="C22" i="1"/>
  <c r="D22" i="1"/>
  <c r="B23" i="1"/>
  <c r="F21" i="1"/>
  <c r="K20" i="1" l="1"/>
  <c r="H21" i="1" a="1"/>
  <c r="H21" i="1" s="1"/>
  <c r="J21" i="1" s="1"/>
  <c r="I21" i="1" a="1"/>
  <c r="I21" i="1" s="1"/>
  <c r="D19" i="4"/>
  <c r="B18" i="4"/>
  <c r="R12" i="1" a="1"/>
  <c r="R12" i="1" s="1"/>
  <c r="T12" i="1" s="1"/>
  <c r="A95" i="1"/>
  <c r="E23" i="1"/>
  <c r="G23" i="1" s="1" a="1"/>
  <c r="G23" i="1" s="1"/>
  <c r="C23" i="1"/>
  <c r="D23" i="1"/>
  <c r="B24" i="1"/>
  <c r="F22" i="1"/>
  <c r="L12" i="1" a="1"/>
  <c r="K21" i="1" l="1"/>
  <c r="I22" i="1" a="1"/>
  <c r="I22" i="1" s="1"/>
  <c r="H22" i="1" a="1"/>
  <c r="H22" i="1" s="1"/>
  <c r="J22" i="1" s="1"/>
  <c r="D20" i="4"/>
  <c r="B19" i="4"/>
  <c r="L12" i="1"/>
  <c r="O12" i="1" a="1"/>
  <c r="O12" i="1" s="1"/>
  <c r="N12" i="1" a="1"/>
  <c r="N12" i="1" s="1"/>
  <c r="A96" i="1"/>
  <c r="E24" i="1"/>
  <c r="G24" i="1" s="1" a="1"/>
  <c r="G24" i="1" s="1"/>
  <c r="D24" i="1"/>
  <c r="C24" i="1"/>
  <c r="B25" i="1"/>
  <c r="F23" i="1"/>
  <c r="K22" i="1" l="1"/>
  <c r="H23" i="1" a="1"/>
  <c r="H23" i="1" s="1"/>
  <c r="J23" i="1" s="1"/>
  <c r="I23" i="1" a="1"/>
  <c r="I23" i="1" s="1"/>
  <c r="D21" i="4"/>
  <c r="B20" i="4"/>
  <c r="M12" i="1" a="1"/>
  <c r="M12" i="1" s="1"/>
  <c r="Q12" i="1" s="1" a="1"/>
  <c r="Q12" i="1" s="1"/>
  <c r="P13" i="1" s="1"/>
  <c r="A97" i="1"/>
  <c r="E25" i="1"/>
  <c r="G25" i="1" s="1" a="1"/>
  <c r="G25" i="1" s="1"/>
  <c r="C25" i="1"/>
  <c r="B26" i="1"/>
  <c r="D25" i="1"/>
  <c r="F24" i="1"/>
  <c r="K23" i="1" l="1"/>
  <c r="I24" i="1" a="1"/>
  <c r="I24" i="1" s="1"/>
  <c r="H24" i="1" a="1"/>
  <c r="H24" i="1" s="1"/>
  <c r="J24" i="1" s="1"/>
  <c r="D22" i="4"/>
  <c r="B21" i="4"/>
  <c r="S12" i="1" a="1"/>
  <c r="S12" i="1" s="1"/>
  <c r="V12" i="1" s="1"/>
  <c r="A98" i="1"/>
  <c r="E26" i="1"/>
  <c r="G26" i="1" s="1" a="1"/>
  <c r="G26" i="1" s="1"/>
  <c r="C26" i="1"/>
  <c r="B27" i="1"/>
  <c r="D26" i="1"/>
  <c r="F25" i="1"/>
  <c r="K24" i="1" l="1"/>
  <c r="I25" i="1" a="1"/>
  <c r="I25" i="1" s="1"/>
  <c r="H25" i="1" a="1"/>
  <c r="H25" i="1" s="1"/>
  <c r="J25" i="1" s="1"/>
  <c r="D23" i="4"/>
  <c r="B22" i="4"/>
  <c r="R13" i="1" a="1"/>
  <c r="R13" i="1" s="1"/>
  <c r="T13" i="1" s="1"/>
  <c r="A99" i="1"/>
  <c r="E27" i="1"/>
  <c r="G27" i="1" s="1" a="1"/>
  <c r="G27" i="1" s="1"/>
  <c r="C27" i="1"/>
  <c r="B28" i="1"/>
  <c r="D27" i="1"/>
  <c r="F26" i="1"/>
  <c r="L13" i="1" a="1"/>
  <c r="K25" i="1" l="1"/>
  <c r="H26" i="1" a="1"/>
  <c r="H26" i="1" s="1"/>
  <c r="J26" i="1" s="1"/>
  <c r="I26" i="1" a="1"/>
  <c r="I26" i="1" s="1"/>
  <c r="D24" i="4"/>
  <c r="B23" i="4"/>
  <c r="L13" i="1"/>
  <c r="O13" i="1" a="1"/>
  <c r="O13" i="1" s="1"/>
  <c r="N13" i="1" a="1"/>
  <c r="N13" i="1" s="1"/>
  <c r="A100" i="1"/>
  <c r="E28" i="1"/>
  <c r="G28" i="1" s="1" a="1"/>
  <c r="G28" i="1" s="1"/>
  <c r="B29" i="1"/>
  <c r="C28" i="1"/>
  <c r="D28" i="1"/>
  <c r="F27" i="1"/>
  <c r="K26" i="1" l="1"/>
  <c r="H27" i="1" a="1"/>
  <c r="H27" i="1" s="1"/>
  <c r="J27" i="1" s="1"/>
  <c r="I27" i="1" a="1"/>
  <c r="I27" i="1" s="1"/>
  <c r="D25" i="4"/>
  <c r="B24" i="4"/>
  <c r="M13" i="1" a="1"/>
  <c r="M13" i="1" s="1"/>
  <c r="Q13" i="1" s="1" a="1"/>
  <c r="Q13" i="1" s="1"/>
  <c r="P14" i="1" s="1"/>
  <c r="A101" i="1"/>
  <c r="E29" i="1"/>
  <c r="G29" i="1" s="1" a="1"/>
  <c r="G29" i="1" s="1"/>
  <c r="C29" i="1"/>
  <c r="B30" i="1"/>
  <c r="D29" i="1"/>
  <c r="F28" i="1"/>
  <c r="K27" i="1" l="1"/>
  <c r="I28" i="1" a="1"/>
  <c r="I28" i="1" s="1"/>
  <c r="H28" i="1" a="1"/>
  <c r="H28" i="1" s="1"/>
  <c r="J28" i="1" s="1"/>
  <c r="D26" i="4"/>
  <c r="B25" i="4"/>
  <c r="S13" i="1" a="1"/>
  <c r="S13" i="1" s="1"/>
  <c r="V13" i="1" s="1"/>
  <c r="A102" i="1"/>
  <c r="E30" i="1"/>
  <c r="G30" i="1" s="1" a="1"/>
  <c r="G30" i="1" s="1"/>
  <c r="B31" i="1"/>
  <c r="D30" i="1"/>
  <c r="C30" i="1"/>
  <c r="F29" i="1"/>
  <c r="K28" i="1" l="1"/>
  <c r="H29" i="1" a="1"/>
  <c r="H29" i="1" s="1"/>
  <c r="J29" i="1" s="1"/>
  <c r="I29" i="1" a="1"/>
  <c r="I29" i="1" s="1"/>
  <c r="D27" i="4"/>
  <c r="B26" i="4"/>
  <c r="R14" i="1" a="1"/>
  <c r="R14" i="1" s="1"/>
  <c r="T14" i="1" s="1"/>
  <c r="A103" i="1"/>
  <c r="E31" i="1"/>
  <c r="G31" i="1" s="1" a="1"/>
  <c r="G31" i="1" s="1"/>
  <c r="C31" i="1"/>
  <c r="B32" i="1"/>
  <c r="D31" i="1"/>
  <c r="F30" i="1"/>
  <c r="L14" i="1" a="1"/>
  <c r="K29" i="1" l="1"/>
  <c r="I30" i="1" a="1"/>
  <c r="I30" i="1" s="1"/>
  <c r="H30" i="1" a="1"/>
  <c r="H30" i="1" s="1"/>
  <c r="J30" i="1" s="1"/>
  <c r="D28" i="4"/>
  <c r="B27" i="4"/>
  <c r="L14" i="1"/>
  <c r="O14" i="1" a="1"/>
  <c r="O14" i="1" s="1"/>
  <c r="N14" i="1" a="1"/>
  <c r="N14" i="1" s="1"/>
  <c r="A104" i="1"/>
  <c r="E32" i="1"/>
  <c r="G32" i="1" s="1" a="1"/>
  <c r="G32" i="1" s="1"/>
  <c r="C32" i="1"/>
  <c r="D32" i="1"/>
  <c r="B33" i="1"/>
  <c r="F31" i="1"/>
  <c r="K30" i="1" l="1"/>
  <c r="H31" i="1" a="1"/>
  <c r="H31" i="1" s="1"/>
  <c r="J31" i="1" s="1"/>
  <c r="I31" i="1" a="1"/>
  <c r="I31" i="1" s="1"/>
  <c r="D29" i="4"/>
  <c r="B28" i="4"/>
  <c r="M14" i="1" a="1"/>
  <c r="M14" i="1" s="1"/>
  <c r="Q14" i="1" s="1" a="1"/>
  <c r="Q14" i="1" s="1"/>
  <c r="P15" i="1" s="1"/>
  <c r="A105" i="1"/>
  <c r="E33" i="1"/>
  <c r="G33" i="1" s="1" a="1"/>
  <c r="G33" i="1" s="1"/>
  <c r="D33" i="1"/>
  <c r="C33" i="1"/>
  <c r="B34" i="1"/>
  <c r="F32" i="1"/>
  <c r="K31" i="1" l="1"/>
  <c r="I32" i="1" a="1"/>
  <c r="I32" i="1" s="1"/>
  <c r="H32" i="1" a="1"/>
  <c r="H32" i="1" s="1"/>
  <c r="J32" i="1" s="1"/>
  <c r="D30" i="4"/>
  <c r="B29" i="4"/>
  <c r="S14" i="1" a="1"/>
  <c r="S14" i="1" s="1"/>
  <c r="V14" i="1" s="1"/>
  <c r="A106" i="1"/>
  <c r="E34" i="1"/>
  <c r="G34" i="1" s="1" a="1"/>
  <c r="G34" i="1" s="1"/>
  <c r="B35" i="1"/>
  <c r="C34" i="1"/>
  <c r="D34" i="1"/>
  <c r="F33" i="1"/>
  <c r="K32" i="1" l="1"/>
  <c r="I33" i="1" a="1"/>
  <c r="I33" i="1" s="1"/>
  <c r="H33" i="1" a="1"/>
  <c r="H33" i="1" s="1"/>
  <c r="J33" i="1" s="1"/>
  <c r="D31" i="4"/>
  <c r="B30" i="4"/>
  <c r="R15" i="1" a="1"/>
  <c r="R15" i="1" s="1"/>
  <c r="T15" i="1" s="1"/>
  <c r="A107" i="1"/>
  <c r="E35" i="1"/>
  <c r="G35" i="1" s="1" a="1"/>
  <c r="G35" i="1" s="1"/>
  <c r="B36" i="1"/>
  <c r="C35" i="1"/>
  <c r="D35" i="1"/>
  <c r="F34" i="1"/>
  <c r="L15" i="1" a="1"/>
  <c r="K33" i="1" l="1"/>
  <c r="I34" i="1" a="1"/>
  <c r="I34" i="1" s="1"/>
  <c r="H34" i="1" a="1"/>
  <c r="H34" i="1" s="1"/>
  <c r="J34" i="1" s="1"/>
  <c r="D32" i="4"/>
  <c r="B31" i="4"/>
  <c r="L15" i="1"/>
  <c r="O15" i="1" a="1"/>
  <c r="O15" i="1" s="1"/>
  <c r="N15" i="1" a="1"/>
  <c r="N15" i="1" s="1"/>
  <c r="A108" i="1"/>
  <c r="E36" i="1"/>
  <c r="G36" i="1" s="1" a="1"/>
  <c r="G36" i="1" s="1"/>
  <c r="D36" i="1"/>
  <c r="C36" i="1"/>
  <c r="B37" i="1"/>
  <c r="F35" i="1"/>
  <c r="K34" i="1" l="1"/>
  <c r="I35" i="1" a="1"/>
  <c r="I35" i="1" s="1"/>
  <c r="H35" i="1" a="1"/>
  <c r="H35" i="1" s="1"/>
  <c r="J35" i="1" s="1"/>
  <c r="D33" i="4"/>
  <c r="B32" i="4"/>
  <c r="M15" i="1" a="1"/>
  <c r="M15" i="1" s="1"/>
  <c r="Q15" i="1" s="1" a="1"/>
  <c r="Q15" i="1" s="1"/>
  <c r="P16" i="1" s="1"/>
  <c r="A109" i="1"/>
  <c r="E37" i="1"/>
  <c r="G37" i="1" s="1" a="1"/>
  <c r="G37" i="1" s="1"/>
  <c r="C37" i="1"/>
  <c r="D37" i="1"/>
  <c r="B38" i="1"/>
  <c r="F36" i="1"/>
  <c r="K35" i="1" l="1"/>
  <c r="I36" i="1" a="1"/>
  <c r="I36" i="1" s="1"/>
  <c r="H36" i="1" a="1"/>
  <c r="H36" i="1" s="1"/>
  <c r="J36" i="1" s="1"/>
  <c r="D34" i="4"/>
  <c r="B33" i="4"/>
  <c r="S15" i="1" a="1"/>
  <c r="S15" i="1" s="1"/>
  <c r="V15" i="1" s="1"/>
  <c r="A110" i="1"/>
  <c r="F37" i="1"/>
  <c r="E38" i="1"/>
  <c r="G38" i="1" s="1" a="1"/>
  <c r="G38" i="1" s="1"/>
  <c r="B39" i="1"/>
  <c r="C38" i="1"/>
  <c r="D38" i="1"/>
  <c r="K36" i="1" l="1"/>
  <c r="I37" i="1" a="1"/>
  <c r="I37" i="1" s="1"/>
  <c r="H37" i="1" a="1"/>
  <c r="H37" i="1" s="1"/>
  <c r="J37" i="1" s="1"/>
  <c r="D35" i="4"/>
  <c r="B34" i="4"/>
  <c r="R16" i="1" a="1"/>
  <c r="R16" i="1" s="1"/>
  <c r="T16" i="1" s="1"/>
  <c r="A111" i="1"/>
  <c r="E39" i="1"/>
  <c r="G39" i="1" s="1" a="1"/>
  <c r="G39" i="1" s="1"/>
  <c r="C39" i="1"/>
  <c r="D39" i="1"/>
  <c r="B40" i="1"/>
  <c r="F38" i="1"/>
  <c r="L16" i="1" a="1"/>
  <c r="K37" i="1" l="1"/>
  <c r="I38" i="1" a="1"/>
  <c r="I38" i="1" s="1"/>
  <c r="H38" i="1" a="1"/>
  <c r="H38" i="1" s="1"/>
  <c r="J38" i="1" s="1"/>
  <c r="D36" i="4"/>
  <c r="B35" i="4"/>
  <c r="L16" i="1"/>
  <c r="N16" i="1" a="1"/>
  <c r="N16" i="1" s="1"/>
  <c r="O16" i="1" a="1"/>
  <c r="O16" i="1" s="1"/>
  <c r="A112" i="1"/>
  <c r="E40" i="1"/>
  <c r="G40" i="1" s="1" a="1"/>
  <c r="G40" i="1" s="1"/>
  <c r="C40" i="1"/>
  <c r="D40" i="1"/>
  <c r="B41" i="1"/>
  <c r="F39" i="1"/>
  <c r="K38" i="1" l="1"/>
  <c r="I39" i="1" a="1"/>
  <c r="I39" i="1" s="1"/>
  <c r="H39" i="1" a="1"/>
  <c r="H39" i="1" s="1"/>
  <c r="J39" i="1" s="1"/>
  <c r="D37" i="4"/>
  <c r="B36" i="4"/>
  <c r="M16" i="1" a="1"/>
  <c r="M16" i="1" s="1"/>
  <c r="Q16" i="1" s="1" a="1"/>
  <c r="Q16" i="1" s="1"/>
  <c r="P17" i="1" s="1"/>
  <c r="A113" i="1"/>
  <c r="E41" i="1"/>
  <c r="G41" i="1" s="1" a="1"/>
  <c r="G41" i="1" s="1"/>
  <c r="B42" i="1"/>
  <c r="C41" i="1"/>
  <c r="D41" i="1"/>
  <c r="F40" i="1"/>
  <c r="K39" i="1" l="1"/>
  <c r="I40" i="1" a="1"/>
  <c r="I40" i="1" s="1"/>
  <c r="H40" i="1" a="1"/>
  <c r="H40" i="1" s="1"/>
  <c r="J40" i="1" s="1"/>
  <c r="D38" i="4"/>
  <c r="B37" i="4"/>
  <c r="S16" i="1" a="1"/>
  <c r="S16" i="1" s="1"/>
  <c r="V16" i="1" s="1"/>
  <c r="A114" i="1"/>
  <c r="E42" i="1"/>
  <c r="G42" i="1" s="1" a="1"/>
  <c r="G42" i="1" s="1"/>
  <c r="D42" i="1"/>
  <c r="C42" i="1"/>
  <c r="B43" i="1"/>
  <c r="F41" i="1"/>
  <c r="K40" i="1" l="1"/>
  <c r="H41" i="1" a="1"/>
  <c r="H41" i="1" s="1"/>
  <c r="J41" i="1" s="1"/>
  <c r="I41" i="1" a="1"/>
  <c r="I41" i="1" s="1"/>
  <c r="D39" i="4"/>
  <c r="B38" i="4"/>
  <c r="R17" i="1" a="1"/>
  <c r="R17" i="1" s="1"/>
  <c r="T17" i="1" s="1"/>
  <c r="A115" i="1"/>
  <c r="E43" i="1"/>
  <c r="G43" i="1" s="1" a="1"/>
  <c r="G43" i="1" s="1"/>
  <c r="C43" i="1"/>
  <c r="B44" i="1"/>
  <c r="D43" i="1"/>
  <c r="F42" i="1"/>
  <c r="L17" i="1" a="1"/>
  <c r="K41" i="1" l="1"/>
  <c r="I42" i="1" a="1"/>
  <c r="I42" i="1" s="1"/>
  <c r="H42" i="1" a="1"/>
  <c r="H42" i="1" s="1"/>
  <c r="J42" i="1" s="1"/>
  <c r="D40" i="4"/>
  <c r="B39" i="4"/>
  <c r="L17" i="1"/>
  <c r="N17" i="1" a="1"/>
  <c r="N17" i="1" s="1"/>
  <c r="O17" i="1" a="1"/>
  <c r="O17" i="1" s="1"/>
  <c r="A116" i="1"/>
  <c r="E44" i="1"/>
  <c r="G44" i="1" s="1" a="1"/>
  <c r="G44" i="1" s="1"/>
  <c r="C44" i="1"/>
  <c r="D44" i="1"/>
  <c r="B45" i="1"/>
  <c r="F43" i="1"/>
  <c r="K42" i="1" l="1"/>
  <c r="I43" i="1" a="1"/>
  <c r="I43" i="1" s="1"/>
  <c r="H43" i="1" a="1"/>
  <c r="H43" i="1" s="1"/>
  <c r="J43" i="1" s="1"/>
  <c r="D41" i="4"/>
  <c r="B40" i="4"/>
  <c r="M17" i="1" a="1"/>
  <c r="M17" i="1" s="1"/>
  <c r="Q17" i="1" s="1" a="1"/>
  <c r="Q17" i="1" s="1"/>
  <c r="P18" i="1" s="1"/>
  <c r="A117" i="1"/>
  <c r="E45" i="1"/>
  <c r="G45" i="1" s="1" a="1"/>
  <c r="G45" i="1" s="1"/>
  <c r="C45" i="1"/>
  <c r="D45" i="1"/>
  <c r="B46" i="1"/>
  <c r="F44" i="1"/>
  <c r="K43" i="1" l="1"/>
  <c r="I44" i="1" a="1"/>
  <c r="I44" i="1" s="1"/>
  <c r="H44" i="1" a="1"/>
  <c r="H44" i="1" s="1"/>
  <c r="J44" i="1" s="1"/>
  <c r="D42" i="4"/>
  <c r="B41" i="4"/>
  <c r="S17" i="1" a="1"/>
  <c r="S17" i="1" s="1"/>
  <c r="V17" i="1" s="1"/>
  <c r="A118" i="1"/>
  <c r="E46" i="1"/>
  <c r="G46" i="1" s="1" a="1"/>
  <c r="G46" i="1" s="1"/>
  <c r="C46" i="1"/>
  <c r="D46" i="1"/>
  <c r="B47" i="1"/>
  <c r="F45" i="1"/>
  <c r="K44" i="1" l="1"/>
  <c r="I45" i="1" a="1"/>
  <c r="I45" i="1" s="1"/>
  <c r="H45" i="1" a="1"/>
  <c r="H45" i="1" s="1"/>
  <c r="J45" i="1" s="1"/>
  <c r="D43" i="4"/>
  <c r="B42" i="4"/>
  <c r="R18" i="1" a="1"/>
  <c r="R18" i="1" s="1"/>
  <c r="T18" i="1" s="1"/>
  <c r="A119" i="1"/>
  <c r="E47" i="1"/>
  <c r="G47" i="1" s="1" a="1"/>
  <c r="G47" i="1" s="1"/>
  <c r="D47" i="1"/>
  <c r="B48" i="1"/>
  <c r="C47" i="1"/>
  <c r="F46" i="1"/>
  <c r="L18" i="1" a="1"/>
  <c r="K45" i="1" l="1"/>
  <c r="H46" i="1" a="1"/>
  <c r="H46" i="1" s="1"/>
  <c r="J46" i="1" s="1"/>
  <c r="I46" i="1" a="1"/>
  <c r="I46" i="1" s="1"/>
  <c r="D44" i="4"/>
  <c r="B43" i="4"/>
  <c r="L18" i="1"/>
  <c r="N18" i="1" a="1"/>
  <c r="N18" i="1" s="1"/>
  <c r="O18" i="1" a="1"/>
  <c r="O18" i="1" s="1"/>
  <c r="A120" i="1"/>
  <c r="E48" i="1"/>
  <c r="G48" i="1" s="1" a="1"/>
  <c r="G48" i="1" s="1"/>
  <c r="B49" i="1"/>
  <c r="D48" i="1"/>
  <c r="C48" i="1"/>
  <c r="F47" i="1"/>
  <c r="K46" i="1" l="1"/>
  <c r="I47" i="1" a="1"/>
  <c r="I47" i="1" s="1"/>
  <c r="H47" i="1" a="1"/>
  <c r="H47" i="1" s="1"/>
  <c r="J47" i="1" s="1"/>
  <c r="D45" i="4"/>
  <c r="B44" i="4"/>
  <c r="M18" i="1" a="1"/>
  <c r="M18" i="1" s="1"/>
  <c r="Q18" i="1" s="1" a="1"/>
  <c r="Q18" i="1" s="1"/>
  <c r="P19" i="1" s="1"/>
  <c r="A121" i="1"/>
  <c r="E49" i="1"/>
  <c r="G49" i="1" s="1" a="1"/>
  <c r="G49" i="1" s="1"/>
  <c r="B50" i="1"/>
  <c r="C49" i="1"/>
  <c r="D49" i="1"/>
  <c r="F48" i="1"/>
  <c r="K47" i="1" l="1"/>
  <c r="I48" i="1" a="1"/>
  <c r="I48" i="1" s="1"/>
  <c r="H48" i="1" a="1"/>
  <c r="H48" i="1" s="1"/>
  <c r="J48" i="1" s="1"/>
  <c r="D46" i="4"/>
  <c r="B45" i="4"/>
  <c r="S18" i="1" a="1"/>
  <c r="S18" i="1" s="1"/>
  <c r="V18" i="1" s="1"/>
  <c r="A122" i="1"/>
  <c r="E50" i="1"/>
  <c r="G50" i="1" s="1" a="1"/>
  <c r="G50" i="1" s="1"/>
  <c r="D50" i="1"/>
  <c r="B51" i="1"/>
  <c r="C50" i="1"/>
  <c r="F49" i="1"/>
  <c r="K48" i="1" l="1"/>
  <c r="I49" i="1" a="1"/>
  <c r="I49" i="1" s="1"/>
  <c r="H49" i="1" a="1"/>
  <c r="H49" i="1" s="1"/>
  <c r="J49" i="1" s="1"/>
  <c r="D47" i="4"/>
  <c r="B46" i="4"/>
  <c r="R19" i="1" a="1"/>
  <c r="R19" i="1" s="1"/>
  <c r="T19" i="1" s="1"/>
  <c r="A123" i="1"/>
  <c r="E51" i="1"/>
  <c r="G51" i="1" s="1" a="1"/>
  <c r="G51" i="1" s="1"/>
  <c r="D51" i="1"/>
  <c r="B52" i="1"/>
  <c r="C51" i="1"/>
  <c r="F50" i="1"/>
  <c r="L19" i="1" a="1"/>
  <c r="K49" i="1" l="1"/>
  <c r="I50" i="1" a="1"/>
  <c r="I50" i="1" s="1"/>
  <c r="H50" i="1" a="1"/>
  <c r="H50" i="1" s="1"/>
  <c r="J50" i="1" s="1"/>
  <c r="D48" i="4"/>
  <c r="B47" i="4"/>
  <c r="L19" i="1"/>
  <c r="M19" i="1" s="1" a="1"/>
  <c r="M19" i="1" s="1"/>
  <c r="N19" i="1" a="1"/>
  <c r="N19" i="1" s="1"/>
  <c r="O19" i="1" a="1"/>
  <c r="O19" i="1" s="1"/>
  <c r="A124" i="1"/>
  <c r="E52" i="1"/>
  <c r="G52" i="1" s="1" a="1"/>
  <c r="G52" i="1" s="1"/>
  <c r="B53" i="1"/>
  <c r="C52" i="1"/>
  <c r="D52" i="1"/>
  <c r="F51" i="1"/>
  <c r="K50" i="1" l="1"/>
  <c r="I51" i="1" a="1"/>
  <c r="I51" i="1" s="1"/>
  <c r="H51" i="1" a="1"/>
  <c r="H51" i="1" s="1"/>
  <c r="J51" i="1" s="1"/>
  <c r="D49" i="4"/>
  <c r="B48" i="4"/>
  <c r="Q19" i="1" a="1"/>
  <c r="Q19" i="1" s="1"/>
  <c r="P20" i="1" s="1"/>
  <c r="A125" i="1"/>
  <c r="E53" i="1"/>
  <c r="G53" i="1" s="1" a="1"/>
  <c r="G53" i="1" s="1"/>
  <c r="C53" i="1"/>
  <c r="B54" i="1"/>
  <c r="D53" i="1"/>
  <c r="F52" i="1"/>
  <c r="K51" i="1" l="1"/>
  <c r="H52" i="1" a="1"/>
  <c r="H52" i="1" s="1"/>
  <c r="J52" i="1" s="1"/>
  <c r="I52" i="1" a="1"/>
  <c r="I52" i="1" s="1"/>
  <c r="D50" i="4"/>
  <c r="B49" i="4"/>
  <c r="S19" i="1" a="1"/>
  <c r="S19" i="1" s="1"/>
  <c r="V19" i="1" s="1"/>
  <c r="R20" i="1" a="1"/>
  <c r="R20" i="1" s="1"/>
  <c r="T20" i="1" s="1"/>
  <c r="A126" i="1"/>
  <c r="E54" i="1"/>
  <c r="G54" i="1" s="1" a="1"/>
  <c r="G54" i="1" s="1"/>
  <c r="C54" i="1"/>
  <c r="D54" i="1"/>
  <c r="B55" i="1"/>
  <c r="F53" i="1"/>
  <c r="K52" i="1" l="1"/>
  <c r="I53" i="1" a="1"/>
  <c r="I53" i="1" s="1"/>
  <c r="H53" i="1" a="1"/>
  <c r="H53" i="1" s="1"/>
  <c r="J53" i="1" s="1"/>
  <c r="D51" i="4"/>
  <c r="B50" i="4"/>
  <c r="N20" i="1" a="1"/>
  <c r="N20" i="1" s="1"/>
  <c r="O20" i="1" a="1"/>
  <c r="O20" i="1" s="1"/>
  <c r="A127" i="1"/>
  <c r="E55" i="1"/>
  <c r="G55" i="1" s="1" a="1"/>
  <c r="G55" i="1" s="1"/>
  <c r="C55" i="1"/>
  <c r="D55" i="1"/>
  <c r="B56" i="1"/>
  <c r="F54" i="1"/>
  <c r="L20" i="1" a="1"/>
  <c r="K53" i="1" l="1"/>
  <c r="H54" i="1" a="1"/>
  <c r="H54" i="1" s="1"/>
  <c r="J54" i="1" s="1"/>
  <c r="I54" i="1" a="1"/>
  <c r="I54" i="1" s="1"/>
  <c r="D52" i="4"/>
  <c r="B51" i="4"/>
  <c r="L20" i="1"/>
  <c r="A128" i="1"/>
  <c r="E56" i="1"/>
  <c r="G56" i="1" s="1" a="1"/>
  <c r="G56" i="1" s="1"/>
  <c r="C56" i="1"/>
  <c r="D56" i="1"/>
  <c r="B57" i="1"/>
  <c r="F55" i="1"/>
  <c r="K54" i="1" l="1"/>
  <c r="I55" i="1" a="1"/>
  <c r="I55" i="1" s="1"/>
  <c r="H55" i="1" a="1"/>
  <c r="H55" i="1" s="1"/>
  <c r="J55" i="1" s="1"/>
  <c r="D53" i="4"/>
  <c r="B52" i="4"/>
  <c r="M20" i="1" a="1"/>
  <c r="M20" i="1" s="1"/>
  <c r="Q20" i="1" s="1" a="1"/>
  <c r="Q20" i="1" s="1"/>
  <c r="P21" i="1" s="1"/>
  <c r="A129" i="1"/>
  <c r="E57" i="1"/>
  <c r="G57" i="1" s="1" a="1"/>
  <c r="G57" i="1" s="1"/>
  <c r="B58" i="1"/>
  <c r="C57" i="1"/>
  <c r="D57" i="1"/>
  <c r="F56" i="1"/>
  <c r="K55" i="1" l="1"/>
  <c r="H56" i="1" a="1"/>
  <c r="H56" i="1" s="1"/>
  <c r="J56" i="1" s="1"/>
  <c r="I56" i="1" a="1"/>
  <c r="I56" i="1" s="1"/>
  <c r="D54" i="4"/>
  <c r="B53" i="4"/>
  <c r="S20" i="1" a="1"/>
  <c r="S20" i="1" s="1"/>
  <c r="V20" i="1" s="1"/>
  <c r="A130" i="1"/>
  <c r="E58" i="1"/>
  <c r="G58" i="1" s="1" a="1"/>
  <c r="G58" i="1" s="1"/>
  <c r="D58" i="1"/>
  <c r="C58" i="1"/>
  <c r="B59" i="1"/>
  <c r="F57" i="1"/>
  <c r="K56" i="1" l="1"/>
  <c r="I57" i="1" a="1"/>
  <c r="I57" i="1" s="1"/>
  <c r="H57" i="1" a="1"/>
  <c r="H57" i="1" s="1"/>
  <c r="J57" i="1" s="1"/>
  <c r="D55" i="4"/>
  <c r="B54" i="4"/>
  <c r="R21" i="1" a="1"/>
  <c r="R21" i="1" s="1"/>
  <c r="T21" i="1" s="1"/>
  <c r="A131" i="1"/>
  <c r="E59" i="1"/>
  <c r="G59" i="1" s="1" a="1"/>
  <c r="G59" i="1" s="1"/>
  <c r="D59" i="1"/>
  <c r="B60" i="1"/>
  <c r="C59" i="1"/>
  <c r="F58" i="1"/>
  <c r="K57" i="1" l="1"/>
  <c r="H58" i="1" a="1"/>
  <c r="H58" i="1" s="1"/>
  <c r="J58" i="1" s="1"/>
  <c r="I58" i="1" a="1"/>
  <c r="I58" i="1" s="1"/>
  <c r="D56" i="4"/>
  <c r="B55" i="4"/>
  <c r="N21" i="1" a="1"/>
  <c r="N21" i="1" s="1"/>
  <c r="O21" i="1" a="1"/>
  <c r="O21" i="1" s="1"/>
  <c r="A132" i="1"/>
  <c r="E60" i="1"/>
  <c r="G60" i="1" s="1" a="1"/>
  <c r="G60" i="1" s="1"/>
  <c r="B61" i="1"/>
  <c r="D60" i="1"/>
  <c r="C60" i="1"/>
  <c r="F59" i="1"/>
  <c r="L21" i="1" a="1"/>
  <c r="K58" i="1" l="1"/>
  <c r="I59" i="1" a="1"/>
  <c r="I59" i="1" s="1"/>
  <c r="H59" i="1" a="1"/>
  <c r="H59" i="1" s="1"/>
  <c r="J59" i="1" s="1"/>
  <c r="D57" i="4"/>
  <c r="B56" i="4"/>
  <c r="L21" i="1"/>
  <c r="A133" i="1"/>
  <c r="E61" i="1"/>
  <c r="G61" i="1" s="1" a="1"/>
  <c r="G61" i="1" s="1"/>
  <c r="C61" i="1"/>
  <c r="D61" i="1"/>
  <c r="B62" i="1"/>
  <c r="F60" i="1"/>
  <c r="K59" i="1" l="1"/>
  <c r="H60" i="1" a="1"/>
  <c r="H60" i="1" s="1"/>
  <c r="J60" i="1" s="1"/>
  <c r="I60" i="1" a="1"/>
  <c r="I60" i="1" s="1"/>
  <c r="D58" i="4"/>
  <c r="B57" i="4"/>
  <c r="M21" i="1" a="1"/>
  <c r="M21" i="1" s="1"/>
  <c r="Q21" i="1" s="1" a="1"/>
  <c r="Q21" i="1" s="1"/>
  <c r="P22" i="1" s="1"/>
  <c r="A134" i="1"/>
  <c r="E62" i="1"/>
  <c r="G62" i="1" s="1" a="1"/>
  <c r="G62" i="1" s="1"/>
  <c r="B63" i="1"/>
  <c r="C62" i="1"/>
  <c r="D62" i="1"/>
  <c r="F61" i="1"/>
  <c r="K60" i="1" l="1"/>
  <c r="H61" i="1" a="1"/>
  <c r="H61" i="1" s="1"/>
  <c r="J61" i="1" s="1"/>
  <c r="I61" i="1" a="1"/>
  <c r="I61" i="1" s="1"/>
  <c r="D59" i="4"/>
  <c r="B58" i="4"/>
  <c r="S21" i="1" a="1"/>
  <c r="S21" i="1" s="1"/>
  <c r="V21" i="1" s="1"/>
  <c r="A135" i="1"/>
  <c r="E63" i="1"/>
  <c r="G63" i="1" s="1" a="1"/>
  <c r="G63" i="1" s="1"/>
  <c r="B64" i="1"/>
  <c r="C63" i="1"/>
  <c r="D63" i="1"/>
  <c r="F62" i="1"/>
  <c r="K61" i="1" l="1"/>
  <c r="H62" i="1" a="1"/>
  <c r="H62" i="1" s="1"/>
  <c r="J62" i="1" s="1"/>
  <c r="I62" i="1" a="1"/>
  <c r="I62" i="1" s="1"/>
  <c r="D60" i="4"/>
  <c r="B59" i="4"/>
  <c r="R22" i="1" a="1"/>
  <c r="R22" i="1" s="1"/>
  <c r="T22" i="1" s="1"/>
  <c r="A136" i="1"/>
  <c r="E64" i="1"/>
  <c r="G64" i="1" s="1" a="1"/>
  <c r="G64" i="1" s="1"/>
  <c r="B65" i="1"/>
  <c r="D64" i="1"/>
  <c r="C64" i="1"/>
  <c r="F63" i="1"/>
  <c r="K62" i="1" l="1"/>
  <c r="H63" i="1" a="1"/>
  <c r="H63" i="1" s="1"/>
  <c r="J63" i="1" s="1"/>
  <c r="I63" i="1" a="1"/>
  <c r="I63" i="1" s="1"/>
  <c r="D61" i="4"/>
  <c r="B60" i="4"/>
  <c r="N22" i="1" a="1"/>
  <c r="N22" i="1" s="1"/>
  <c r="O22" i="1" a="1"/>
  <c r="O22" i="1" s="1"/>
  <c r="A137" i="1"/>
  <c r="E65" i="1"/>
  <c r="G65" i="1" s="1" a="1"/>
  <c r="G65" i="1" s="1"/>
  <c r="D65" i="1"/>
  <c r="C65" i="1"/>
  <c r="B66" i="1"/>
  <c r="F64" i="1"/>
  <c r="L22" i="1" a="1"/>
  <c r="K63" i="1" l="1"/>
  <c r="I64" i="1" a="1"/>
  <c r="I64" i="1" s="1"/>
  <c r="H64" i="1" a="1"/>
  <c r="H64" i="1" s="1"/>
  <c r="J64" i="1" s="1"/>
  <c r="D62" i="4"/>
  <c r="B61" i="4"/>
  <c r="L22" i="1"/>
  <c r="A138" i="1"/>
  <c r="E66" i="1"/>
  <c r="G66" i="1" s="1" a="1"/>
  <c r="G66" i="1" s="1"/>
  <c r="B67" i="1"/>
  <c r="C66" i="1"/>
  <c r="D66" i="1"/>
  <c r="F65" i="1"/>
  <c r="K64" i="1" l="1"/>
  <c r="H65" i="1" a="1"/>
  <c r="H65" i="1" s="1"/>
  <c r="J65" i="1" s="1"/>
  <c r="I65" i="1" a="1"/>
  <c r="I65" i="1" s="1"/>
  <c r="D63" i="4"/>
  <c r="B62" i="4"/>
  <c r="M22" i="1" a="1"/>
  <c r="M22" i="1" s="1"/>
  <c r="Q22" i="1" s="1" a="1"/>
  <c r="Q22" i="1" s="1"/>
  <c r="P23" i="1" s="1"/>
  <c r="A139" i="1"/>
  <c r="E67" i="1"/>
  <c r="G67" i="1" s="1" a="1"/>
  <c r="G67" i="1" s="1"/>
  <c r="C67" i="1"/>
  <c r="D67" i="1"/>
  <c r="B68" i="1"/>
  <c r="F66" i="1"/>
  <c r="K65" i="1" l="1"/>
  <c r="I66" i="1" a="1"/>
  <c r="I66" i="1" s="1"/>
  <c r="H66" i="1" a="1"/>
  <c r="H66" i="1" s="1"/>
  <c r="J66" i="1" s="1"/>
  <c r="D64" i="4"/>
  <c r="B63" i="4"/>
  <c r="S22" i="1" a="1"/>
  <c r="S22" i="1" s="1"/>
  <c r="V22" i="1" s="1"/>
  <c r="A140" i="1"/>
  <c r="E68" i="1"/>
  <c r="G68" i="1" s="1" a="1"/>
  <c r="G68" i="1" s="1"/>
  <c r="B69" i="1"/>
  <c r="D68" i="1"/>
  <c r="C68" i="1"/>
  <c r="F67" i="1"/>
  <c r="K66" i="1" l="1"/>
  <c r="H67" i="1" a="1"/>
  <c r="H67" i="1" s="1"/>
  <c r="J67" i="1" s="1"/>
  <c r="I67" i="1" a="1"/>
  <c r="I67" i="1" s="1"/>
  <c r="D65" i="4"/>
  <c r="B64" i="4"/>
  <c r="R23" i="1" a="1"/>
  <c r="R23" i="1" s="1"/>
  <c r="T23" i="1" s="1"/>
  <c r="A141" i="1"/>
  <c r="E69" i="1"/>
  <c r="G69" i="1" s="1" a="1"/>
  <c r="G69" i="1" s="1"/>
  <c r="C69" i="1"/>
  <c r="B70" i="1"/>
  <c r="D69" i="1"/>
  <c r="F68" i="1"/>
  <c r="K67" i="1" l="1"/>
  <c r="I68" i="1" a="1"/>
  <c r="I68" i="1" s="1"/>
  <c r="H68" i="1" a="1"/>
  <c r="H68" i="1" s="1"/>
  <c r="J68" i="1" s="1"/>
  <c r="D66" i="4"/>
  <c r="B65" i="4"/>
  <c r="O23" i="1" a="1"/>
  <c r="O23" i="1" s="1"/>
  <c r="N23" i="1" a="1"/>
  <c r="N23" i="1" s="1"/>
  <c r="A142" i="1"/>
  <c r="E70" i="1"/>
  <c r="G70" i="1" s="1" a="1"/>
  <c r="G70" i="1" s="1"/>
  <c r="C70" i="1"/>
  <c r="D70" i="1"/>
  <c r="B71" i="1"/>
  <c r="F69" i="1"/>
  <c r="L23" i="1" a="1"/>
  <c r="K68" i="1" l="1"/>
  <c r="I69" i="1" a="1"/>
  <c r="I69" i="1" s="1"/>
  <c r="H69" i="1" a="1"/>
  <c r="H69" i="1" s="1"/>
  <c r="J69" i="1" s="1"/>
  <c r="D67" i="4"/>
  <c r="B66" i="4"/>
  <c r="L23" i="1"/>
  <c r="A143" i="1"/>
  <c r="E71" i="1"/>
  <c r="G71" i="1" s="1" a="1"/>
  <c r="G71" i="1" s="1"/>
  <c r="C71" i="1"/>
  <c r="D71" i="1"/>
  <c r="B72" i="1"/>
  <c r="F70" i="1"/>
  <c r="K69" i="1" l="1"/>
  <c r="H70" i="1" a="1"/>
  <c r="H70" i="1" s="1"/>
  <c r="J70" i="1" s="1"/>
  <c r="I70" i="1" a="1"/>
  <c r="I70" i="1" s="1"/>
  <c r="D68" i="4"/>
  <c r="B67" i="4"/>
  <c r="M23" i="1" a="1"/>
  <c r="M23" i="1" s="1"/>
  <c r="Q23" i="1" s="1" a="1"/>
  <c r="Q23" i="1" s="1"/>
  <c r="P24" i="1" s="1"/>
  <c r="A144" i="1"/>
  <c r="E72" i="1"/>
  <c r="G72" i="1" s="1" a="1"/>
  <c r="G72" i="1" s="1"/>
  <c r="C72" i="1"/>
  <c r="B73" i="1"/>
  <c r="D72" i="1"/>
  <c r="F71" i="1"/>
  <c r="K70" i="1" l="1"/>
  <c r="H71" i="1" a="1"/>
  <c r="H71" i="1" s="1"/>
  <c r="J71" i="1" s="1"/>
  <c r="I71" i="1" a="1"/>
  <c r="I71" i="1" s="1"/>
  <c r="D69" i="4"/>
  <c r="B68" i="4"/>
  <c r="S23" i="1" a="1"/>
  <c r="S23" i="1" s="1"/>
  <c r="V23" i="1" s="1"/>
  <c r="A145" i="1"/>
  <c r="E73" i="1"/>
  <c r="G73" i="1" s="1" a="1"/>
  <c r="G73" i="1" s="1"/>
  <c r="B74" i="1"/>
  <c r="C73" i="1"/>
  <c r="D73" i="1"/>
  <c r="F72" i="1"/>
  <c r="K71" i="1" l="1"/>
  <c r="I72" i="1" a="1"/>
  <c r="I72" i="1" s="1"/>
  <c r="H72" i="1" a="1"/>
  <c r="H72" i="1" s="1"/>
  <c r="J72" i="1" s="1"/>
  <c r="D70" i="4"/>
  <c r="B69" i="4"/>
  <c r="R24" i="1" a="1"/>
  <c r="R24" i="1" s="1"/>
  <c r="T24" i="1" s="1"/>
  <c r="A146" i="1"/>
  <c r="E74" i="1"/>
  <c r="G74" i="1" s="1" a="1"/>
  <c r="G74" i="1" s="1"/>
  <c r="C74" i="1"/>
  <c r="D74" i="1"/>
  <c r="B75" i="1"/>
  <c r="F73" i="1"/>
  <c r="K72" i="1" l="1"/>
  <c r="I73" i="1" a="1"/>
  <c r="I73" i="1" s="1"/>
  <c r="H73" i="1" a="1"/>
  <c r="H73" i="1" s="1"/>
  <c r="J73" i="1" s="1"/>
  <c r="D71" i="4"/>
  <c r="B70" i="4"/>
  <c r="O24" i="1" a="1"/>
  <c r="O24" i="1" s="1"/>
  <c r="N24" i="1" a="1"/>
  <c r="N24" i="1" s="1"/>
  <c r="A147" i="1"/>
  <c r="E75" i="1"/>
  <c r="G75" i="1" s="1" a="1"/>
  <c r="G75" i="1" s="1"/>
  <c r="B76" i="1"/>
  <c r="C75" i="1"/>
  <c r="D75" i="1"/>
  <c r="F74" i="1"/>
  <c r="L24" i="1" a="1"/>
  <c r="K73" i="1" l="1"/>
  <c r="I74" i="1" a="1"/>
  <c r="I74" i="1" s="1"/>
  <c r="H74" i="1" a="1"/>
  <c r="H74" i="1" s="1"/>
  <c r="J74" i="1" s="1"/>
  <c r="D72" i="4"/>
  <c r="B71" i="4"/>
  <c r="L24" i="1"/>
  <c r="A148" i="1"/>
  <c r="E76" i="1"/>
  <c r="G76" i="1" s="1" a="1"/>
  <c r="G76" i="1" s="1"/>
  <c r="C76" i="1"/>
  <c r="D76" i="1"/>
  <c r="B77" i="1"/>
  <c r="F75" i="1"/>
  <c r="K74" i="1" l="1"/>
  <c r="I75" i="1" a="1"/>
  <c r="I75" i="1" s="1"/>
  <c r="H75" i="1" a="1"/>
  <c r="H75" i="1" s="1"/>
  <c r="J75" i="1" s="1"/>
  <c r="D73" i="4"/>
  <c r="B72" i="4"/>
  <c r="M24" i="1" a="1"/>
  <c r="M24" i="1" s="1"/>
  <c r="Q24" i="1" s="1" a="1"/>
  <c r="Q24" i="1" s="1"/>
  <c r="P25" i="1" s="1"/>
  <c r="A149" i="1"/>
  <c r="E77" i="1"/>
  <c r="G77" i="1" s="1" a="1"/>
  <c r="G77" i="1" s="1"/>
  <c r="C77" i="1"/>
  <c r="D77" i="1"/>
  <c r="B78" i="1"/>
  <c r="F76" i="1"/>
  <c r="K75" i="1" l="1"/>
  <c r="I76" i="1" a="1"/>
  <c r="I76" i="1" s="1"/>
  <c r="H76" i="1" a="1"/>
  <c r="H76" i="1" s="1"/>
  <c r="J76" i="1" s="1"/>
  <c r="D74" i="4"/>
  <c r="B73" i="4"/>
  <c r="S24" i="1" a="1"/>
  <c r="S24" i="1" s="1"/>
  <c r="V24" i="1" s="1"/>
  <c r="A150" i="1"/>
  <c r="E78" i="1"/>
  <c r="G78" i="1" s="1" a="1"/>
  <c r="G78" i="1" s="1"/>
  <c r="B79" i="1"/>
  <c r="C78" i="1"/>
  <c r="D78" i="1"/>
  <c r="F77" i="1"/>
  <c r="K76" i="1" l="1"/>
  <c r="I77" i="1" a="1"/>
  <c r="I77" i="1" s="1"/>
  <c r="H77" i="1" a="1"/>
  <c r="H77" i="1" s="1"/>
  <c r="J77" i="1" s="1"/>
  <c r="D75" i="4"/>
  <c r="B74" i="4"/>
  <c r="R25" i="1" a="1"/>
  <c r="R25" i="1" s="1"/>
  <c r="T25" i="1" s="1"/>
  <c r="A151" i="1"/>
  <c r="E79" i="1"/>
  <c r="G79" i="1" s="1" a="1"/>
  <c r="G79" i="1" s="1"/>
  <c r="B80" i="1"/>
  <c r="D79" i="1"/>
  <c r="C79" i="1"/>
  <c r="F78" i="1"/>
  <c r="K77" i="1" l="1"/>
  <c r="I78" i="1" a="1"/>
  <c r="I78" i="1" s="1"/>
  <c r="H78" i="1" a="1"/>
  <c r="H78" i="1" s="1"/>
  <c r="J78" i="1" s="1"/>
  <c r="D76" i="4"/>
  <c r="B75" i="4"/>
  <c r="N25" i="1" a="1"/>
  <c r="N25" i="1" s="1"/>
  <c r="O25" i="1" a="1"/>
  <c r="O25" i="1" s="1"/>
  <c r="A152" i="1"/>
  <c r="E80" i="1"/>
  <c r="G80" i="1" s="1" a="1"/>
  <c r="G80" i="1" s="1"/>
  <c r="C80" i="1"/>
  <c r="D80" i="1"/>
  <c r="B81" i="1"/>
  <c r="F79" i="1"/>
  <c r="L25" i="1" a="1"/>
  <c r="K78" i="1" l="1"/>
  <c r="H79" i="1" a="1"/>
  <c r="H79" i="1" s="1"/>
  <c r="J79" i="1" s="1"/>
  <c r="I79" i="1" a="1"/>
  <c r="I79" i="1" s="1"/>
  <c r="D77" i="4"/>
  <c r="B76" i="4"/>
  <c r="L25" i="1"/>
  <c r="A153" i="1"/>
  <c r="E81" i="1"/>
  <c r="G81" i="1" s="1" a="1"/>
  <c r="G81" i="1" s="1"/>
  <c r="C81" i="1"/>
  <c r="D81" i="1"/>
  <c r="B82" i="1"/>
  <c r="F80" i="1"/>
  <c r="K79" i="1" l="1"/>
  <c r="I80" i="1" a="1"/>
  <c r="I80" i="1" s="1"/>
  <c r="H80" i="1" a="1"/>
  <c r="H80" i="1" s="1"/>
  <c r="J80" i="1" s="1"/>
  <c r="D78" i="4"/>
  <c r="B77" i="4"/>
  <c r="M25" i="1" a="1"/>
  <c r="M25" i="1" s="1"/>
  <c r="Q25" i="1" s="1" a="1"/>
  <c r="Q25" i="1" s="1"/>
  <c r="P26" i="1" s="1"/>
  <c r="A154" i="1"/>
  <c r="E82" i="1"/>
  <c r="G82" i="1" s="1" a="1"/>
  <c r="G82" i="1" s="1"/>
  <c r="D82" i="1"/>
  <c r="B83" i="1"/>
  <c r="C82" i="1"/>
  <c r="F81" i="1"/>
  <c r="K80" i="1" l="1"/>
  <c r="H81" i="1" a="1"/>
  <c r="H81" i="1" s="1"/>
  <c r="J81" i="1" s="1"/>
  <c r="I81" i="1" a="1"/>
  <c r="I81" i="1" s="1"/>
  <c r="D79" i="4"/>
  <c r="B78" i="4"/>
  <c r="S25" i="1" a="1"/>
  <c r="S25" i="1" s="1"/>
  <c r="V25" i="1" s="1"/>
  <c r="A155" i="1"/>
  <c r="E83" i="1"/>
  <c r="G83" i="1" s="1" a="1"/>
  <c r="G83" i="1" s="1"/>
  <c r="B84" i="1"/>
  <c r="C83" i="1"/>
  <c r="D83" i="1"/>
  <c r="F82" i="1"/>
  <c r="K81" i="1" l="1"/>
  <c r="H82" i="1" a="1"/>
  <c r="H82" i="1" s="1"/>
  <c r="J82" i="1" s="1"/>
  <c r="I82" i="1" a="1"/>
  <c r="I82" i="1" s="1"/>
  <c r="D80" i="4"/>
  <c r="B79" i="4"/>
  <c r="R26" i="1" a="1"/>
  <c r="R26" i="1" s="1"/>
  <c r="T26" i="1" s="1"/>
  <c r="A156" i="1"/>
  <c r="E84" i="1"/>
  <c r="G84" i="1" s="1" a="1"/>
  <c r="G84" i="1" s="1"/>
  <c r="D84" i="1"/>
  <c r="C84" i="1"/>
  <c r="B85" i="1"/>
  <c r="F83" i="1"/>
  <c r="K82" i="1" l="1"/>
  <c r="H83" i="1" a="1"/>
  <c r="H83" i="1" s="1"/>
  <c r="J83" i="1" s="1"/>
  <c r="I83" i="1" a="1"/>
  <c r="I83" i="1" s="1"/>
  <c r="D81" i="4"/>
  <c r="B80" i="4"/>
  <c r="O26" i="1" a="1"/>
  <c r="O26" i="1" s="1"/>
  <c r="N26" i="1" a="1"/>
  <c r="N26" i="1" s="1"/>
  <c r="A157" i="1"/>
  <c r="E85" i="1"/>
  <c r="G85" i="1" s="1" a="1"/>
  <c r="G85" i="1" s="1"/>
  <c r="C85" i="1"/>
  <c r="D85" i="1"/>
  <c r="B86" i="1"/>
  <c r="F84" i="1"/>
  <c r="L26" i="1" a="1"/>
  <c r="K83" i="1" l="1"/>
  <c r="H84" i="1" a="1"/>
  <c r="H84" i="1" s="1"/>
  <c r="J84" i="1" s="1"/>
  <c r="I84" i="1" a="1"/>
  <c r="I84" i="1" s="1"/>
  <c r="D82" i="4"/>
  <c r="B81" i="4"/>
  <c r="L26" i="1"/>
  <c r="A158" i="1"/>
  <c r="E86" i="1"/>
  <c r="G86" i="1" s="1" a="1"/>
  <c r="G86" i="1" s="1"/>
  <c r="B87" i="1"/>
  <c r="C86" i="1"/>
  <c r="D86" i="1"/>
  <c r="F85" i="1"/>
  <c r="K84" i="1" l="1"/>
  <c r="H85" i="1" a="1"/>
  <c r="H85" i="1" s="1"/>
  <c r="J85" i="1" s="1"/>
  <c r="I85" i="1" a="1"/>
  <c r="I85" i="1" s="1"/>
  <c r="D83" i="4"/>
  <c r="B82" i="4"/>
  <c r="M26" i="1" a="1"/>
  <c r="M26" i="1" s="1"/>
  <c r="Q26" i="1" s="1" a="1"/>
  <c r="Q26" i="1" s="1"/>
  <c r="P27" i="1" s="1"/>
  <c r="A159" i="1"/>
  <c r="E87" i="1"/>
  <c r="G87" i="1" s="1" a="1"/>
  <c r="G87" i="1" s="1"/>
  <c r="C87" i="1"/>
  <c r="D87" i="1"/>
  <c r="B88" i="1"/>
  <c r="F86" i="1"/>
  <c r="K85" i="1" l="1"/>
  <c r="H86" i="1" a="1"/>
  <c r="H86" i="1" s="1"/>
  <c r="J86" i="1" s="1"/>
  <c r="I86" i="1" a="1"/>
  <c r="I86" i="1" s="1"/>
  <c r="D84" i="4"/>
  <c r="B83" i="4"/>
  <c r="S26" i="1" a="1"/>
  <c r="S26" i="1" s="1"/>
  <c r="V26" i="1" s="1"/>
  <c r="A160" i="1"/>
  <c r="E88" i="1"/>
  <c r="G88" i="1" s="1" a="1"/>
  <c r="G88" i="1" s="1"/>
  <c r="B89" i="1"/>
  <c r="D88" i="1"/>
  <c r="C88" i="1"/>
  <c r="F87" i="1"/>
  <c r="K86" i="1" l="1"/>
  <c r="I87" i="1" a="1"/>
  <c r="I87" i="1" s="1"/>
  <c r="H87" i="1" a="1"/>
  <c r="H87" i="1" s="1"/>
  <c r="J87" i="1" s="1"/>
  <c r="D85" i="4"/>
  <c r="B84" i="4"/>
  <c r="R27" i="1" a="1"/>
  <c r="R27" i="1" s="1"/>
  <c r="T27" i="1" s="1"/>
  <c r="A161" i="1"/>
  <c r="E89" i="1"/>
  <c r="G89" i="1" s="1" a="1"/>
  <c r="G89" i="1" s="1"/>
  <c r="C89" i="1"/>
  <c r="B90" i="1"/>
  <c r="D89" i="1"/>
  <c r="F88" i="1"/>
  <c r="K87" i="1" l="1"/>
  <c r="H88" i="1" a="1"/>
  <c r="H88" i="1" s="1"/>
  <c r="J88" i="1" s="1"/>
  <c r="I88" i="1" a="1"/>
  <c r="I88" i="1" s="1"/>
  <c r="D86" i="4"/>
  <c r="B85" i="4"/>
  <c r="O27" i="1" a="1"/>
  <c r="O27" i="1" s="1"/>
  <c r="N27" i="1" a="1"/>
  <c r="N27" i="1" s="1"/>
  <c r="A162" i="1"/>
  <c r="E90" i="1"/>
  <c r="G90" i="1" s="1" a="1"/>
  <c r="G90" i="1" s="1"/>
  <c r="C90" i="1"/>
  <c r="B91" i="1"/>
  <c r="D90" i="1"/>
  <c r="F89" i="1"/>
  <c r="L27" i="1" a="1"/>
  <c r="K88" i="1" l="1"/>
  <c r="I89" i="1" a="1"/>
  <c r="I89" i="1" s="1"/>
  <c r="H89" i="1" a="1"/>
  <c r="H89" i="1" s="1"/>
  <c r="J89" i="1" s="1"/>
  <c r="D87" i="4"/>
  <c r="B86" i="4"/>
  <c r="L27" i="1"/>
  <c r="A163" i="1"/>
  <c r="E91" i="1"/>
  <c r="G91" i="1" s="1" a="1"/>
  <c r="G91" i="1" s="1"/>
  <c r="C91" i="1"/>
  <c r="D91" i="1"/>
  <c r="B92" i="1"/>
  <c r="F90" i="1"/>
  <c r="K89" i="1" l="1"/>
  <c r="H90" i="1" a="1"/>
  <c r="H90" i="1" s="1"/>
  <c r="J90" i="1" s="1"/>
  <c r="I90" i="1" a="1"/>
  <c r="I90" i="1" s="1"/>
  <c r="D88" i="4"/>
  <c r="B87" i="4"/>
  <c r="M27" i="1" a="1"/>
  <c r="M27" i="1" s="1"/>
  <c r="Q27" i="1" s="1" a="1"/>
  <c r="Q27" i="1" s="1"/>
  <c r="P28" i="1" s="1"/>
  <c r="A164" i="1"/>
  <c r="E92" i="1"/>
  <c r="G92" i="1" s="1" a="1"/>
  <c r="G92" i="1" s="1"/>
  <c r="B93" i="1"/>
  <c r="C92" i="1"/>
  <c r="D92" i="1"/>
  <c r="F91" i="1"/>
  <c r="K90" i="1" l="1"/>
  <c r="I91" i="1" a="1"/>
  <c r="I91" i="1" s="1"/>
  <c r="H91" i="1" a="1"/>
  <c r="H91" i="1" s="1"/>
  <c r="J91" i="1" s="1"/>
  <c r="D89" i="4"/>
  <c r="B88" i="4"/>
  <c r="S27" i="1" a="1"/>
  <c r="S27" i="1" s="1"/>
  <c r="V27" i="1" s="1"/>
  <c r="A165" i="1"/>
  <c r="E93" i="1"/>
  <c r="G93" i="1" s="1" a="1"/>
  <c r="G93" i="1" s="1"/>
  <c r="B94" i="1"/>
  <c r="C93" i="1"/>
  <c r="D93" i="1"/>
  <c r="F92" i="1"/>
  <c r="K91" i="1" l="1"/>
  <c r="I92" i="1" a="1"/>
  <c r="I92" i="1" s="1"/>
  <c r="H92" i="1" a="1"/>
  <c r="H92" i="1" s="1"/>
  <c r="J92" i="1" s="1"/>
  <c r="D90" i="4"/>
  <c r="B89" i="4"/>
  <c r="R28" i="1" a="1"/>
  <c r="R28" i="1" s="1"/>
  <c r="T28" i="1" s="1"/>
  <c r="A166" i="1"/>
  <c r="E94" i="1"/>
  <c r="G94" i="1" s="1" a="1"/>
  <c r="G94" i="1" s="1"/>
  <c r="C94" i="1"/>
  <c r="B95" i="1"/>
  <c r="D94" i="1"/>
  <c r="F93" i="1"/>
  <c r="K92" i="1" l="1"/>
  <c r="I93" i="1" a="1"/>
  <c r="I93" i="1" s="1"/>
  <c r="H93" i="1" a="1"/>
  <c r="H93" i="1" s="1"/>
  <c r="J93" i="1" s="1"/>
  <c r="D91" i="4"/>
  <c r="B90" i="4"/>
  <c r="O28" i="1" a="1"/>
  <c r="O28" i="1" s="1"/>
  <c r="N28" i="1" a="1"/>
  <c r="N28" i="1" s="1"/>
  <c r="A167" i="1"/>
  <c r="E95" i="1"/>
  <c r="G95" i="1" s="1" a="1"/>
  <c r="G95" i="1" s="1"/>
  <c r="B96" i="1"/>
  <c r="D95" i="1"/>
  <c r="C95" i="1"/>
  <c r="F94" i="1"/>
  <c r="L28" i="1" a="1"/>
  <c r="K93" i="1" l="1"/>
  <c r="I94" i="1" a="1"/>
  <c r="I94" i="1" s="1"/>
  <c r="H94" i="1" a="1"/>
  <c r="H94" i="1" s="1"/>
  <c r="J94" i="1" s="1"/>
  <c r="D92" i="4"/>
  <c r="B91" i="4"/>
  <c r="L28" i="1"/>
  <c r="A168" i="1"/>
  <c r="E96" i="1"/>
  <c r="G96" i="1" s="1" a="1"/>
  <c r="G96" i="1" s="1"/>
  <c r="B97" i="1"/>
  <c r="D96" i="1"/>
  <c r="C96" i="1"/>
  <c r="F95" i="1"/>
  <c r="K94" i="1" l="1"/>
  <c r="I95" i="1" a="1"/>
  <c r="I95" i="1" s="1"/>
  <c r="H95" i="1" a="1"/>
  <c r="H95" i="1" s="1"/>
  <c r="J95" i="1" s="1"/>
  <c r="D93" i="4"/>
  <c r="B92" i="4"/>
  <c r="M28" i="1" a="1"/>
  <c r="M28" i="1" s="1"/>
  <c r="Q28" i="1" s="1" a="1"/>
  <c r="Q28" i="1" s="1"/>
  <c r="P29" i="1" s="1"/>
  <c r="A169" i="1"/>
  <c r="E97" i="1"/>
  <c r="G97" i="1" s="1" a="1"/>
  <c r="G97" i="1" s="1"/>
  <c r="C97" i="1"/>
  <c r="B98" i="1"/>
  <c r="D97" i="1"/>
  <c r="F96" i="1"/>
  <c r="K95" i="1" l="1"/>
  <c r="I96" i="1" a="1"/>
  <c r="I96" i="1" s="1"/>
  <c r="H96" i="1" a="1"/>
  <c r="H96" i="1" s="1"/>
  <c r="J96" i="1" s="1"/>
  <c r="D94" i="4"/>
  <c r="B93" i="4"/>
  <c r="S28" i="1" a="1"/>
  <c r="S28" i="1" s="1"/>
  <c r="V28" i="1" s="1"/>
  <c r="A170" i="1"/>
  <c r="E98" i="1"/>
  <c r="G98" i="1" s="1" a="1"/>
  <c r="G98" i="1" s="1"/>
  <c r="C98" i="1"/>
  <c r="D98" i="1"/>
  <c r="B99" i="1"/>
  <c r="F97" i="1"/>
  <c r="K96" i="1" l="1"/>
  <c r="H97" i="1" a="1"/>
  <c r="H97" i="1" s="1"/>
  <c r="J97" i="1" s="1"/>
  <c r="I97" i="1" a="1"/>
  <c r="I97" i="1" s="1"/>
  <c r="D95" i="4"/>
  <c r="B94" i="4"/>
  <c r="R29" i="1" a="1"/>
  <c r="R29" i="1" s="1"/>
  <c r="T29" i="1" s="1"/>
  <c r="A171" i="1"/>
  <c r="E99" i="1"/>
  <c r="G99" i="1" s="1" a="1"/>
  <c r="G99" i="1" s="1"/>
  <c r="B100" i="1"/>
  <c r="D99" i="1"/>
  <c r="C99" i="1"/>
  <c r="F98" i="1"/>
  <c r="K97" i="1" l="1"/>
  <c r="I98" i="1" a="1"/>
  <c r="I98" i="1" s="1"/>
  <c r="H98" i="1" a="1"/>
  <c r="H98" i="1" s="1"/>
  <c r="J98" i="1" s="1"/>
  <c r="D96" i="4"/>
  <c r="B95" i="4"/>
  <c r="O29" i="1" a="1"/>
  <c r="O29" i="1" s="1"/>
  <c r="N29" i="1" a="1"/>
  <c r="N29" i="1" s="1"/>
  <c r="A172" i="1"/>
  <c r="E100" i="1"/>
  <c r="G100" i="1" s="1" a="1"/>
  <c r="G100" i="1" s="1"/>
  <c r="C100" i="1"/>
  <c r="D100" i="1"/>
  <c r="B101" i="1"/>
  <c r="F99" i="1"/>
  <c r="L29" i="1" a="1"/>
  <c r="K98" i="1" l="1"/>
  <c r="H99" i="1" a="1"/>
  <c r="H99" i="1" s="1"/>
  <c r="J99" i="1" s="1"/>
  <c r="I99" i="1" a="1"/>
  <c r="I99" i="1" s="1"/>
  <c r="D97" i="4"/>
  <c r="B96" i="4"/>
  <c r="L29" i="1"/>
  <c r="A173" i="1"/>
  <c r="E101" i="1"/>
  <c r="G101" i="1" s="1" a="1"/>
  <c r="G101" i="1" s="1"/>
  <c r="B102" i="1"/>
  <c r="D101" i="1"/>
  <c r="C101" i="1"/>
  <c r="F100" i="1"/>
  <c r="K99" i="1" l="1"/>
  <c r="H100" i="1" a="1"/>
  <c r="H100" i="1" s="1"/>
  <c r="J100" i="1" s="1"/>
  <c r="I100" i="1" a="1"/>
  <c r="I100" i="1" s="1"/>
  <c r="D98" i="4"/>
  <c r="B97" i="4"/>
  <c r="M29" i="1" a="1"/>
  <c r="M29" i="1" s="1"/>
  <c r="Q29" i="1" s="1" a="1"/>
  <c r="Q29" i="1" s="1"/>
  <c r="P30" i="1" s="1"/>
  <c r="A174" i="1"/>
  <c r="E102" i="1"/>
  <c r="G102" i="1" s="1" a="1"/>
  <c r="G102" i="1" s="1"/>
  <c r="C102" i="1"/>
  <c r="D102" i="1"/>
  <c r="B103" i="1"/>
  <c r="F101" i="1"/>
  <c r="K100" i="1" l="1"/>
  <c r="H101" i="1" a="1"/>
  <c r="H101" i="1" s="1"/>
  <c r="J101" i="1" s="1"/>
  <c r="I101" i="1" a="1"/>
  <c r="I101" i="1" s="1"/>
  <c r="D99" i="4"/>
  <c r="B98" i="4"/>
  <c r="S29" i="1" a="1"/>
  <c r="S29" i="1" s="1"/>
  <c r="V29" i="1" s="1"/>
  <c r="A175" i="1"/>
  <c r="E103" i="1"/>
  <c r="G103" i="1" s="1" a="1"/>
  <c r="G103" i="1" s="1"/>
  <c r="D103" i="1"/>
  <c r="B104" i="1"/>
  <c r="C103" i="1"/>
  <c r="F102" i="1"/>
  <c r="K101" i="1" l="1"/>
  <c r="H102" i="1" a="1"/>
  <c r="H102" i="1" s="1"/>
  <c r="J102" i="1" s="1"/>
  <c r="I102" i="1" a="1"/>
  <c r="I102" i="1" s="1"/>
  <c r="D100" i="4"/>
  <c r="B99" i="4"/>
  <c r="R30" i="1" a="1"/>
  <c r="R30" i="1" s="1"/>
  <c r="T30" i="1" s="1"/>
  <c r="A176" i="1"/>
  <c r="E104" i="1"/>
  <c r="G104" i="1" s="1" a="1"/>
  <c r="G104" i="1" s="1"/>
  <c r="B105" i="1"/>
  <c r="C104" i="1"/>
  <c r="D104" i="1"/>
  <c r="F103" i="1"/>
  <c r="K102" i="1" l="1"/>
  <c r="I103" i="1" a="1"/>
  <c r="I103" i="1" s="1"/>
  <c r="H103" i="1" a="1"/>
  <c r="H103" i="1" s="1"/>
  <c r="J103" i="1" s="1"/>
  <c r="D101" i="4"/>
  <c r="B100" i="4"/>
  <c r="N30" i="1" a="1"/>
  <c r="N30" i="1" s="1"/>
  <c r="O30" i="1" a="1"/>
  <c r="O30" i="1" s="1"/>
  <c r="A177" i="1"/>
  <c r="E105" i="1"/>
  <c r="G105" i="1" s="1" a="1"/>
  <c r="G105" i="1" s="1"/>
  <c r="B106" i="1"/>
  <c r="C105" i="1"/>
  <c r="D105" i="1"/>
  <c r="F104" i="1"/>
  <c r="L30" i="1" a="1"/>
  <c r="K103" i="1" l="1"/>
  <c r="I104" i="1" a="1"/>
  <c r="I104" i="1" s="1"/>
  <c r="H104" i="1" a="1"/>
  <c r="H104" i="1" s="1"/>
  <c r="J104" i="1" s="1"/>
  <c r="D102" i="4"/>
  <c r="B101" i="4"/>
  <c r="L30" i="1"/>
  <c r="A178" i="1"/>
  <c r="E106" i="1"/>
  <c r="G106" i="1" s="1" a="1"/>
  <c r="G106" i="1" s="1"/>
  <c r="D106" i="1"/>
  <c r="B107" i="1"/>
  <c r="C106" i="1"/>
  <c r="F105" i="1"/>
  <c r="K104" i="1" l="1"/>
  <c r="I105" i="1" a="1"/>
  <c r="I105" i="1" s="1"/>
  <c r="H105" i="1" a="1"/>
  <c r="H105" i="1" s="1"/>
  <c r="J105" i="1" s="1"/>
  <c r="D103" i="4"/>
  <c r="B102" i="4"/>
  <c r="M30" i="1" a="1"/>
  <c r="M30" i="1" s="1"/>
  <c r="Q30" i="1" s="1" a="1"/>
  <c r="Q30" i="1" s="1"/>
  <c r="P31" i="1" s="1"/>
  <c r="A179" i="1"/>
  <c r="E107" i="1"/>
  <c r="G107" i="1" s="1" a="1"/>
  <c r="G107" i="1" s="1"/>
  <c r="B108" i="1"/>
  <c r="D107" i="1"/>
  <c r="C107" i="1"/>
  <c r="F106" i="1"/>
  <c r="K105" i="1" l="1"/>
  <c r="H106" i="1" a="1"/>
  <c r="H106" i="1" s="1"/>
  <c r="J106" i="1" s="1"/>
  <c r="I106" i="1" a="1"/>
  <c r="I106" i="1" s="1"/>
  <c r="D104" i="4"/>
  <c r="B103" i="4"/>
  <c r="S30" i="1" a="1"/>
  <c r="S30" i="1" s="1"/>
  <c r="V30" i="1" s="1"/>
  <c r="A180" i="1"/>
  <c r="E108" i="1"/>
  <c r="G108" i="1" s="1" a="1"/>
  <c r="G108" i="1" s="1"/>
  <c r="D108" i="1"/>
  <c r="B109" i="1"/>
  <c r="C108" i="1"/>
  <c r="F107" i="1"/>
  <c r="K106" i="1" l="1"/>
  <c r="I107" i="1" a="1"/>
  <c r="I107" i="1" s="1"/>
  <c r="H107" i="1" a="1"/>
  <c r="H107" i="1" s="1"/>
  <c r="J107" i="1" s="1"/>
  <c r="D105" i="4"/>
  <c r="B104" i="4"/>
  <c r="R31" i="1" a="1"/>
  <c r="R31" i="1" s="1"/>
  <c r="T31" i="1" s="1"/>
  <c r="A181" i="1"/>
  <c r="E109" i="1"/>
  <c r="G109" i="1" s="1" a="1"/>
  <c r="G109" i="1" s="1"/>
  <c r="B110" i="1"/>
  <c r="C109" i="1"/>
  <c r="D109" i="1"/>
  <c r="F108" i="1"/>
  <c r="K107" i="1" l="1"/>
  <c r="H108" i="1" a="1"/>
  <c r="H108" i="1" s="1"/>
  <c r="J108" i="1" s="1"/>
  <c r="I108" i="1" a="1"/>
  <c r="I108" i="1" s="1"/>
  <c r="D106" i="4"/>
  <c r="B105" i="4"/>
  <c r="N31" i="1" a="1"/>
  <c r="N31" i="1" s="1"/>
  <c r="O31" i="1" a="1"/>
  <c r="O31" i="1" s="1"/>
  <c r="A182" i="1"/>
  <c r="E110" i="1"/>
  <c r="G110" i="1" s="1" a="1"/>
  <c r="G110" i="1" s="1"/>
  <c r="D110" i="1"/>
  <c r="C110" i="1"/>
  <c r="B111" i="1"/>
  <c r="F109" i="1"/>
  <c r="L31" i="1" a="1"/>
  <c r="K108" i="1" l="1"/>
  <c r="H109" i="1" a="1"/>
  <c r="H109" i="1" s="1"/>
  <c r="J109" i="1" s="1"/>
  <c r="I109" i="1" a="1"/>
  <c r="I109" i="1" s="1"/>
  <c r="D107" i="4"/>
  <c r="B106" i="4"/>
  <c r="L31" i="1"/>
  <c r="A183" i="1"/>
  <c r="F110" i="1"/>
  <c r="E111" i="1"/>
  <c r="G111" i="1" s="1" a="1"/>
  <c r="G111" i="1" s="1"/>
  <c r="C111" i="1"/>
  <c r="D111" i="1"/>
  <c r="B112" i="1"/>
  <c r="K109" i="1" l="1"/>
  <c r="I110" i="1" a="1"/>
  <c r="I110" i="1" s="1"/>
  <c r="H110" i="1" a="1"/>
  <c r="H110" i="1" s="1"/>
  <c r="J110" i="1" s="1"/>
  <c r="D108" i="4"/>
  <c r="B107" i="4"/>
  <c r="M31" i="1" a="1"/>
  <c r="M31" i="1" s="1"/>
  <c r="Q31" i="1" s="1" a="1"/>
  <c r="Q31" i="1" s="1"/>
  <c r="P32" i="1" s="1"/>
  <c r="A184" i="1"/>
  <c r="E112" i="1"/>
  <c r="G112" i="1" s="1" a="1"/>
  <c r="G112" i="1" s="1"/>
  <c r="D112" i="1"/>
  <c r="B113" i="1"/>
  <c r="C112" i="1"/>
  <c r="F111" i="1"/>
  <c r="K110" i="1" l="1"/>
  <c r="H111" i="1" a="1"/>
  <c r="H111" i="1" s="1"/>
  <c r="J111" i="1" s="1"/>
  <c r="I111" i="1" a="1"/>
  <c r="I111" i="1" s="1"/>
  <c r="D109" i="4"/>
  <c r="B108" i="4"/>
  <c r="S31" i="1" a="1"/>
  <c r="S31" i="1" s="1"/>
  <c r="V31" i="1" s="1"/>
  <c r="A185" i="1"/>
  <c r="E113" i="1"/>
  <c r="G113" i="1" s="1" a="1"/>
  <c r="G113" i="1" s="1"/>
  <c r="C113" i="1"/>
  <c r="B114" i="1"/>
  <c r="D113" i="1"/>
  <c r="F112" i="1"/>
  <c r="K111" i="1" l="1"/>
  <c r="H112" i="1" a="1"/>
  <c r="H112" i="1" s="1"/>
  <c r="J112" i="1" s="1"/>
  <c r="I112" i="1" a="1"/>
  <c r="I112" i="1" s="1"/>
  <c r="D110" i="4"/>
  <c r="B109" i="4"/>
  <c r="R32" i="1" a="1"/>
  <c r="R32" i="1" s="1"/>
  <c r="T32" i="1" s="1"/>
  <c r="A186" i="1"/>
  <c r="E114" i="1"/>
  <c r="G114" i="1" s="1" a="1"/>
  <c r="G114" i="1" s="1"/>
  <c r="C114" i="1"/>
  <c r="D114" i="1"/>
  <c r="B115" i="1"/>
  <c r="F113" i="1"/>
  <c r="K112" i="1" l="1"/>
  <c r="H113" i="1" a="1"/>
  <c r="H113" i="1" s="1"/>
  <c r="J113" i="1" s="1"/>
  <c r="I113" i="1" a="1"/>
  <c r="I113" i="1" s="1"/>
  <c r="D111" i="4"/>
  <c r="B110" i="4"/>
  <c r="N32" i="1" a="1"/>
  <c r="N32" i="1" s="1"/>
  <c r="O32" i="1" a="1"/>
  <c r="O32" i="1" s="1"/>
  <c r="A187" i="1"/>
  <c r="E115" i="1"/>
  <c r="G115" i="1" s="1" a="1"/>
  <c r="G115" i="1" s="1"/>
  <c r="D115" i="1"/>
  <c r="B116" i="1"/>
  <c r="C115" i="1"/>
  <c r="F114" i="1"/>
  <c r="L32" i="1" a="1"/>
  <c r="K113" i="1" l="1"/>
  <c r="H114" i="1" a="1"/>
  <c r="H114" i="1" s="1"/>
  <c r="J114" i="1" s="1"/>
  <c r="I114" i="1" a="1"/>
  <c r="I114" i="1" s="1"/>
  <c r="D112" i="4"/>
  <c r="B111" i="4"/>
  <c r="L32" i="1"/>
  <c r="A188" i="1"/>
  <c r="E116" i="1"/>
  <c r="G116" i="1" s="1" a="1"/>
  <c r="G116" i="1" s="1"/>
  <c r="C116" i="1"/>
  <c r="B117" i="1"/>
  <c r="D116" i="1"/>
  <c r="F115" i="1"/>
  <c r="K114" i="1" l="1"/>
  <c r="H115" i="1" a="1"/>
  <c r="H115" i="1" s="1"/>
  <c r="J115" i="1" s="1"/>
  <c r="I115" i="1" a="1"/>
  <c r="I115" i="1" s="1"/>
  <c r="D113" i="4"/>
  <c r="B112" i="4"/>
  <c r="M32" i="1" a="1"/>
  <c r="M32" i="1" s="1"/>
  <c r="Q32" i="1" s="1" a="1"/>
  <c r="Q32" i="1" s="1"/>
  <c r="P33" i="1" s="1"/>
  <c r="A189" i="1"/>
  <c r="E117" i="1"/>
  <c r="G117" i="1" s="1" a="1"/>
  <c r="G117" i="1" s="1"/>
  <c r="C117" i="1"/>
  <c r="B118" i="1"/>
  <c r="D117" i="1"/>
  <c r="F116" i="1"/>
  <c r="K115" i="1" l="1"/>
  <c r="H116" i="1" a="1"/>
  <c r="H116" i="1" s="1"/>
  <c r="J116" i="1" s="1"/>
  <c r="I116" i="1" a="1"/>
  <c r="I116" i="1" s="1"/>
  <c r="D114" i="4"/>
  <c r="B113" i="4"/>
  <c r="S32" i="1" a="1"/>
  <c r="S32" i="1" s="1"/>
  <c r="V32" i="1" s="1"/>
  <c r="A190" i="1"/>
  <c r="E118" i="1"/>
  <c r="G118" i="1" s="1" a="1"/>
  <c r="G118" i="1" s="1"/>
  <c r="C118" i="1"/>
  <c r="D118" i="1"/>
  <c r="B119" i="1"/>
  <c r="F117" i="1"/>
  <c r="K116" i="1" l="1"/>
  <c r="I117" i="1" a="1"/>
  <c r="I117" i="1" s="1"/>
  <c r="H117" i="1" a="1"/>
  <c r="H117" i="1" s="1"/>
  <c r="J117" i="1" s="1"/>
  <c r="D115" i="4"/>
  <c r="B114" i="4"/>
  <c r="R33" i="1" a="1"/>
  <c r="R33" i="1" s="1"/>
  <c r="T33" i="1" s="1"/>
  <c r="A191" i="1"/>
  <c r="E119" i="1"/>
  <c r="G119" i="1" s="1" a="1"/>
  <c r="G119" i="1" s="1"/>
  <c r="C119" i="1"/>
  <c r="D119" i="1"/>
  <c r="B120" i="1"/>
  <c r="F118" i="1"/>
  <c r="K117" i="1" l="1"/>
  <c r="H118" i="1" a="1"/>
  <c r="H118" i="1" s="1"/>
  <c r="J118" i="1" s="1"/>
  <c r="I118" i="1" a="1"/>
  <c r="I118" i="1" s="1"/>
  <c r="D116" i="4"/>
  <c r="B115" i="4"/>
  <c r="N33" i="1" a="1"/>
  <c r="N33" i="1" s="1"/>
  <c r="O33" i="1" a="1"/>
  <c r="O33" i="1" s="1"/>
  <c r="A192" i="1"/>
  <c r="E120" i="1"/>
  <c r="G120" i="1" s="1" a="1"/>
  <c r="G120" i="1" s="1"/>
  <c r="C120" i="1"/>
  <c r="D120" i="1"/>
  <c r="B121" i="1"/>
  <c r="F119" i="1"/>
  <c r="L33" i="1" a="1"/>
  <c r="K118" i="1" l="1"/>
  <c r="I119" i="1" a="1"/>
  <c r="I119" i="1" s="1"/>
  <c r="H119" i="1" a="1"/>
  <c r="H119" i="1" s="1"/>
  <c r="J119" i="1" s="1"/>
  <c r="D117" i="4"/>
  <c r="B116" i="4"/>
  <c r="L33" i="1"/>
  <c r="A193" i="1"/>
  <c r="E121" i="1"/>
  <c r="G121" i="1" s="1" a="1"/>
  <c r="G121" i="1" s="1"/>
  <c r="C121" i="1"/>
  <c r="D121" i="1"/>
  <c r="B122" i="1"/>
  <c r="F120" i="1"/>
  <c r="K119" i="1" l="1"/>
  <c r="I120" i="1" a="1"/>
  <c r="I120" i="1" s="1"/>
  <c r="H120" i="1" a="1"/>
  <c r="H120" i="1" s="1"/>
  <c r="J120" i="1" s="1"/>
  <c r="D118" i="4"/>
  <c r="B117" i="4"/>
  <c r="M33" i="1" a="1"/>
  <c r="M33" i="1" s="1"/>
  <c r="Q33" i="1" s="1" a="1"/>
  <c r="Q33" i="1" s="1"/>
  <c r="P34" i="1" s="1"/>
  <c r="A194" i="1"/>
  <c r="E122" i="1"/>
  <c r="G122" i="1" s="1" a="1"/>
  <c r="G122" i="1" s="1"/>
  <c r="C122" i="1"/>
  <c r="B123" i="1"/>
  <c r="D122" i="1"/>
  <c r="F121" i="1"/>
  <c r="K120" i="1" l="1"/>
  <c r="H121" i="1" a="1"/>
  <c r="H121" i="1" s="1"/>
  <c r="J121" i="1" s="1"/>
  <c r="I121" i="1" a="1"/>
  <c r="I121" i="1" s="1"/>
  <c r="D119" i="4"/>
  <c r="B118" i="4"/>
  <c r="S33" i="1" a="1"/>
  <c r="S33" i="1" s="1"/>
  <c r="V33" i="1" s="1"/>
  <c r="A195" i="1"/>
  <c r="E123" i="1"/>
  <c r="G123" i="1" s="1" a="1"/>
  <c r="G123" i="1" s="1"/>
  <c r="C123" i="1"/>
  <c r="B124" i="1"/>
  <c r="D123" i="1"/>
  <c r="F122" i="1"/>
  <c r="K121" i="1" l="1"/>
  <c r="H122" i="1" a="1"/>
  <c r="H122" i="1" s="1"/>
  <c r="J122" i="1" s="1"/>
  <c r="I122" i="1" a="1"/>
  <c r="I122" i="1" s="1"/>
  <c r="D120" i="4"/>
  <c r="B119" i="4"/>
  <c r="R34" i="1" a="1"/>
  <c r="R34" i="1" s="1"/>
  <c r="T34" i="1" s="1"/>
  <c r="A196" i="1"/>
  <c r="E124" i="1"/>
  <c r="G124" i="1" s="1" a="1"/>
  <c r="G124" i="1" s="1"/>
  <c r="C124" i="1"/>
  <c r="B125" i="1"/>
  <c r="D124" i="1"/>
  <c r="F123" i="1"/>
  <c r="K122" i="1" l="1"/>
  <c r="H123" i="1" a="1"/>
  <c r="H123" i="1" s="1"/>
  <c r="J123" i="1" s="1"/>
  <c r="I123" i="1" a="1"/>
  <c r="I123" i="1" s="1"/>
  <c r="D121" i="4"/>
  <c r="B120" i="4"/>
  <c r="O34" i="1" a="1"/>
  <c r="O34" i="1" s="1"/>
  <c r="N34" i="1" a="1"/>
  <c r="N34" i="1" s="1"/>
  <c r="A197" i="1"/>
  <c r="E125" i="1"/>
  <c r="G125" i="1" s="1" a="1"/>
  <c r="G125" i="1" s="1"/>
  <c r="C125" i="1"/>
  <c r="D125" i="1"/>
  <c r="B126" i="1"/>
  <c r="F124" i="1"/>
  <c r="L34" i="1" a="1"/>
  <c r="K123" i="1" l="1"/>
  <c r="I124" i="1" a="1"/>
  <c r="I124" i="1" s="1"/>
  <c r="H124" i="1" a="1"/>
  <c r="H124" i="1" s="1"/>
  <c r="J124" i="1" s="1"/>
  <c r="D122" i="4"/>
  <c r="B121" i="4"/>
  <c r="L34" i="1"/>
  <c r="A198" i="1"/>
  <c r="F125" i="1"/>
  <c r="E126" i="1"/>
  <c r="G126" i="1" s="1" a="1"/>
  <c r="G126" i="1" s="1"/>
  <c r="B127" i="1"/>
  <c r="C126" i="1"/>
  <c r="D126" i="1"/>
  <c r="K124" i="1" l="1"/>
  <c r="I125" i="1" a="1"/>
  <c r="I125" i="1" s="1"/>
  <c r="H125" i="1" a="1"/>
  <c r="H125" i="1" s="1"/>
  <c r="J125" i="1" s="1"/>
  <c r="D123" i="4"/>
  <c r="B122" i="4"/>
  <c r="M34" i="1" a="1"/>
  <c r="M34" i="1" s="1"/>
  <c r="Q34" i="1" s="1" a="1"/>
  <c r="Q34" i="1" s="1"/>
  <c r="P35" i="1" s="1"/>
  <c r="A199" i="1"/>
  <c r="E127" i="1"/>
  <c r="G127" i="1" s="1" a="1"/>
  <c r="G127" i="1" s="1"/>
  <c r="C127" i="1"/>
  <c r="B128" i="1"/>
  <c r="D127" i="1"/>
  <c r="F126" i="1"/>
  <c r="K125" i="1" l="1"/>
  <c r="I126" i="1" a="1"/>
  <c r="I126" i="1" s="1"/>
  <c r="H126" i="1" a="1"/>
  <c r="H126" i="1" s="1"/>
  <c r="J126" i="1" s="1"/>
  <c r="D124" i="4"/>
  <c r="B123" i="4"/>
  <c r="S34" i="1" a="1"/>
  <c r="S34" i="1" s="1"/>
  <c r="V34" i="1" s="1"/>
  <c r="A200" i="1"/>
  <c r="E128" i="1"/>
  <c r="G128" i="1" s="1" a="1"/>
  <c r="G128" i="1" s="1"/>
  <c r="D128" i="1"/>
  <c r="C128" i="1"/>
  <c r="B129" i="1"/>
  <c r="F127" i="1"/>
  <c r="K126" i="1" l="1"/>
  <c r="H127" i="1" a="1"/>
  <c r="H127" i="1" s="1"/>
  <c r="J127" i="1" s="1"/>
  <c r="I127" i="1" a="1"/>
  <c r="I127" i="1" s="1"/>
  <c r="D125" i="4"/>
  <c r="B124" i="4"/>
  <c r="R35" i="1" a="1"/>
  <c r="R35" i="1" s="1"/>
  <c r="T35" i="1" s="1"/>
  <c r="A201" i="1"/>
  <c r="F128" i="1"/>
  <c r="E129" i="1"/>
  <c r="G129" i="1" s="1" a="1"/>
  <c r="G129" i="1" s="1"/>
  <c r="D129" i="1"/>
  <c r="B130" i="1"/>
  <c r="C129" i="1"/>
  <c r="K127" i="1" l="1"/>
  <c r="I128" i="1" a="1"/>
  <c r="I128" i="1" s="1"/>
  <c r="H128" i="1" a="1"/>
  <c r="H128" i="1" s="1"/>
  <c r="J128" i="1" s="1"/>
  <c r="D126" i="4"/>
  <c r="B125" i="4"/>
  <c r="N35" i="1" a="1"/>
  <c r="N35" i="1" s="1"/>
  <c r="O35" i="1" a="1"/>
  <c r="O35" i="1" s="1"/>
  <c r="A202" i="1"/>
  <c r="E130" i="1"/>
  <c r="G130" i="1" s="1" a="1"/>
  <c r="G130" i="1" s="1"/>
  <c r="C130" i="1"/>
  <c r="D130" i="1"/>
  <c r="B131" i="1"/>
  <c r="F129" i="1"/>
  <c r="L35" i="1" a="1"/>
  <c r="K128" i="1" l="1"/>
  <c r="I129" i="1" a="1"/>
  <c r="I129" i="1" s="1"/>
  <c r="H129" i="1" a="1"/>
  <c r="H129" i="1" s="1"/>
  <c r="J129" i="1" s="1"/>
  <c r="D127" i="4"/>
  <c r="B126" i="4"/>
  <c r="L35" i="1"/>
  <c r="A203" i="1"/>
  <c r="E131" i="1"/>
  <c r="G131" i="1" s="1" a="1"/>
  <c r="G131" i="1" s="1"/>
  <c r="C131" i="1"/>
  <c r="D131" i="1"/>
  <c r="B132" i="1"/>
  <c r="F130" i="1"/>
  <c r="K129" i="1" l="1"/>
  <c r="I130" i="1" a="1"/>
  <c r="I130" i="1" s="1"/>
  <c r="H130" i="1" a="1"/>
  <c r="H130" i="1" s="1"/>
  <c r="J130" i="1" s="1"/>
  <c r="D128" i="4"/>
  <c r="B127" i="4"/>
  <c r="M35" i="1" a="1"/>
  <c r="M35" i="1" s="1"/>
  <c r="Q35" i="1" s="1" a="1"/>
  <c r="Q35" i="1" s="1"/>
  <c r="P36" i="1" s="1"/>
  <c r="A204" i="1"/>
  <c r="F131" i="1"/>
  <c r="E132" i="1"/>
  <c r="G132" i="1" s="1" a="1"/>
  <c r="G132" i="1" s="1"/>
  <c r="C132" i="1"/>
  <c r="B133" i="1"/>
  <c r="D132" i="1"/>
  <c r="K130" i="1" l="1"/>
  <c r="H131" i="1" a="1"/>
  <c r="H131" i="1" s="1"/>
  <c r="J131" i="1" s="1"/>
  <c r="I131" i="1" a="1"/>
  <c r="I131" i="1" s="1"/>
  <c r="D129" i="4"/>
  <c r="B128" i="4"/>
  <c r="S35" i="1" a="1"/>
  <c r="S35" i="1" s="1"/>
  <c r="V35" i="1" s="1"/>
  <c r="A205" i="1"/>
  <c r="E133" i="1"/>
  <c r="G133" i="1" s="1" a="1"/>
  <c r="G133" i="1" s="1"/>
  <c r="C133" i="1"/>
  <c r="D133" i="1"/>
  <c r="B134" i="1"/>
  <c r="F132" i="1"/>
  <c r="K131" i="1" l="1"/>
  <c r="H132" i="1" a="1"/>
  <c r="H132" i="1" s="1"/>
  <c r="J132" i="1" s="1"/>
  <c r="I132" i="1" a="1"/>
  <c r="I132" i="1" s="1"/>
  <c r="D130" i="4"/>
  <c r="B129" i="4"/>
  <c r="R36" i="1" a="1"/>
  <c r="R36" i="1" s="1"/>
  <c r="T36" i="1" s="1"/>
  <c r="A206" i="1"/>
  <c r="E134" i="1"/>
  <c r="G134" i="1" s="1" a="1"/>
  <c r="G134" i="1" s="1"/>
  <c r="D134" i="1"/>
  <c r="B135" i="1"/>
  <c r="C134" i="1"/>
  <c r="F133" i="1"/>
  <c r="K132" i="1" l="1"/>
  <c r="I133" i="1" a="1"/>
  <c r="I133" i="1" s="1"/>
  <c r="H133" i="1" a="1"/>
  <c r="H133" i="1" s="1"/>
  <c r="J133" i="1" s="1"/>
  <c r="D131" i="4"/>
  <c r="B130" i="4"/>
  <c r="O36" i="1" a="1"/>
  <c r="O36" i="1" s="1"/>
  <c r="N36" i="1" a="1"/>
  <c r="N36" i="1" s="1"/>
  <c r="A207" i="1"/>
  <c r="E135" i="1"/>
  <c r="G135" i="1" s="1" a="1"/>
  <c r="G135" i="1" s="1"/>
  <c r="C135" i="1"/>
  <c r="D135" i="1"/>
  <c r="B136" i="1"/>
  <c r="F134" i="1"/>
  <c r="L36" i="1" a="1"/>
  <c r="K133" i="1" l="1"/>
  <c r="H134" i="1" a="1"/>
  <c r="H134" i="1" s="1"/>
  <c r="J134" i="1" s="1"/>
  <c r="I134" i="1" a="1"/>
  <c r="I134" i="1" s="1"/>
  <c r="D132" i="4"/>
  <c r="B131" i="4"/>
  <c r="L36" i="1"/>
  <c r="A208" i="1"/>
  <c r="E136" i="1"/>
  <c r="G136" i="1" s="1" a="1"/>
  <c r="G136" i="1" s="1"/>
  <c r="C136" i="1"/>
  <c r="B137" i="1"/>
  <c r="D136" i="1"/>
  <c r="F135" i="1"/>
  <c r="K134" i="1" l="1"/>
  <c r="I135" i="1" a="1"/>
  <c r="I135" i="1" s="1"/>
  <c r="H135" i="1" a="1"/>
  <c r="H135" i="1" s="1"/>
  <c r="J135" i="1" s="1"/>
  <c r="D133" i="4"/>
  <c r="B132" i="4"/>
  <c r="M36" i="1" a="1"/>
  <c r="M36" i="1" s="1"/>
  <c r="Q36" i="1" s="1" a="1"/>
  <c r="Q36" i="1" s="1"/>
  <c r="P37" i="1" s="1"/>
  <c r="A209" i="1"/>
  <c r="E137" i="1"/>
  <c r="G137" i="1" s="1" a="1"/>
  <c r="G137" i="1" s="1"/>
  <c r="D137" i="1"/>
  <c r="B138" i="1"/>
  <c r="C137" i="1"/>
  <c r="F136" i="1"/>
  <c r="K135" i="1" l="1"/>
  <c r="I136" i="1" a="1"/>
  <c r="I136" i="1" s="1"/>
  <c r="H136" i="1" a="1"/>
  <c r="H136" i="1" s="1"/>
  <c r="J136" i="1" s="1"/>
  <c r="D134" i="4"/>
  <c r="B133" i="4"/>
  <c r="S36" i="1" a="1"/>
  <c r="S36" i="1" s="1"/>
  <c r="V36" i="1" s="1"/>
  <c r="A210" i="1"/>
  <c r="E138" i="1"/>
  <c r="G138" i="1" s="1" a="1"/>
  <c r="G138" i="1" s="1"/>
  <c r="B139" i="1"/>
  <c r="C138" i="1"/>
  <c r="D138" i="1"/>
  <c r="F137" i="1"/>
  <c r="K136" i="1" l="1"/>
  <c r="I137" i="1" a="1"/>
  <c r="I137" i="1" s="1"/>
  <c r="H137" i="1" a="1"/>
  <c r="H137" i="1" s="1"/>
  <c r="J137" i="1" s="1"/>
  <c r="D135" i="4"/>
  <c r="B134" i="4"/>
  <c r="R37" i="1" a="1"/>
  <c r="R37" i="1" s="1"/>
  <c r="T37" i="1" s="1"/>
  <c r="A211" i="1"/>
  <c r="E139" i="1"/>
  <c r="G139" i="1" s="1" a="1"/>
  <c r="G139" i="1" s="1"/>
  <c r="C139" i="1"/>
  <c r="D139" i="1"/>
  <c r="B140" i="1"/>
  <c r="F138" i="1"/>
  <c r="K137" i="1" l="1"/>
  <c r="I138" i="1" a="1"/>
  <c r="I138" i="1" s="1"/>
  <c r="H138" i="1" a="1"/>
  <c r="H138" i="1" s="1"/>
  <c r="J138" i="1" s="1"/>
  <c r="D136" i="4"/>
  <c r="B135" i="4"/>
  <c r="N37" i="1" a="1"/>
  <c r="N37" i="1" s="1"/>
  <c r="O37" i="1" a="1"/>
  <c r="O37" i="1" s="1"/>
  <c r="A212" i="1"/>
  <c r="E140" i="1"/>
  <c r="G140" i="1" s="1" a="1"/>
  <c r="G140" i="1" s="1"/>
  <c r="C140" i="1"/>
  <c r="D140" i="1"/>
  <c r="B141" i="1"/>
  <c r="F139" i="1"/>
  <c r="L37" i="1" a="1"/>
  <c r="K138" i="1" l="1"/>
  <c r="I139" i="1" a="1"/>
  <c r="I139" i="1" s="1"/>
  <c r="H139" i="1" a="1"/>
  <c r="H139" i="1" s="1"/>
  <c r="J139" i="1" s="1"/>
  <c r="D137" i="4"/>
  <c r="B136" i="4"/>
  <c r="L37" i="1"/>
  <c r="A213" i="1"/>
  <c r="E141" i="1"/>
  <c r="G141" i="1" s="1" a="1"/>
  <c r="G141" i="1" s="1"/>
  <c r="B142" i="1"/>
  <c r="C141" i="1"/>
  <c r="D141" i="1"/>
  <c r="F140" i="1"/>
  <c r="K139" i="1" l="1"/>
  <c r="H140" i="1" a="1"/>
  <c r="H140" i="1" s="1"/>
  <c r="J140" i="1" s="1"/>
  <c r="I140" i="1" a="1"/>
  <c r="I140" i="1" s="1"/>
  <c r="D138" i="4"/>
  <c r="B137" i="4"/>
  <c r="M37" i="1" a="1"/>
  <c r="M37" i="1" s="1"/>
  <c r="Q37" i="1" s="1" a="1"/>
  <c r="Q37" i="1" s="1"/>
  <c r="P38" i="1" s="1"/>
  <c r="A214" i="1"/>
  <c r="E142" i="1"/>
  <c r="G142" i="1" s="1" a="1"/>
  <c r="G142" i="1" s="1"/>
  <c r="B143" i="1"/>
  <c r="C142" i="1"/>
  <c r="D142" i="1"/>
  <c r="F141" i="1"/>
  <c r="K140" i="1" l="1"/>
  <c r="I141" i="1" a="1"/>
  <c r="I141" i="1" s="1"/>
  <c r="H141" i="1" a="1"/>
  <c r="H141" i="1" s="1"/>
  <c r="J141" i="1" s="1"/>
  <c r="D139" i="4"/>
  <c r="B138" i="4"/>
  <c r="S37" i="1" a="1"/>
  <c r="S37" i="1" s="1"/>
  <c r="V37" i="1" s="1"/>
  <c r="A215" i="1"/>
  <c r="E143" i="1"/>
  <c r="G143" i="1" s="1" a="1"/>
  <c r="G143" i="1" s="1"/>
  <c r="D143" i="1"/>
  <c r="C143" i="1"/>
  <c r="B144" i="1"/>
  <c r="F142" i="1"/>
  <c r="K141" i="1" l="1"/>
  <c r="H142" i="1" a="1"/>
  <c r="H142" i="1" s="1"/>
  <c r="J142" i="1" s="1"/>
  <c r="I142" i="1" a="1"/>
  <c r="I142" i="1" s="1"/>
  <c r="D140" i="4"/>
  <c r="B139" i="4"/>
  <c r="R38" i="1" a="1"/>
  <c r="R38" i="1" s="1"/>
  <c r="T38" i="1" s="1"/>
  <c r="A216" i="1"/>
  <c r="E144" i="1"/>
  <c r="G144" i="1" s="1" a="1"/>
  <c r="G144" i="1" s="1"/>
  <c r="D144" i="1"/>
  <c r="B145" i="1"/>
  <c r="C144" i="1"/>
  <c r="F143" i="1"/>
  <c r="K142" i="1" l="1"/>
  <c r="I143" i="1" a="1"/>
  <c r="I143" i="1" s="1"/>
  <c r="H143" i="1" a="1"/>
  <c r="H143" i="1" s="1"/>
  <c r="J143" i="1" s="1"/>
  <c r="D141" i="4"/>
  <c r="B140" i="4"/>
  <c r="O38" i="1" a="1"/>
  <c r="O38" i="1" s="1"/>
  <c r="N38" i="1" a="1"/>
  <c r="N38" i="1" s="1"/>
  <c r="A217" i="1"/>
  <c r="E145" i="1"/>
  <c r="G145" i="1" s="1" a="1"/>
  <c r="G145" i="1" s="1"/>
  <c r="B146" i="1"/>
  <c r="C145" i="1"/>
  <c r="D145" i="1"/>
  <c r="F144" i="1"/>
  <c r="L38" i="1" a="1"/>
  <c r="K143" i="1" l="1"/>
  <c r="I144" i="1" a="1"/>
  <c r="I144" i="1" s="1"/>
  <c r="H144" i="1" a="1"/>
  <c r="H144" i="1" s="1"/>
  <c r="J144" i="1" s="1"/>
  <c r="D142" i="4"/>
  <c r="B141" i="4"/>
  <c r="L38" i="1"/>
  <c r="A218" i="1"/>
  <c r="E146" i="1"/>
  <c r="G146" i="1" s="1" a="1"/>
  <c r="G146" i="1" s="1"/>
  <c r="D146" i="1"/>
  <c r="B147" i="1"/>
  <c r="C146" i="1"/>
  <c r="F145" i="1"/>
  <c r="K144" i="1" l="1"/>
  <c r="I145" i="1" a="1"/>
  <c r="I145" i="1" s="1"/>
  <c r="H145" i="1" a="1"/>
  <c r="H145" i="1" s="1"/>
  <c r="J145" i="1" s="1"/>
  <c r="D143" i="4"/>
  <c r="B142" i="4"/>
  <c r="M38" i="1" a="1"/>
  <c r="M38" i="1" s="1"/>
  <c r="Q38" i="1" s="1" a="1"/>
  <c r="Q38" i="1" s="1"/>
  <c r="P39" i="1" s="1"/>
  <c r="A219" i="1"/>
  <c r="E147" i="1"/>
  <c r="G147" i="1" s="1" a="1"/>
  <c r="G147" i="1" s="1"/>
  <c r="C147" i="1"/>
  <c r="D147" i="1"/>
  <c r="B148" i="1"/>
  <c r="F146" i="1"/>
  <c r="K145" i="1" l="1"/>
  <c r="I146" i="1" a="1"/>
  <c r="I146" i="1" s="1"/>
  <c r="H146" i="1" a="1"/>
  <c r="H146" i="1" s="1"/>
  <c r="J146" i="1" s="1"/>
  <c r="D144" i="4"/>
  <c r="B143" i="4"/>
  <c r="S38" i="1" a="1"/>
  <c r="S38" i="1" s="1"/>
  <c r="V38" i="1" s="1"/>
  <c r="A220" i="1"/>
  <c r="E148" i="1"/>
  <c r="G148" i="1" s="1" a="1"/>
  <c r="G148" i="1" s="1"/>
  <c r="C148" i="1"/>
  <c r="D148" i="1"/>
  <c r="B149" i="1"/>
  <c r="F147" i="1"/>
  <c r="K146" i="1" l="1"/>
  <c r="H147" i="1" a="1"/>
  <c r="H147" i="1" s="1"/>
  <c r="J147" i="1" s="1"/>
  <c r="I147" i="1" a="1"/>
  <c r="I147" i="1" s="1"/>
  <c r="D145" i="4"/>
  <c r="B144" i="4"/>
  <c r="R39" i="1" a="1"/>
  <c r="R39" i="1" s="1"/>
  <c r="T39" i="1" s="1"/>
  <c r="A221" i="1"/>
  <c r="E149" i="1"/>
  <c r="G149" i="1" s="1" a="1"/>
  <c r="G149" i="1" s="1"/>
  <c r="B150" i="1"/>
  <c r="D149" i="1"/>
  <c r="C149" i="1"/>
  <c r="F148" i="1"/>
  <c r="K147" i="1" l="1"/>
  <c r="I148" i="1" a="1"/>
  <c r="I148" i="1" s="1"/>
  <c r="H148" i="1" a="1"/>
  <c r="H148" i="1" s="1"/>
  <c r="J148" i="1" s="1"/>
  <c r="D146" i="4"/>
  <c r="B145" i="4"/>
  <c r="N39" i="1" a="1"/>
  <c r="N39" i="1" s="1"/>
  <c r="O39" i="1" a="1"/>
  <c r="O39" i="1" s="1"/>
  <c r="A222" i="1"/>
  <c r="E150" i="1"/>
  <c r="G150" i="1" s="1" a="1"/>
  <c r="G150" i="1" s="1"/>
  <c r="B151" i="1"/>
  <c r="D150" i="1"/>
  <c r="C150" i="1"/>
  <c r="F149" i="1"/>
  <c r="L39" i="1" a="1"/>
  <c r="K148" i="1" l="1"/>
  <c r="H149" i="1" a="1"/>
  <c r="H149" i="1" s="1"/>
  <c r="J149" i="1" s="1"/>
  <c r="I149" i="1" a="1"/>
  <c r="I149" i="1" s="1"/>
  <c r="D147" i="4"/>
  <c r="B146" i="4"/>
  <c r="L39" i="1"/>
  <c r="A223" i="1"/>
  <c r="E151" i="1"/>
  <c r="G151" i="1" s="1" a="1"/>
  <c r="G151" i="1" s="1"/>
  <c r="D151" i="1"/>
  <c r="C151" i="1"/>
  <c r="B152" i="1"/>
  <c r="F150" i="1"/>
  <c r="K149" i="1" l="1"/>
  <c r="I150" i="1" a="1"/>
  <c r="I150" i="1" s="1"/>
  <c r="H150" i="1" a="1"/>
  <c r="H150" i="1" s="1"/>
  <c r="J150" i="1" s="1"/>
  <c r="D148" i="4"/>
  <c r="B147" i="4"/>
  <c r="M39" i="1" a="1"/>
  <c r="M39" i="1" s="1"/>
  <c r="Q39" i="1" s="1" a="1"/>
  <c r="Q39" i="1" s="1"/>
  <c r="P40" i="1" s="1"/>
  <c r="A224" i="1"/>
  <c r="E152" i="1"/>
  <c r="G152" i="1" s="1" a="1"/>
  <c r="G152" i="1" s="1"/>
  <c r="C152" i="1"/>
  <c r="D152" i="1"/>
  <c r="B153" i="1"/>
  <c r="F151" i="1"/>
  <c r="K150" i="1" l="1"/>
  <c r="H151" i="1" a="1"/>
  <c r="H151" i="1" s="1"/>
  <c r="J151" i="1" s="1"/>
  <c r="I151" i="1" a="1"/>
  <c r="I151" i="1" s="1"/>
  <c r="D149" i="4"/>
  <c r="B148" i="4"/>
  <c r="S39" i="1" a="1"/>
  <c r="S39" i="1" s="1"/>
  <c r="V39" i="1" s="1"/>
  <c r="A225" i="1"/>
  <c r="E153" i="1"/>
  <c r="G153" i="1" s="1" a="1"/>
  <c r="G153" i="1" s="1"/>
  <c r="C153" i="1"/>
  <c r="D153" i="1"/>
  <c r="B154" i="1"/>
  <c r="F152" i="1"/>
  <c r="K151" i="1" l="1"/>
  <c r="H152" i="1" a="1"/>
  <c r="H152" i="1" s="1"/>
  <c r="J152" i="1" s="1"/>
  <c r="I152" i="1" a="1"/>
  <c r="I152" i="1" s="1"/>
  <c r="D150" i="4"/>
  <c r="B149" i="4"/>
  <c r="R40" i="1" a="1"/>
  <c r="R40" i="1" s="1"/>
  <c r="T40" i="1" s="1"/>
  <c r="A226" i="1"/>
  <c r="E154" i="1"/>
  <c r="G154" i="1" s="1" a="1"/>
  <c r="G154" i="1" s="1"/>
  <c r="B155" i="1"/>
  <c r="D154" i="1"/>
  <c r="C154" i="1"/>
  <c r="F153" i="1"/>
  <c r="K152" i="1" l="1"/>
  <c r="H153" i="1" a="1"/>
  <c r="H153" i="1" s="1"/>
  <c r="J153" i="1" s="1"/>
  <c r="I153" i="1" a="1"/>
  <c r="I153" i="1" s="1"/>
  <c r="D151" i="4"/>
  <c r="B150" i="4"/>
  <c r="N40" i="1" a="1"/>
  <c r="N40" i="1" s="1"/>
  <c r="O40" i="1" a="1"/>
  <c r="O40" i="1" s="1"/>
  <c r="A227" i="1"/>
  <c r="E155" i="1"/>
  <c r="G155" i="1" s="1" a="1"/>
  <c r="G155" i="1" s="1"/>
  <c r="D155" i="1"/>
  <c r="C155" i="1"/>
  <c r="B156" i="1"/>
  <c r="F154" i="1"/>
  <c r="L40" i="1" a="1"/>
  <c r="K153" i="1" l="1"/>
  <c r="I154" i="1" a="1"/>
  <c r="I154" i="1" s="1"/>
  <c r="H154" i="1" a="1"/>
  <c r="H154" i="1" s="1"/>
  <c r="J154" i="1" s="1"/>
  <c r="D152" i="4"/>
  <c r="B151" i="4"/>
  <c r="L40" i="1"/>
  <c r="A228" i="1"/>
  <c r="E156" i="1"/>
  <c r="G156" i="1" s="1" a="1"/>
  <c r="G156" i="1" s="1"/>
  <c r="C156" i="1"/>
  <c r="D156" i="1"/>
  <c r="B157" i="1"/>
  <c r="F155" i="1"/>
  <c r="K154" i="1" l="1"/>
  <c r="H155" i="1" a="1"/>
  <c r="H155" i="1" s="1"/>
  <c r="J155" i="1" s="1"/>
  <c r="I155" i="1" a="1"/>
  <c r="I155" i="1" s="1"/>
  <c r="D153" i="4"/>
  <c r="B152" i="4"/>
  <c r="M40" i="1" a="1"/>
  <c r="M40" i="1" s="1"/>
  <c r="Q40" i="1" s="1" a="1"/>
  <c r="Q40" i="1" s="1"/>
  <c r="P41" i="1" s="1"/>
  <c r="A229" i="1"/>
  <c r="E157" i="1"/>
  <c r="G157" i="1" s="1" a="1"/>
  <c r="G157" i="1" s="1"/>
  <c r="C157" i="1"/>
  <c r="D157" i="1"/>
  <c r="B158" i="1"/>
  <c r="F156" i="1"/>
  <c r="K155" i="1" l="1"/>
  <c r="I156" i="1" a="1"/>
  <c r="I156" i="1" s="1"/>
  <c r="H156" i="1" a="1"/>
  <c r="H156" i="1" s="1"/>
  <c r="J156" i="1" s="1"/>
  <c r="D154" i="4"/>
  <c r="B153" i="4"/>
  <c r="S40" i="1" a="1"/>
  <c r="S40" i="1" s="1"/>
  <c r="V40" i="1" s="1"/>
  <c r="A230" i="1"/>
  <c r="E158" i="1"/>
  <c r="G158" i="1" s="1" a="1"/>
  <c r="G158" i="1" s="1"/>
  <c r="B159" i="1"/>
  <c r="D158" i="1"/>
  <c r="C158" i="1"/>
  <c r="F157" i="1"/>
  <c r="K156" i="1" l="1"/>
  <c r="H157" i="1" a="1"/>
  <c r="H157" i="1" s="1"/>
  <c r="J157" i="1" s="1"/>
  <c r="I157" i="1" a="1"/>
  <c r="I157" i="1" s="1"/>
  <c r="D155" i="4"/>
  <c r="B154" i="4"/>
  <c r="R41" i="1" a="1"/>
  <c r="R41" i="1" s="1"/>
  <c r="T41" i="1" s="1"/>
  <c r="A231" i="1"/>
  <c r="E159" i="1"/>
  <c r="G159" i="1" s="1" a="1"/>
  <c r="G159" i="1" s="1"/>
  <c r="C159" i="1"/>
  <c r="D159" i="1"/>
  <c r="B160" i="1"/>
  <c r="F158" i="1"/>
  <c r="K157" i="1" l="1"/>
  <c r="H158" i="1" a="1"/>
  <c r="H158" i="1" s="1"/>
  <c r="J158" i="1" s="1"/>
  <c r="I158" i="1" a="1"/>
  <c r="I158" i="1" s="1"/>
  <c r="D156" i="4"/>
  <c r="B155" i="4"/>
  <c r="N41" i="1" a="1"/>
  <c r="N41" i="1" s="1"/>
  <c r="O41" i="1" a="1"/>
  <c r="O41" i="1" s="1"/>
  <c r="A232" i="1"/>
  <c r="E160" i="1"/>
  <c r="G160" i="1" s="1" a="1"/>
  <c r="G160" i="1" s="1"/>
  <c r="D160" i="1"/>
  <c r="C160" i="1"/>
  <c r="B161" i="1"/>
  <c r="F159" i="1"/>
  <c r="L41" i="1" a="1"/>
  <c r="K158" i="1" l="1"/>
  <c r="I159" i="1" a="1"/>
  <c r="I159" i="1" s="1"/>
  <c r="H159" i="1" a="1"/>
  <c r="H159" i="1" s="1"/>
  <c r="J159" i="1" s="1"/>
  <c r="D157" i="4"/>
  <c r="B156" i="4"/>
  <c r="L41" i="1"/>
  <c r="A233" i="1"/>
  <c r="E161" i="1"/>
  <c r="G161" i="1" s="1" a="1"/>
  <c r="G161" i="1" s="1"/>
  <c r="D161" i="1"/>
  <c r="B162" i="1"/>
  <c r="C161" i="1"/>
  <c r="F160" i="1"/>
  <c r="K159" i="1" l="1"/>
  <c r="H160" i="1" a="1"/>
  <c r="H160" i="1" s="1"/>
  <c r="J160" i="1" s="1"/>
  <c r="I160" i="1" a="1"/>
  <c r="I160" i="1" s="1"/>
  <c r="D158" i="4"/>
  <c r="B157" i="4"/>
  <c r="M41" i="1" a="1"/>
  <c r="M41" i="1" s="1"/>
  <c r="Q41" i="1" s="1" a="1"/>
  <c r="Q41" i="1" s="1"/>
  <c r="P42" i="1" s="1"/>
  <c r="A234" i="1"/>
  <c r="E162" i="1"/>
  <c r="G162" i="1" s="1" a="1"/>
  <c r="G162" i="1" s="1"/>
  <c r="D162" i="1"/>
  <c r="C162" i="1"/>
  <c r="B163" i="1"/>
  <c r="F161" i="1"/>
  <c r="K160" i="1" l="1"/>
  <c r="I161" i="1" a="1"/>
  <c r="I161" i="1" s="1"/>
  <c r="H161" i="1" a="1"/>
  <c r="H161" i="1" s="1"/>
  <c r="J161" i="1" s="1"/>
  <c r="D159" i="4"/>
  <c r="B158" i="4"/>
  <c r="S41" i="1" a="1"/>
  <c r="S41" i="1" s="1"/>
  <c r="V41" i="1" s="1"/>
  <c r="A235" i="1"/>
  <c r="E163" i="1"/>
  <c r="G163" i="1" s="1" a="1"/>
  <c r="G163" i="1" s="1"/>
  <c r="B164" i="1"/>
  <c r="D163" i="1"/>
  <c r="C163" i="1"/>
  <c r="F162" i="1"/>
  <c r="K161" i="1" l="1"/>
  <c r="H162" i="1" a="1"/>
  <c r="H162" i="1" s="1"/>
  <c r="J162" i="1" s="1"/>
  <c r="I162" i="1" a="1"/>
  <c r="I162" i="1" s="1"/>
  <c r="D160" i="4"/>
  <c r="B159" i="4"/>
  <c r="R42" i="1" a="1"/>
  <c r="R42" i="1" s="1"/>
  <c r="T42" i="1" s="1"/>
  <c r="A236" i="1"/>
  <c r="E164" i="1"/>
  <c r="G164" i="1" s="1" a="1"/>
  <c r="G164" i="1" s="1"/>
  <c r="C164" i="1"/>
  <c r="B165" i="1"/>
  <c r="D164" i="1"/>
  <c r="F163" i="1"/>
  <c r="K162" i="1" l="1"/>
  <c r="I163" i="1" a="1"/>
  <c r="I163" i="1" s="1"/>
  <c r="H163" i="1" a="1"/>
  <c r="H163" i="1" s="1"/>
  <c r="J163" i="1" s="1"/>
  <c r="D161" i="4"/>
  <c r="B160" i="4"/>
  <c r="O42" i="1" a="1"/>
  <c r="O42" i="1" s="1"/>
  <c r="N42" i="1" a="1"/>
  <c r="N42" i="1" s="1"/>
  <c r="A237" i="1"/>
  <c r="E165" i="1"/>
  <c r="G165" i="1" s="1" a="1"/>
  <c r="G165" i="1" s="1"/>
  <c r="C165" i="1"/>
  <c r="B166" i="1"/>
  <c r="D165" i="1"/>
  <c r="F164" i="1"/>
  <c r="L42" i="1" a="1"/>
  <c r="K163" i="1" l="1"/>
  <c r="I164" i="1" a="1"/>
  <c r="I164" i="1" s="1"/>
  <c r="H164" i="1" a="1"/>
  <c r="H164" i="1" s="1"/>
  <c r="J164" i="1" s="1"/>
  <c r="D162" i="4"/>
  <c r="B161" i="4"/>
  <c r="L42" i="1"/>
  <c r="A238" i="1"/>
  <c r="E166" i="1"/>
  <c r="G166" i="1" s="1" a="1"/>
  <c r="G166" i="1" s="1"/>
  <c r="D166" i="1"/>
  <c r="C166" i="1"/>
  <c r="B167" i="1"/>
  <c r="F165" i="1"/>
  <c r="K164" i="1" l="1"/>
  <c r="H165" i="1" a="1"/>
  <c r="H165" i="1" s="1"/>
  <c r="J165" i="1" s="1"/>
  <c r="I165" i="1" a="1"/>
  <c r="I165" i="1" s="1"/>
  <c r="D163" i="4"/>
  <c r="B162" i="4"/>
  <c r="M42" i="1" a="1"/>
  <c r="M42" i="1" s="1"/>
  <c r="Q42" i="1" s="1" a="1"/>
  <c r="Q42" i="1" s="1"/>
  <c r="P43" i="1" s="1"/>
  <c r="A239" i="1"/>
  <c r="F166" i="1"/>
  <c r="E167" i="1"/>
  <c r="G167" i="1" s="1" a="1"/>
  <c r="G167" i="1" s="1"/>
  <c r="B168" i="1"/>
  <c r="C167" i="1"/>
  <c r="D167" i="1"/>
  <c r="K165" i="1" l="1"/>
  <c r="H166" i="1" a="1"/>
  <c r="H166" i="1" s="1"/>
  <c r="J166" i="1" s="1"/>
  <c r="I166" i="1" a="1"/>
  <c r="I166" i="1" s="1"/>
  <c r="D164" i="4"/>
  <c r="B163" i="4"/>
  <c r="S42" i="1" a="1"/>
  <c r="S42" i="1" s="1"/>
  <c r="V42" i="1" s="1"/>
  <c r="A240" i="1"/>
  <c r="E168" i="1"/>
  <c r="G168" i="1" s="1" a="1"/>
  <c r="G168" i="1" s="1"/>
  <c r="C168" i="1"/>
  <c r="D168" i="1"/>
  <c r="B169" i="1"/>
  <c r="F167" i="1"/>
  <c r="K166" i="1" l="1"/>
  <c r="I167" i="1" a="1"/>
  <c r="I167" i="1" s="1"/>
  <c r="H167" i="1" a="1"/>
  <c r="H167" i="1" s="1"/>
  <c r="J167" i="1" s="1"/>
  <c r="D165" i="4"/>
  <c r="B164" i="4"/>
  <c r="R43" i="1" a="1"/>
  <c r="R43" i="1" s="1"/>
  <c r="T43" i="1" s="1"/>
  <c r="A241" i="1"/>
  <c r="E169" i="1"/>
  <c r="G169" i="1" s="1" a="1"/>
  <c r="G169" i="1" s="1"/>
  <c r="B170" i="1"/>
  <c r="C169" i="1"/>
  <c r="D169" i="1"/>
  <c r="F168" i="1"/>
  <c r="K167" i="1" l="1"/>
  <c r="I168" i="1" a="1"/>
  <c r="I168" i="1" s="1"/>
  <c r="H168" i="1" a="1"/>
  <c r="H168" i="1" s="1"/>
  <c r="J168" i="1" s="1"/>
  <c r="D166" i="4"/>
  <c r="B165" i="4"/>
  <c r="N43" i="1" a="1"/>
  <c r="N43" i="1" s="1"/>
  <c r="O43" i="1" a="1"/>
  <c r="O43" i="1" s="1"/>
  <c r="A242" i="1"/>
  <c r="E170" i="1"/>
  <c r="G170" i="1" s="1" a="1"/>
  <c r="G170" i="1" s="1"/>
  <c r="B171" i="1"/>
  <c r="C170" i="1"/>
  <c r="D170" i="1"/>
  <c r="F169" i="1"/>
  <c r="L43" i="1" a="1"/>
  <c r="K168" i="1" l="1"/>
  <c r="I169" i="1" a="1"/>
  <c r="I169" i="1" s="1"/>
  <c r="H169" i="1" a="1"/>
  <c r="H169" i="1" s="1"/>
  <c r="J169" i="1" s="1"/>
  <c r="D167" i="4"/>
  <c r="B166" i="4"/>
  <c r="L43" i="1"/>
  <c r="A243" i="1"/>
  <c r="E171" i="1"/>
  <c r="G171" i="1" s="1" a="1"/>
  <c r="G171" i="1" s="1"/>
  <c r="C171" i="1"/>
  <c r="B172" i="1"/>
  <c r="D171" i="1"/>
  <c r="F170" i="1"/>
  <c r="K169" i="1" l="1"/>
  <c r="H170" i="1" a="1"/>
  <c r="H170" i="1" s="1"/>
  <c r="J170" i="1" s="1"/>
  <c r="I170" i="1" a="1"/>
  <c r="I170" i="1" s="1"/>
  <c r="D168" i="4"/>
  <c r="B167" i="4"/>
  <c r="M43" i="1" a="1"/>
  <c r="M43" i="1" s="1"/>
  <c r="Q43" i="1" s="1" a="1"/>
  <c r="Q43" i="1" s="1"/>
  <c r="P44" i="1" s="1"/>
  <c r="A244" i="1"/>
  <c r="E172" i="1"/>
  <c r="G172" i="1" s="1" a="1"/>
  <c r="G172" i="1" s="1"/>
  <c r="D172" i="1"/>
  <c r="B173" i="1"/>
  <c r="C172" i="1"/>
  <c r="F171" i="1"/>
  <c r="K170" i="1" l="1"/>
  <c r="H171" i="1" a="1"/>
  <c r="H171" i="1" s="1"/>
  <c r="J171" i="1" s="1"/>
  <c r="I171" i="1" a="1"/>
  <c r="I171" i="1" s="1"/>
  <c r="D169" i="4"/>
  <c r="B168" i="4"/>
  <c r="S43" i="1" a="1"/>
  <c r="S43" i="1" s="1"/>
  <c r="V43" i="1" s="1"/>
  <c r="A245" i="1"/>
  <c r="E173" i="1"/>
  <c r="G173" i="1" s="1" a="1"/>
  <c r="G173" i="1" s="1"/>
  <c r="C173" i="1"/>
  <c r="D173" i="1"/>
  <c r="B174" i="1"/>
  <c r="F172" i="1"/>
  <c r="K171" i="1" l="1"/>
  <c r="H172" i="1" a="1"/>
  <c r="H172" i="1" s="1"/>
  <c r="J172" i="1" s="1"/>
  <c r="I172" i="1" a="1"/>
  <c r="I172" i="1" s="1"/>
  <c r="D170" i="4"/>
  <c r="B169" i="4"/>
  <c r="R44" i="1" a="1"/>
  <c r="R44" i="1" s="1"/>
  <c r="T44" i="1" s="1"/>
  <c r="A246" i="1"/>
  <c r="E174" i="1"/>
  <c r="G174" i="1" s="1" a="1"/>
  <c r="G174" i="1" s="1"/>
  <c r="B175" i="1"/>
  <c r="D174" i="1"/>
  <c r="C174" i="1"/>
  <c r="F173" i="1"/>
  <c r="K172" i="1" l="1"/>
  <c r="H173" i="1" a="1"/>
  <c r="H173" i="1" s="1"/>
  <c r="J173" i="1" s="1"/>
  <c r="I173" i="1" a="1"/>
  <c r="I173" i="1" s="1"/>
  <c r="D171" i="4"/>
  <c r="B170" i="4"/>
  <c r="N44" i="1" a="1"/>
  <c r="N44" i="1" s="1"/>
  <c r="O44" i="1" a="1"/>
  <c r="O44" i="1" s="1"/>
  <c r="A247" i="1"/>
  <c r="E175" i="1"/>
  <c r="G175" i="1" s="1" a="1"/>
  <c r="G175" i="1" s="1"/>
  <c r="B176" i="1"/>
  <c r="C175" i="1"/>
  <c r="D175" i="1"/>
  <c r="F174" i="1"/>
  <c r="L44" i="1" a="1"/>
  <c r="K173" i="1" l="1"/>
  <c r="H174" i="1" a="1"/>
  <c r="H174" i="1" s="1"/>
  <c r="J174" i="1" s="1"/>
  <c r="I174" i="1" a="1"/>
  <c r="I174" i="1" s="1"/>
  <c r="D172" i="4"/>
  <c r="B171" i="4"/>
  <c r="L44" i="1"/>
  <c r="A248" i="1"/>
  <c r="F175" i="1"/>
  <c r="E176" i="1"/>
  <c r="G176" i="1" s="1" a="1"/>
  <c r="G176" i="1" s="1"/>
  <c r="D176" i="1"/>
  <c r="B177" i="1"/>
  <c r="C176" i="1"/>
  <c r="K174" i="1" l="1"/>
  <c r="H175" i="1" a="1"/>
  <c r="H175" i="1" s="1"/>
  <c r="J175" i="1" s="1"/>
  <c r="I175" i="1" a="1"/>
  <c r="I175" i="1" s="1"/>
  <c r="D173" i="4"/>
  <c r="B172" i="4"/>
  <c r="M44" i="1" a="1"/>
  <c r="M44" i="1" s="1"/>
  <c r="Q44" i="1" s="1" a="1"/>
  <c r="Q44" i="1" s="1"/>
  <c r="P45" i="1" s="1"/>
  <c r="A249" i="1"/>
  <c r="E177" i="1"/>
  <c r="G177" i="1" s="1" a="1"/>
  <c r="G177" i="1" s="1"/>
  <c r="C177" i="1"/>
  <c r="D177" i="1"/>
  <c r="B178" i="1"/>
  <c r="F176" i="1"/>
  <c r="K175" i="1" l="1"/>
  <c r="I176" i="1" a="1"/>
  <c r="I176" i="1" s="1"/>
  <c r="H176" i="1" a="1"/>
  <c r="H176" i="1" s="1"/>
  <c r="J176" i="1" s="1"/>
  <c r="D174" i="4"/>
  <c r="B173" i="4"/>
  <c r="S44" i="1" a="1"/>
  <c r="S44" i="1" s="1"/>
  <c r="V44" i="1" s="1"/>
  <c r="A250" i="1"/>
  <c r="E178" i="1"/>
  <c r="G178" i="1" s="1" a="1"/>
  <c r="G178" i="1" s="1"/>
  <c r="B179" i="1"/>
  <c r="D178" i="1"/>
  <c r="C178" i="1"/>
  <c r="F177" i="1"/>
  <c r="K176" i="1" l="1"/>
  <c r="I177" i="1" a="1"/>
  <c r="I177" i="1" s="1"/>
  <c r="H177" i="1" a="1"/>
  <c r="H177" i="1" s="1"/>
  <c r="J177" i="1" s="1"/>
  <c r="D175" i="4"/>
  <c r="B174" i="4"/>
  <c r="R45" i="1" a="1"/>
  <c r="R45" i="1" s="1"/>
  <c r="T45" i="1" s="1"/>
  <c r="A251" i="1"/>
  <c r="E179" i="1"/>
  <c r="G179" i="1" s="1" a="1"/>
  <c r="G179" i="1" s="1"/>
  <c r="B180" i="1"/>
  <c r="D179" i="1"/>
  <c r="C179" i="1"/>
  <c r="F178" i="1"/>
  <c r="K177" i="1" l="1"/>
  <c r="I178" i="1" a="1"/>
  <c r="I178" i="1" s="1"/>
  <c r="H178" i="1" a="1"/>
  <c r="H178" i="1" s="1"/>
  <c r="J178" i="1" s="1"/>
  <c r="D176" i="4"/>
  <c r="B175" i="4"/>
  <c r="O45" i="1" a="1"/>
  <c r="O45" i="1" s="1"/>
  <c r="N45" i="1" a="1"/>
  <c r="N45" i="1" s="1"/>
  <c r="A252" i="1"/>
  <c r="E180" i="1"/>
  <c r="G180" i="1" s="1" a="1"/>
  <c r="G180" i="1" s="1"/>
  <c r="D180" i="1"/>
  <c r="B181" i="1"/>
  <c r="C180" i="1"/>
  <c r="F179" i="1"/>
  <c r="L45" i="1" a="1"/>
  <c r="K178" i="1" l="1"/>
  <c r="H179" i="1" a="1"/>
  <c r="H179" i="1" s="1"/>
  <c r="J179" i="1" s="1"/>
  <c r="I179" i="1" a="1"/>
  <c r="I179" i="1" s="1"/>
  <c r="D177" i="4"/>
  <c r="B176" i="4"/>
  <c r="L45" i="1"/>
  <c r="A253" i="1"/>
  <c r="E181" i="1"/>
  <c r="G181" i="1" s="1" a="1"/>
  <c r="G181" i="1" s="1"/>
  <c r="C181" i="1"/>
  <c r="D181" i="1"/>
  <c r="B182" i="1"/>
  <c r="F180" i="1"/>
  <c r="K179" i="1" l="1"/>
  <c r="H180" i="1" a="1"/>
  <c r="H180" i="1" s="1"/>
  <c r="J180" i="1" s="1"/>
  <c r="I180" i="1" a="1"/>
  <c r="I180" i="1" s="1"/>
  <c r="D178" i="4"/>
  <c r="B177" i="4"/>
  <c r="M45" i="1" a="1"/>
  <c r="M45" i="1" s="1"/>
  <c r="Q45" i="1" s="1" a="1"/>
  <c r="Q45" i="1" s="1"/>
  <c r="P46" i="1" s="1"/>
  <c r="A254" i="1"/>
  <c r="E182" i="1"/>
  <c r="G182" i="1" s="1" a="1"/>
  <c r="G182" i="1" s="1"/>
  <c r="B183" i="1"/>
  <c r="C182" i="1"/>
  <c r="D182" i="1"/>
  <c r="F181" i="1"/>
  <c r="K180" i="1" l="1"/>
  <c r="H181" i="1" a="1"/>
  <c r="H181" i="1" s="1"/>
  <c r="J181" i="1" s="1"/>
  <c r="I181" i="1" a="1"/>
  <c r="I181" i="1" s="1"/>
  <c r="D179" i="4"/>
  <c r="B178" i="4"/>
  <c r="S45" i="1" a="1"/>
  <c r="S45" i="1" s="1"/>
  <c r="V45" i="1" s="1"/>
  <c r="A255" i="1"/>
  <c r="E183" i="1"/>
  <c r="G183" i="1" s="1" a="1"/>
  <c r="G183" i="1" s="1"/>
  <c r="C183" i="1"/>
  <c r="D183" i="1"/>
  <c r="B184" i="1"/>
  <c r="F182" i="1"/>
  <c r="K181" i="1" l="1"/>
  <c r="I182" i="1" a="1"/>
  <c r="I182" i="1" s="1"/>
  <c r="H182" i="1" a="1"/>
  <c r="H182" i="1" s="1"/>
  <c r="J182" i="1" s="1"/>
  <c r="D180" i="4"/>
  <c r="B179" i="4"/>
  <c r="R46" i="1" a="1"/>
  <c r="R46" i="1" s="1"/>
  <c r="T46" i="1" s="1"/>
  <c r="A256" i="1"/>
  <c r="E184" i="1"/>
  <c r="G184" i="1" s="1" a="1"/>
  <c r="G184" i="1" s="1"/>
  <c r="C184" i="1"/>
  <c r="D184" i="1"/>
  <c r="B185" i="1"/>
  <c r="F183" i="1"/>
  <c r="K182" i="1" l="1"/>
  <c r="I183" i="1" a="1"/>
  <c r="I183" i="1" s="1"/>
  <c r="H183" i="1" a="1"/>
  <c r="H183" i="1" s="1"/>
  <c r="J183" i="1" s="1"/>
  <c r="D181" i="4"/>
  <c r="B180" i="4"/>
  <c r="O46" i="1" a="1"/>
  <c r="O46" i="1" s="1"/>
  <c r="N46" i="1" a="1"/>
  <c r="N46" i="1" s="1"/>
  <c r="A257" i="1"/>
  <c r="F184" i="1"/>
  <c r="E185" i="1"/>
  <c r="G185" i="1" s="1" a="1"/>
  <c r="G185" i="1" s="1"/>
  <c r="B186" i="1"/>
  <c r="C185" i="1"/>
  <c r="D185" i="1"/>
  <c r="L46" i="1" a="1"/>
  <c r="K183" i="1" l="1"/>
  <c r="I184" i="1" a="1"/>
  <c r="I184" i="1" s="1"/>
  <c r="H184" i="1" a="1"/>
  <c r="H184" i="1" s="1"/>
  <c r="J184" i="1" s="1"/>
  <c r="D182" i="4"/>
  <c r="B181" i="4"/>
  <c r="L46" i="1"/>
  <c r="A258" i="1"/>
  <c r="E186" i="1"/>
  <c r="G186" i="1" s="1" a="1"/>
  <c r="G186" i="1" s="1"/>
  <c r="B187" i="1"/>
  <c r="D186" i="1"/>
  <c r="C186" i="1"/>
  <c r="F185" i="1"/>
  <c r="K184" i="1" l="1"/>
  <c r="I185" i="1" a="1"/>
  <c r="I185" i="1" s="1"/>
  <c r="H185" i="1" a="1"/>
  <c r="H185" i="1" s="1"/>
  <c r="J185" i="1" s="1"/>
  <c r="D183" i="4"/>
  <c r="B182" i="4"/>
  <c r="M46" i="1" a="1"/>
  <c r="M46" i="1" s="1"/>
  <c r="Q46" i="1" s="1" a="1"/>
  <c r="Q46" i="1" s="1"/>
  <c r="P47" i="1" s="1"/>
  <c r="A259" i="1"/>
  <c r="E187" i="1"/>
  <c r="G187" i="1" s="1" a="1"/>
  <c r="G187" i="1" s="1"/>
  <c r="C187" i="1"/>
  <c r="B188" i="1"/>
  <c r="D187" i="1"/>
  <c r="F186" i="1"/>
  <c r="K185" i="1" l="1"/>
  <c r="H186" i="1" a="1"/>
  <c r="H186" i="1" s="1"/>
  <c r="J186" i="1" s="1"/>
  <c r="I186" i="1" a="1"/>
  <c r="I186" i="1" s="1"/>
  <c r="D184" i="4"/>
  <c r="B183" i="4"/>
  <c r="S46" i="1" a="1"/>
  <c r="S46" i="1" s="1"/>
  <c r="V46" i="1" s="1"/>
  <c r="A260" i="1"/>
  <c r="E188" i="1"/>
  <c r="G188" i="1" s="1" a="1"/>
  <c r="G188" i="1" s="1"/>
  <c r="C188" i="1"/>
  <c r="D188" i="1"/>
  <c r="B189" i="1"/>
  <c r="F187" i="1"/>
  <c r="K186" i="1" l="1"/>
  <c r="I187" i="1" a="1"/>
  <c r="I187" i="1" s="1"/>
  <c r="H187" i="1" a="1"/>
  <c r="H187" i="1" s="1"/>
  <c r="J187" i="1" s="1"/>
  <c r="D185" i="4"/>
  <c r="B184" i="4"/>
  <c r="R47" i="1" a="1"/>
  <c r="R47" i="1" s="1"/>
  <c r="T47" i="1" s="1"/>
  <c r="A261" i="1"/>
  <c r="E189" i="1"/>
  <c r="G189" i="1" s="1" a="1"/>
  <c r="G189" i="1" s="1"/>
  <c r="B190" i="1"/>
  <c r="D189" i="1"/>
  <c r="C189" i="1"/>
  <c r="F188" i="1"/>
  <c r="K187" i="1" l="1"/>
  <c r="H188" i="1" a="1"/>
  <c r="H188" i="1" s="1"/>
  <c r="J188" i="1" s="1"/>
  <c r="I188" i="1" a="1"/>
  <c r="I188" i="1" s="1"/>
  <c r="D186" i="4"/>
  <c r="B185" i="4"/>
  <c r="O47" i="1" a="1"/>
  <c r="O47" i="1" s="1"/>
  <c r="N47" i="1" a="1"/>
  <c r="N47" i="1" s="1"/>
  <c r="A262" i="1"/>
  <c r="E190" i="1"/>
  <c r="G190" i="1" s="1" a="1"/>
  <c r="G190" i="1" s="1"/>
  <c r="C190" i="1"/>
  <c r="D190" i="1"/>
  <c r="B191" i="1"/>
  <c r="F189" i="1"/>
  <c r="L47" i="1" a="1"/>
  <c r="K188" i="1" l="1"/>
  <c r="H189" i="1" a="1"/>
  <c r="H189" i="1" s="1"/>
  <c r="J189" i="1" s="1"/>
  <c r="I189" i="1" a="1"/>
  <c r="I189" i="1" s="1"/>
  <c r="D187" i="4"/>
  <c r="B186" i="4"/>
  <c r="L47" i="1"/>
  <c r="A263" i="1"/>
  <c r="E191" i="1"/>
  <c r="G191" i="1" s="1" a="1"/>
  <c r="G191" i="1" s="1"/>
  <c r="C191" i="1"/>
  <c r="D191" i="1"/>
  <c r="B192" i="1"/>
  <c r="F190" i="1"/>
  <c r="K189" i="1" l="1"/>
  <c r="H190" i="1" a="1"/>
  <c r="H190" i="1" s="1"/>
  <c r="J190" i="1" s="1"/>
  <c r="I190" i="1" a="1"/>
  <c r="I190" i="1" s="1"/>
  <c r="D188" i="4"/>
  <c r="B187" i="4"/>
  <c r="M47" i="1" a="1"/>
  <c r="M47" i="1" s="1"/>
  <c r="Q47" i="1" s="1" a="1"/>
  <c r="Q47" i="1" s="1"/>
  <c r="P48" i="1" s="1"/>
  <c r="A264" i="1"/>
  <c r="E192" i="1"/>
  <c r="G192" i="1" s="1" a="1"/>
  <c r="G192" i="1" s="1"/>
  <c r="D192" i="1"/>
  <c r="B193" i="1"/>
  <c r="C192" i="1"/>
  <c r="F191" i="1"/>
  <c r="K190" i="1" l="1"/>
  <c r="H191" i="1" a="1"/>
  <c r="H191" i="1" s="1"/>
  <c r="J191" i="1" s="1"/>
  <c r="I191" i="1" a="1"/>
  <c r="I191" i="1" s="1"/>
  <c r="D189" i="4"/>
  <c r="B188" i="4"/>
  <c r="S47" i="1" a="1"/>
  <c r="S47" i="1" s="1"/>
  <c r="V47" i="1" s="1"/>
  <c r="A265" i="1"/>
  <c r="E193" i="1"/>
  <c r="G193" i="1" s="1" a="1"/>
  <c r="G193" i="1" s="1"/>
  <c r="B194" i="1"/>
  <c r="D193" i="1"/>
  <c r="C193" i="1"/>
  <c r="F192" i="1"/>
  <c r="K191" i="1" l="1"/>
  <c r="H192" i="1" a="1"/>
  <c r="H192" i="1" s="1"/>
  <c r="J192" i="1" s="1"/>
  <c r="I192" i="1" a="1"/>
  <c r="I192" i="1" s="1"/>
  <c r="D190" i="4"/>
  <c r="B189" i="4"/>
  <c r="R48" i="1" a="1"/>
  <c r="R48" i="1" s="1"/>
  <c r="T48" i="1" s="1"/>
  <c r="A266" i="1"/>
  <c r="E194" i="1"/>
  <c r="G194" i="1" s="1" a="1"/>
  <c r="G194" i="1" s="1"/>
  <c r="D194" i="1"/>
  <c r="C194" i="1"/>
  <c r="B195" i="1"/>
  <c r="F193" i="1"/>
  <c r="K192" i="1" l="1"/>
  <c r="I193" i="1" a="1"/>
  <c r="I193" i="1" s="1"/>
  <c r="H193" i="1" a="1"/>
  <c r="H193" i="1" s="1"/>
  <c r="J193" i="1" s="1"/>
  <c r="D191" i="4"/>
  <c r="B190" i="4"/>
  <c r="N48" i="1" a="1"/>
  <c r="N48" i="1" s="1"/>
  <c r="O48" i="1" a="1"/>
  <c r="O48" i="1" s="1"/>
  <c r="A267" i="1"/>
  <c r="E195" i="1"/>
  <c r="G195" i="1" s="1" a="1"/>
  <c r="G195" i="1" s="1"/>
  <c r="D195" i="1"/>
  <c r="C195" i="1"/>
  <c r="B196" i="1"/>
  <c r="F194" i="1"/>
  <c r="L48" i="1" a="1"/>
  <c r="K193" i="1" l="1"/>
  <c r="H194" i="1" a="1"/>
  <c r="H194" i="1" s="1"/>
  <c r="J194" i="1" s="1"/>
  <c r="I194" i="1" a="1"/>
  <c r="I194" i="1" s="1"/>
  <c r="D192" i="4"/>
  <c r="B191" i="4"/>
  <c r="L48" i="1"/>
  <c r="A268" i="1"/>
  <c r="E196" i="1"/>
  <c r="G196" i="1" s="1" a="1"/>
  <c r="G196" i="1" s="1"/>
  <c r="C196" i="1"/>
  <c r="D196" i="1"/>
  <c r="B197" i="1"/>
  <c r="F195" i="1"/>
  <c r="K194" i="1" l="1"/>
  <c r="I195" i="1" a="1"/>
  <c r="I195" i="1" s="1"/>
  <c r="H195" i="1" a="1"/>
  <c r="H195" i="1" s="1"/>
  <c r="J195" i="1" s="1"/>
  <c r="D193" i="4"/>
  <c r="B192" i="4"/>
  <c r="M48" i="1" a="1"/>
  <c r="M48" i="1" s="1"/>
  <c r="Q48" i="1" s="1" a="1"/>
  <c r="Q48" i="1" s="1"/>
  <c r="P49" i="1" s="1"/>
  <c r="A269" i="1"/>
  <c r="E197" i="1"/>
  <c r="G197" i="1" s="1" a="1"/>
  <c r="G197" i="1" s="1"/>
  <c r="B198" i="1"/>
  <c r="D197" i="1"/>
  <c r="C197" i="1"/>
  <c r="F196" i="1"/>
  <c r="K195" i="1" l="1"/>
  <c r="H196" i="1" a="1"/>
  <c r="H196" i="1" s="1"/>
  <c r="J196" i="1" s="1"/>
  <c r="I196" i="1" a="1"/>
  <c r="I196" i="1" s="1"/>
  <c r="D194" i="4"/>
  <c r="B193" i="4"/>
  <c r="S48" i="1" a="1"/>
  <c r="S48" i="1" s="1"/>
  <c r="V48" i="1" s="1"/>
  <c r="A270" i="1"/>
  <c r="E198" i="1"/>
  <c r="G198" i="1" s="1" a="1"/>
  <c r="G198" i="1" s="1"/>
  <c r="B199" i="1"/>
  <c r="C198" i="1"/>
  <c r="D198" i="1"/>
  <c r="F197" i="1"/>
  <c r="K196" i="1" l="1"/>
  <c r="I197" i="1" a="1"/>
  <c r="I197" i="1" s="1"/>
  <c r="H197" i="1" a="1"/>
  <c r="H197" i="1" s="1"/>
  <c r="J197" i="1" s="1"/>
  <c r="D195" i="4"/>
  <c r="B194" i="4"/>
  <c r="R49" i="1" a="1"/>
  <c r="R49" i="1" s="1"/>
  <c r="T49" i="1" s="1"/>
  <c r="A271" i="1"/>
  <c r="E199" i="1"/>
  <c r="G199" i="1" s="1" a="1"/>
  <c r="G199" i="1" s="1"/>
  <c r="D199" i="1"/>
  <c r="C199" i="1"/>
  <c r="B200" i="1"/>
  <c r="F198" i="1"/>
  <c r="K197" i="1" l="1"/>
  <c r="I198" i="1" a="1"/>
  <c r="I198" i="1" s="1"/>
  <c r="H198" i="1" a="1"/>
  <c r="H198" i="1" s="1"/>
  <c r="J198" i="1" s="1"/>
  <c r="D196" i="4"/>
  <c r="B195" i="4"/>
  <c r="O49" i="1" a="1"/>
  <c r="O49" i="1" s="1"/>
  <c r="N49" i="1" a="1"/>
  <c r="N49" i="1" s="1"/>
  <c r="A272" i="1"/>
  <c r="E200" i="1"/>
  <c r="G200" i="1" s="1" a="1"/>
  <c r="G200" i="1" s="1"/>
  <c r="C200" i="1"/>
  <c r="D200" i="1"/>
  <c r="B201" i="1"/>
  <c r="F199" i="1"/>
  <c r="L49" i="1" a="1"/>
  <c r="K198" i="1" l="1"/>
  <c r="I199" i="1" a="1"/>
  <c r="I199" i="1" s="1"/>
  <c r="H199" i="1" a="1"/>
  <c r="H199" i="1" s="1"/>
  <c r="J199" i="1" s="1"/>
  <c r="D197" i="4"/>
  <c r="B196" i="4"/>
  <c r="L49" i="1"/>
  <c r="A273" i="1"/>
  <c r="E201" i="1"/>
  <c r="G201" i="1" s="1" a="1"/>
  <c r="G201" i="1" s="1"/>
  <c r="B202" i="1"/>
  <c r="D201" i="1"/>
  <c r="C201" i="1"/>
  <c r="F200" i="1"/>
  <c r="K199" i="1" l="1"/>
  <c r="H200" i="1" a="1"/>
  <c r="H200" i="1" s="1"/>
  <c r="J200" i="1" s="1"/>
  <c r="I200" i="1" a="1"/>
  <c r="I200" i="1" s="1"/>
  <c r="D198" i="4"/>
  <c r="B197" i="4"/>
  <c r="M49" i="1" a="1"/>
  <c r="M49" i="1" s="1"/>
  <c r="Q49" i="1" s="1" a="1"/>
  <c r="Q49" i="1" s="1"/>
  <c r="P50" i="1" s="1"/>
  <c r="A274" i="1"/>
  <c r="E202" i="1"/>
  <c r="G202" i="1" s="1" a="1"/>
  <c r="G202" i="1" s="1"/>
  <c r="C202" i="1"/>
  <c r="D202" i="1"/>
  <c r="B203" i="1"/>
  <c r="F201" i="1"/>
  <c r="K200" i="1" l="1"/>
  <c r="I201" i="1" a="1"/>
  <c r="I201" i="1" s="1"/>
  <c r="H201" i="1" a="1"/>
  <c r="H201" i="1" s="1"/>
  <c r="J201" i="1" s="1"/>
  <c r="D199" i="4"/>
  <c r="B198" i="4"/>
  <c r="S49" i="1" a="1"/>
  <c r="S49" i="1" s="1"/>
  <c r="V49" i="1" s="1"/>
  <c r="A275" i="1"/>
  <c r="E203" i="1"/>
  <c r="G203" i="1" s="1" a="1"/>
  <c r="G203" i="1" s="1"/>
  <c r="C203" i="1"/>
  <c r="D203" i="1"/>
  <c r="B204" i="1"/>
  <c r="F202" i="1"/>
  <c r="K201" i="1" l="1"/>
  <c r="H202" i="1" a="1"/>
  <c r="H202" i="1" s="1"/>
  <c r="J202" i="1" s="1"/>
  <c r="I202" i="1" a="1"/>
  <c r="I202" i="1" s="1"/>
  <c r="D200" i="4"/>
  <c r="B199" i="4"/>
  <c r="R50" i="1" a="1"/>
  <c r="R50" i="1" s="1"/>
  <c r="T50" i="1" s="1"/>
  <c r="A276" i="1"/>
  <c r="E204" i="1"/>
  <c r="G204" i="1" s="1" a="1"/>
  <c r="G204" i="1" s="1"/>
  <c r="C204" i="1"/>
  <c r="D204" i="1"/>
  <c r="B205" i="1"/>
  <c r="F203" i="1"/>
  <c r="K202" i="1" l="1"/>
  <c r="I203" i="1" a="1"/>
  <c r="I203" i="1" s="1"/>
  <c r="H203" i="1" a="1"/>
  <c r="H203" i="1" s="1"/>
  <c r="J203" i="1" s="1"/>
  <c r="D201" i="4"/>
  <c r="B200" i="4"/>
  <c r="O50" i="1" a="1"/>
  <c r="O50" i="1" s="1"/>
  <c r="N50" i="1" a="1"/>
  <c r="N50" i="1" s="1"/>
  <c r="A277" i="1"/>
  <c r="E205" i="1"/>
  <c r="G205" i="1" s="1" a="1"/>
  <c r="G205" i="1" s="1"/>
  <c r="C205" i="1"/>
  <c r="D205" i="1"/>
  <c r="B206" i="1"/>
  <c r="F204" i="1"/>
  <c r="L50" i="1" a="1"/>
  <c r="K203" i="1" l="1"/>
  <c r="H204" i="1" a="1"/>
  <c r="H204" i="1" s="1"/>
  <c r="J204" i="1" s="1"/>
  <c r="I204" i="1" a="1"/>
  <c r="I204" i="1" s="1"/>
  <c r="D202" i="4"/>
  <c r="B201" i="4"/>
  <c r="L50" i="1"/>
  <c r="A278" i="1"/>
  <c r="E206" i="1"/>
  <c r="G206" i="1" s="1" a="1"/>
  <c r="G206" i="1" s="1"/>
  <c r="B207" i="1"/>
  <c r="D206" i="1"/>
  <c r="C206" i="1"/>
  <c r="F205" i="1"/>
  <c r="K204" i="1" l="1"/>
  <c r="I205" i="1" a="1"/>
  <c r="I205" i="1" s="1"/>
  <c r="H205" i="1" a="1"/>
  <c r="H205" i="1" s="1"/>
  <c r="J205" i="1" s="1"/>
  <c r="D203" i="4"/>
  <c r="B202" i="4"/>
  <c r="M50" i="1" a="1"/>
  <c r="M50" i="1" s="1"/>
  <c r="Q50" i="1" s="1" a="1"/>
  <c r="Q50" i="1" s="1"/>
  <c r="P51" i="1" s="1"/>
  <c r="A279" i="1"/>
  <c r="E207" i="1"/>
  <c r="G207" i="1" s="1" a="1"/>
  <c r="G207" i="1" s="1"/>
  <c r="C207" i="1"/>
  <c r="B208" i="1"/>
  <c r="D207" i="1"/>
  <c r="F206" i="1"/>
  <c r="K205" i="1" l="1"/>
  <c r="I206" i="1" a="1"/>
  <c r="I206" i="1" s="1"/>
  <c r="H206" i="1" a="1"/>
  <c r="H206" i="1" s="1"/>
  <c r="J206" i="1" s="1"/>
  <c r="D204" i="4"/>
  <c r="B203" i="4"/>
  <c r="S50" i="1" a="1"/>
  <c r="S50" i="1" s="1"/>
  <c r="V50" i="1" s="1"/>
  <c r="A280" i="1"/>
  <c r="E208" i="1"/>
  <c r="G208" i="1" s="1" a="1"/>
  <c r="G208" i="1" s="1"/>
  <c r="B209" i="1"/>
  <c r="C208" i="1"/>
  <c r="D208" i="1"/>
  <c r="F207" i="1"/>
  <c r="K206" i="1" l="1"/>
  <c r="I207" i="1" a="1"/>
  <c r="I207" i="1" s="1"/>
  <c r="H207" i="1" a="1"/>
  <c r="H207" i="1" s="1"/>
  <c r="J207" i="1" s="1"/>
  <c r="D205" i="4"/>
  <c r="B204" i="4"/>
  <c r="R51" i="1" a="1"/>
  <c r="R51" i="1" s="1"/>
  <c r="T51" i="1" s="1"/>
  <c r="A281" i="1"/>
  <c r="E209" i="1"/>
  <c r="G209" i="1" s="1" a="1"/>
  <c r="G209" i="1" s="1"/>
  <c r="D209" i="1"/>
  <c r="B210" i="1"/>
  <c r="C209" i="1"/>
  <c r="F208" i="1"/>
  <c r="K207" i="1" l="1"/>
  <c r="H208" i="1" a="1"/>
  <c r="H208" i="1" s="1"/>
  <c r="J208" i="1" s="1"/>
  <c r="I208" i="1" a="1"/>
  <c r="I208" i="1" s="1"/>
  <c r="D206" i="4"/>
  <c r="B205" i="4"/>
  <c r="O51" i="1" a="1"/>
  <c r="O51" i="1" s="1"/>
  <c r="N51" i="1" a="1"/>
  <c r="N51" i="1" s="1"/>
  <c r="A282" i="1"/>
  <c r="E210" i="1"/>
  <c r="G210" i="1" s="1" a="1"/>
  <c r="G210" i="1" s="1"/>
  <c r="B211" i="1"/>
  <c r="C210" i="1"/>
  <c r="D210" i="1"/>
  <c r="F209" i="1"/>
  <c r="L51" i="1" a="1"/>
  <c r="K208" i="1" l="1"/>
  <c r="I209" i="1" a="1"/>
  <c r="I209" i="1" s="1"/>
  <c r="H209" i="1" a="1"/>
  <c r="H209" i="1" s="1"/>
  <c r="J209" i="1" s="1"/>
  <c r="D207" i="4"/>
  <c r="B206" i="4"/>
  <c r="L51" i="1"/>
  <c r="A283" i="1"/>
  <c r="E211" i="1"/>
  <c r="G211" i="1" s="1" a="1"/>
  <c r="G211" i="1" s="1"/>
  <c r="B212" i="1"/>
  <c r="D211" i="1"/>
  <c r="C211" i="1"/>
  <c r="F210" i="1"/>
  <c r="K209" i="1" l="1"/>
  <c r="H210" i="1" a="1"/>
  <c r="H210" i="1" s="1"/>
  <c r="J210" i="1" s="1"/>
  <c r="I210" i="1" a="1"/>
  <c r="I210" i="1" s="1"/>
  <c r="D208" i="4"/>
  <c r="B207" i="4"/>
  <c r="M51" i="1" a="1"/>
  <c r="M51" i="1" s="1"/>
  <c r="Q51" i="1" s="1" a="1"/>
  <c r="Q51" i="1" s="1"/>
  <c r="P52" i="1" s="1"/>
  <c r="A284" i="1"/>
  <c r="E212" i="1"/>
  <c r="G212" i="1" s="1" a="1"/>
  <c r="G212" i="1" s="1"/>
  <c r="C212" i="1"/>
  <c r="D212" i="1"/>
  <c r="B213" i="1"/>
  <c r="F211" i="1"/>
  <c r="K210" i="1" l="1"/>
  <c r="H211" i="1" a="1"/>
  <c r="H211" i="1" s="1"/>
  <c r="J211" i="1" s="1"/>
  <c r="I211" i="1" a="1"/>
  <c r="I211" i="1" s="1"/>
  <c r="D209" i="4"/>
  <c r="B208" i="4"/>
  <c r="S51" i="1" a="1"/>
  <c r="S51" i="1" s="1"/>
  <c r="V51" i="1" s="1"/>
  <c r="A285" i="1"/>
  <c r="E213" i="1"/>
  <c r="G213" i="1" s="1" a="1"/>
  <c r="G213" i="1" s="1"/>
  <c r="D213" i="1"/>
  <c r="C213" i="1"/>
  <c r="B214" i="1"/>
  <c r="F212" i="1"/>
  <c r="K211" i="1" l="1"/>
  <c r="I212" i="1" a="1"/>
  <c r="I212" i="1" s="1"/>
  <c r="H212" i="1" a="1"/>
  <c r="H212" i="1" s="1"/>
  <c r="J212" i="1" s="1"/>
  <c r="D210" i="4"/>
  <c r="B209" i="4"/>
  <c r="R52" i="1" a="1"/>
  <c r="R52" i="1" s="1"/>
  <c r="T52" i="1" s="1"/>
  <c r="A286" i="1"/>
  <c r="E214" i="1"/>
  <c r="G214" i="1" s="1" a="1"/>
  <c r="G214" i="1" s="1"/>
  <c r="B215" i="1"/>
  <c r="C214" i="1"/>
  <c r="D214" i="1"/>
  <c r="F213" i="1"/>
  <c r="K212" i="1" l="1"/>
  <c r="I213" i="1" a="1"/>
  <c r="I213" i="1" s="1"/>
  <c r="H213" i="1" a="1"/>
  <c r="H213" i="1" s="1"/>
  <c r="J213" i="1" s="1"/>
  <c r="D211" i="4"/>
  <c r="B210" i="4"/>
  <c r="N52" i="1" a="1"/>
  <c r="N52" i="1" s="1"/>
  <c r="O52" i="1" a="1"/>
  <c r="O52" i="1" s="1"/>
  <c r="A287" i="1"/>
  <c r="E215" i="1"/>
  <c r="G215" i="1" s="1" a="1"/>
  <c r="G215" i="1" s="1"/>
  <c r="B216" i="1"/>
  <c r="D215" i="1"/>
  <c r="C215" i="1"/>
  <c r="F214" i="1"/>
  <c r="L52" i="1" a="1"/>
  <c r="K213" i="1" l="1"/>
  <c r="I214" i="1" a="1"/>
  <c r="I214" i="1" s="1"/>
  <c r="H214" i="1" a="1"/>
  <c r="H214" i="1" s="1"/>
  <c r="J214" i="1" s="1"/>
  <c r="D212" i="4"/>
  <c r="B211" i="4"/>
  <c r="L52" i="1"/>
  <c r="A288" i="1"/>
  <c r="E216" i="1"/>
  <c r="G216" i="1" s="1" a="1"/>
  <c r="G216" i="1" s="1"/>
  <c r="C216" i="1"/>
  <c r="D216" i="1"/>
  <c r="B217" i="1"/>
  <c r="F215" i="1"/>
  <c r="K214" i="1" l="1"/>
  <c r="H215" i="1" a="1"/>
  <c r="H215" i="1" s="1"/>
  <c r="J215" i="1" s="1"/>
  <c r="I215" i="1" a="1"/>
  <c r="I215" i="1" s="1"/>
  <c r="D213" i="4"/>
  <c r="B212" i="4"/>
  <c r="M52" i="1" a="1"/>
  <c r="M52" i="1" s="1"/>
  <c r="Q52" i="1" s="1" a="1"/>
  <c r="Q52" i="1" s="1"/>
  <c r="P53" i="1" s="1"/>
  <c r="A289" i="1"/>
  <c r="E217" i="1"/>
  <c r="G217" i="1" s="1" a="1"/>
  <c r="G217" i="1" s="1"/>
  <c r="C217" i="1"/>
  <c r="D217" i="1"/>
  <c r="B218" i="1"/>
  <c r="F216" i="1"/>
  <c r="K215" i="1" l="1"/>
  <c r="I216" i="1" a="1"/>
  <c r="I216" i="1" s="1"/>
  <c r="H216" i="1" a="1"/>
  <c r="H216" i="1" s="1"/>
  <c r="J216" i="1" s="1"/>
  <c r="D214" i="4"/>
  <c r="B213" i="4"/>
  <c r="S52" i="1" a="1"/>
  <c r="S52" i="1" s="1"/>
  <c r="V52" i="1" s="1"/>
  <c r="A290" i="1"/>
  <c r="E218" i="1"/>
  <c r="G218" i="1" s="1" a="1"/>
  <c r="G218" i="1" s="1"/>
  <c r="D218" i="1"/>
  <c r="B219" i="1"/>
  <c r="C218" i="1"/>
  <c r="F217" i="1"/>
  <c r="K216" i="1" l="1"/>
  <c r="H217" i="1" a="1"/>
  <c r="H217" i="1" s="1"/>
  <c r="J217" i="1" s="1"/>
  <c r="I217" i="1" a="1"/>
  <c r="I217" i="1" s="1"/>
  <c r="D215" i="4"/>
  <c r="B214" i="4"/>
  <c r="R53" i="1" a="1"/>
  <c r="R53" i="1" s="1"/>
  <c r="T53" i="1" s="1"/>
  <c r="A291" i="1"/>
  <c r="E219" i="1"/>
  <c r="G219" i="1" s="1" a="1"/>
  <c r="G219" i="1" s="1"/>
  <c r="C219" i="1"/>
  <c r="B220" i="1"/>
  <c r="D219" i="1"/>
  <c r="F218" i="1"/>
  <c r="K217" i="1" l="1"/>
  <c r="H218" i="1" a="1"/>
  <c r="H218" i="1" s="1"/>
  <c r="J218" i="1" s="1"/>
  <c r="I218" i="1" a="1"/>
  <c r="I218" i="1" s="1"/>
  <c r="D216" i="4"/>
  <c r="B215" i="4"/>
  <c r="N53" i="1" a="1"/>
  <c r="N53" i="1" s="1"/>
  <c r="O53" i="1" a="1"/>
  <c r="O53" i="1" s="1"/>
  <c r="A292" i="1"/>
  <c r="E220" i="1"/>
  <c r="G220" i="1" s="1" a="1"/>
  <c r="G220" i="1" s="1"/>
  <c r="B221" i="1"/>
  <c r="C220" i="1"/>
  <c r="D220" i="1"/>
  <c r="F219" i="1"/>
  <c r="L53" i="1" a="1"/>
  <c r="K218" i="1" l="1"/>
  <c r="H219" i="1" a="1"/>
  <c r="H219" i="1" s="1"/>
  <c r="J219" i="1" s="1"/>
  <c r="I219" i="1" a="1"/>
  <c r="I219" i="1" s="1"/>
  <c r="D217" i="4"/>
  <c r="B216" i="4"/>
  <c r="L53" i="1"/>
  <c r="A293" i="1"/>
  <c r="E221" i="1"/>
  <c r="G221" i="1" s="1" a="1"/>
  <c r="G221" i="1" s="1"/>
  <c r="D221" i="1"/>
  <c r="B222" i="1"/>
  <c r="C221" i="1"/>
  <c r="F220" i="1"/>
  <c r="K219" i="1" l="1"/>
  <c r="H220" i="1" a="1"/>
  <c r="H220" i="1" s="1"/>
  <c r="J220" i="1" s="1"/>
  <c r="I220" i="1" a="1"/>
  <c r="I220" i="1" s="1"/>
  <c r="D218" i="4"/>
  <c r="B217" i="4"/>
  <c r="M53" i="1" a="1"/>
  <c r="M53" i="1" s="1"/>
  <c r="Q53" i="1" s="1" a="1"/>
  <c r="Q53" i="1" s="1"/>
  <c r="P54" i="1" s="1"/>
  <c r="A294" i="1"/>
  <c r="E222" i="1"/>
  <c r="G222" i="1" s="1" a="1"/>
  <c r="G222" i="1" s="1"/>
  <c r="B223" i="1"/>
  <c r="D222" i="1"/>
  <c r="C222" i="1"/>
  <c r="F221" i="1"/>
  <c r="K220" i="1" l="1"/>
  <c r="I221" i="1" a="1"/>
  <c r="I221" i="1" s="1"/>
  <c r="H221" i="1" a="1"/>
  <c r="H221" i="1" s="1"/>
  <c r="J221" i="1" s="1"/>
  <c r="D219" i="4"/>
  <c r="B218" i="4"/>
  <c r="S53" i="1" a="1"/>
  <c r="S53" i="1" s="1"/>
  <c r="V53" i="1" s="1"/>
  <c r="A295" i="1"/>
  <c r="E223" i="1"/>
  <c r="G223" i="1" s="1" a="1"/>
  <c r="G223" i="1" s="1"/>
  <c r="C223" i="1"/>
  <c r="D223" i="1"/>
  <c r="B224" i="1"/>
  <c r="F222" i="1"/>
  <c r="K221" i="1" l="1"/>
  <c r="I222" i="1" a="1"/>
  <c r="I222" i="1" s="1"/>
  <c r="H222" i="1" a="1"/>
  <c r="H222" i="1" s="1"/>
  <c r="J222" i="1" s="1"/>
  <c r="D220" i="4"/>
  <c r="B219" i="4"/>
  <c r="R54" i="1" a="1"/>
  <c r="R54" i="1" s="1"/>
  <c r="T54" i="1" s="1"/>
  <c r="A296" i="1"/>
  <c r="E224" i="1"/>
  <c r="G224" i="1" s="1" a="1"/>
  <c r="G224" i="1" s="1"/>
  <c r="C224" i="1"/>
  <c r="D224" i="1"/>
  <c r="B225" i="1"/>
  <c r="F223" i="1"/>
  <c r="K222" i="1" l="1"/>
  <c r="H223" i="1" a="1"/>
  <c r="H223" i="1" s="1"/>
  <c r="J223" i="1" s="1"/>
  <c r="I223" i="1" a="1"/>
  <c r="I223" i="1" s="1"/>
  <c r="D221" i="4"/>
  <c r="B220" i="4"/>
  <c r="N54" i="1" a="1"/>
  <c r="N54" i="1" s="1"/>
  <c r="O54" i="1" a="1"/>
  <c r="O54" i="1" s="1"/>
  <c r="A297" i="1"/>
  <c r="E225" i="1"/>
  <c r="G225" i="1" s="1" a="1"/>
  <c r="G225" i="1" s="1"/>
  <c r="C225" i="1"/>
  <c r="D225" i="1"/>
  <c r="B226" i="1"/>
  <c r="F224" i="1"/>
  <c r="L54" i="1" a="1"/>
  <c r="K223" i="1" l="1"/>
  <c r="H224" i="1" a="1"/>
  <c r="H224" i="1" s="1"/>
  <c r="J224" i="1" s="1"/>
  <c r="I224" i="1" a="1"/>
  <c r="I224" i="1" s="1"/>
  <c r="D222" i="4"/>
  <c r="B221" i="4"/>
  <c r="L54" i="1"/>
  <c r="A298" i="1"/>
  <c r="E226" i="1"/>
  <c r="G226" i="1" s="1" a="1"/>
  <c r="G226" i="1" s="1"/>
  <c r="C226" i="1"/>
  <c r="B227" i="1"/>
  <c r="D226" i="1"/>
  <c r="F225" i="1"/>
  <c r="K224" i="1" l="1"/>
  <c r="I225" i="1" a="1"/>
  <c r="I225" i="1" s="1"/>
  <c r="H225" i="1" a="1"/>
  <c r="H225" i="1" s="1"/>
  <c r="J225" i="1" s="1"/>
  <c r="D223" i="4"/>
  <c r="B222" i="4"/>
  <c r="M54" i="1" a="1"/>
  <c r="M54" i="1" s="1"/>
  <c r="Q54" i="1" s="1" a="1"/>
  <c r="Q54" i="1" s="1"/>
  <c r="P55" i="1" s="1"/>
  <c r="A299" i="1"/>
  <c r="E227" i="1"/>
  <c r="G227" i="1" s="1" a="1"/>
  <c r="G227" i="1" s="1"/>
  <c r="D227" i="1"/>
  <c r="B228" i="1"/>
  <c r="C227" i="1"/>
  <c r="F226" i="1"/>
  <c r="K225" i="1" l="1"/>
  <c r="I226" i="1" a="1"/>
  <c r="I226" i="1" s="1"/>
  <c r="H226" i="1" a="1"/>
  <c r="H226" i="1" s="1"/>
  <c r="J226" i="1" s="1"/>
  <c r="D224" i="4"/>
  <c r="B223" i="4"/>
  <c r="S54" i="1" a="1"/>
  <c r="S54" i="1" s="1"/>
  <c r="V54" i="1" s="1"/>
  <c r="A300" i="1"/>
  <c r="E228" i="1"/>
  <c r="G228" i="1" s="1" a="1"/>
  <c r="G228" i="1" s="1"/>
  <c r="B229" i="1"/>
  <c r="C228" i="1"/>
  <c r="D228" i="1"/>
  <c r="F227" i="1"/>
  <c r="K226" i="1" l="1"/>
  <c r="H227" i="1" a="1"/>
  <c r="H227" i="1" s="1"/>
  <c r="J227" i="1" s="1"/>
  <c r="I227" i="1" a="1"/>
  <c r="I227" i="1" s="1"/>
  <c r="D225" i="4"/>
  <c r="B224" i="4"/>
  <c r="R55" i="1" a="1"/>
  <c r="R55" i="1" s="1"/>
  <c r="T55" i="1" s="1"/>
  <c r="A301" i="1"/>
  <c r="E229" i="1"/>
  <c r="G229" i="1" s="1" a="1"/>
  <c r="G229" i="1" s="1"/>
  <c r="C229" i="1"/>
  <c r="B230" i="1"/>
  <c r="D229" i="1"/>
  <c r="F228" i="1"/>
  <c r="K227" i="1" l="1"/>
  <c r="I228" i="1" a="1"/>
  <c r="I228" i="1" s="1"/>
  <c r="H228" i="1" a="1"/>
  <c r="H228" i="1" s="1"/>
  <c r="J228" i="1" s="1"/>
  <c r="D226" i="4"/>
  <c r="B225" i="4"/>
  <c r="O55" i="1" a="1"/>
  <c r="O55" i="1" s="1"/>
  <c r="N55" i="1" a="1"/>
  <c r="N55" i="1" s="1"/>
  <c r="A302" i="1"/>
  <c r="E230" i="1"/>
  <c r="G230" i="1" s="1" a="1"/>
  <c r="G230" i="1" s="1"/>
  <c r="C230" i="1"/>
  <c r="B231" i="1"/>
  <c r="D230" i="1"/>
  <c r="F229" i="1"/>
  <c r="L55" i="1" a="1"/>
  <c r="K228" i="1" l="1"/>
  <c r="I229" i="1" a="1"/>
  <c r="I229" i="1" s="1"/>
  <c r="H229" i="1" a="1"/>
  <c r="H229" i="1" s="1"/>
  <c r="J229" i="1" s="1"/>
  <c r="D227" i="4"/>
  <c r="B226" i="4"/>
  <c r="L55" i="1"/>
  <c r="A303" i="1"/>
  <c r="E231" i="1"/>
  <c r="G231" i="1" s="1" a="1"/>
  <c r="G231" i="1" s="1"/>
  <c r="D231" i="1"/>
  <c r="C231" i="1"/>
  <c r="B232" i="1"/>
  <c r="F230" i="1"/>
  <c r="K229" i="1" l="1"/>
  <c r="I230" i="1" a="1"/>
  <c r="I230" i="1" s="1"/>
  <c r="H230" i="1" a="1"/>
  <c r="H230" i="1" s="1"/>
  <c r="J230" i="1" s="1"/>
  <c r="D228" i="4"/>
  <c r="B227" i="4"/>
  <c r="M55" i="1" a="1"/>
  <c r="M55" i="1" s="1"/>
  <c r="Q55" i="1" s="1" a="1"/>
  <c r="Q55" i="1" s="1"/>
  <c r="P56" i="1" s="1"/>
  <c r="A304" i="1"/>
  <c r="E232" i="1"/>
  <c r="G232" i="1" s="1" a="1"/>
  <c r="G232" i="1" s="1"/>
  <c r="D232" i="1"/>
  <c r="C232" i="1"/>
  <c r="B233" i="1"/>
  <c r="F231" i="1"/>
  <c r="K230" i="1" l="1"/>
  <c r="I231" i="1" a="1"/>
  <c r="I231" i="1" s="1"/>
  <c r="H231" i="1" a="1"/>
  <c r="H231" i="1" s="1"/>
  <c r="J231" i="1" s="1"/>
  <c r="D229" i="4"/>
  <c r="B228" i="4"/>
  <c r="S55" i="1" a="1"/>
  <c r="S55" i="1" s="1"/>
  <c r="V55" i="1" s="1"/>
  <c r="A305" i="1"/>
  <c r="E233" i="1"/>
  <c r="G233" i="1" s="1" a="1"/>
  <c r="G233" i="1" s="1"/>
  <c r="B234" i="1"/>
  <c r="C233" i="1"/>
  <c r="D233" i="1"/>
  <c r="F232" i="1"/>
  <c r="K231" i="1" l="1"/>
  <c r="I232" i="1" a="1"/>
  <c r="I232" i="1" s="1"/>
  <c r="H232" i="1" a="1"/>
  <c r="H232" i="1" s="1"/>
  <c r="J232" i="1" s="1"/>
  <c r="D230" i="4"/>
  <c r="B229" i="4"/>
  <c r="R56" i="1" a="1"/>
  <c r="R56" i="1" s="1"/>
  <c r="T56" i="1" s="1"/>
  <c r="A306" i="1"/>
  <c r="E234" i="1"/>
  <c r="G234" i="1" s="1" a="1"/>
  <c r="G234" i="1" s="1"/>
  <c r="C234" i="1"/>
  <c r="D234" i="1"/>
  <c r="B235" i="1"/>
  <c r="F233" i="1"/>
  <c r="K232" i="1" l="1"/>
  <c r="H233" i="1" a="1"/>
  <c r="H233" i="1" s="1"/>
  <c r="J233" i="1" s="1"/>
  <c r="I233" i="1" a="1"/>
  <c r="I233" i="1" s="1"/>
  <c r="D231" i="4"/>
  <c r="B230" i="4"/>
  <c r="O56" i="1" a="1"/>
  <c r="O56" i="1" s="1"/>
  <c r="N56" i="1" a="1"/>
  <c r="N56" i="1" s="1"/>
  <c r="A307" i="1"/>
  <c r="E235" i="1"/>
  <c r="G235" i="1" s="1" a="1"/>
  <c r="G235" i="1" s="1"/>
  <c r="C235" i="1"/>
  <c r="B236" i="1"/>
  <c r="D235" i="1"/>
  <c r="F234" i="1"/>
  <c r="L56" i="1" a="1"/>
  <c r="K233" i="1" l="1"/>
  <c r="I234" i="1" a="1"/>
  <c r="I234" i="1" s="1"/>
  <c r="H234" i="1" a="1"/>
  <c r="H234" i="1" s="1"/>
  <c r="J234" i="1" s="1"/>
  <c r="D232" i="4"/>
  <c r="B231" i="4"/>
  <c r="L56" i="1"/>
  <c r="A308" i="1"/>
  <c r="E236" i="1"/>
  <c r="G236" i="1" s="1" a="1"/>
  <c r="G236" i="1" s="1"/>
  <c r="C236" i="1"/>
  <c r="B237" i="1"/>
  <c r="D236" i="1"/>
  <c r="F235" i="1"/>
  <c r="K234" i="1" l="1"/>
  <c r="I235" i="1" a="1"/>
  <c r="I235" i="1" s="1"/>
  <c r="H235" i="1" a="1"/>
  <c r="H235" i="1" s="1"/>
  <c r="J235" i="1" s="1"/>
  <c r="D233" i="4"/>
  <c r="B232" i="4"/>
  <c r="M56" i="1" a="1"/>
  <c r="M56" i="1" s="1"/>
  <c r="Q56" i="1" s="1" a="1"/>
  <c r="Q56" i="1" s="1"/>
  <c r="P57" i="1" s="1"/>
  <c r="A309" i="1"/>
  <c r="E237" i="1"/>
  <c r="G237" i="1" s="1" a="1"/>
  <c r="G237" i="1" s="1"/>
  <c r="D237" i="1"/>
  <c r="B238" i="1"/>
  <c r="C237" i="1"/>
  <c r="F236" i="1"/>
  <c r="K235" i="1" l="1"/>
  <c r="I236" i="1" a="1"/>
  <c r="I236" i="1" s="1"/>
  <c r="H236" i="1" a="1"/>
  <c r="H236" i="1" s="1"/>
  <c r="J236" i="1" s="1"/>
  <c r="D234" i="4"/>
  <c r="B233" i="4"/>
  <c r="S56" i="1" a="1"/>
  <c r="S56" i="1" s="1"/>
  <c r="V56" i="1" s="1"/>
  <c r="A310" i="1"/>
  <c r="E238" i="1"/>
  <c r="G238" i="1" s="1" a="1"/>
  <c r="G238" i="1" s="1"/>
  <c r="D238" i="1"/>
  <c r="C238" i="1"/>
  <c r="B239" i="1"/>
  <c r="F237" i="1"/>
  <c r="K236" i="1" l="1"/>
  <c r="I237" i="1" a="1"/>
  <c r="I237" i="1" s="1"/>
  <c r="H237" i="1" a="1"/>
  <c r="H237" i="1" s="1"/>
  <c r="J237" i="1" s="1"/>
  <c r="D235" i="4"/>
  <c r="B234" i="4"/>
  <c r="R57" i="1" a="1"/>
  <c r="R57" i="1" s="1"/>
  <c r="T57" i="1" s="1"/>
  <c r="A311" i="1"/>
  <c r="F238" i="1"/>
  <c r="E239" i="1"/>
  <c r="G239" i="1" s="1" a="1"/>
  <c r="G239" i="1" s="1"/>
  <c r="D239" i="1"/>
  <c r="B240" i="1"/>
  <c r="C239" i="1"/>
  <c r="K237" i="1" l="1"/>
  <c r="I238" i="1" a="1"/>
  <c r="I238" i="1" s="1"/>
  <c r="H238" i="1" a="1"/>
  <c r="H238" i="1" s="1"/>
  <c r="J238" i="1" s="1"/>
  <c r="D236" i="4"/>
  <c r="B235" i="4"/>
  <c r="N57" i="1" a="1"/>
  <c r="N57" i="1" s="1"/>
  <c r="O57" i="1" a="1"/>
  <c r="O57" i="1" s="1"/>
  <c r="A312" i="1"/>
  <c r="E240" i="1"/>
  <c r="G240" i="1" s="1" a="1"/>
  <c r="G240" i="1" s="1"/>
  <c r="D240" i="1"/>
  <c r="B241" i="1"/>
  <c r="C240" i="1"/>
  <c r="F239" i="1"/>
  <c r="L57" i="1" a="1"/>
  <c r="K238" i="1" l="1"/>
  <c r="H239" i="1" a="1"/>
  <c r="H239" i="1" s="1"/>
  <c r="J239" i="1" s="1"/>
  <c r="I239" i="1" a="1"/>
  <c r="I239" i="1" s="1"/>
  <c r="D237" i="4"/>
  <c r="B236" i="4"/>
  <c r="L57" i="1"/>
  <c r="A313" i="1"/>
  <c r="E241" i="1"/>
  <c r="G241" i="1" s="1" a="1"/>
  <c r="G241" i="1" s="1"/>
  <c r="B242" i="1"/>
  <c r="C241" i="1"/>
  <c r="D241" i="1"/>
  <c r="F240" i="1"/>
  <c r="K239" i="1" l="1"/>
  <c r="H240" i="1" a="1"/>
  <c r="H240" i="1" s="1"/>
  <c r="J240" i="1" s="1"/>
  <c r="I240" i="1" a="1"/>
  <c r="I240" i="1" s="1"/>
  <c r="D238" i="4"/>
  <c r="B237" i="4"/>
  <c r="M57" i="1" a="1"/>
  <c r="M57" i="1" s="1"/>
  <c r="Q57" i="1" s="1" a="1"/>
  <c r="Q57" i="1" s="1"/>
  <c r="P58" i="1" s="1"/>
  <c r="A314" i="1"/>
  <c r="E242" i="1"/>
  <c r="G242" i="1" s="1" a="1"/>
  <c r="G242" i="1" s="1"/>
  <c r="B243" i="1"/>
  <c r="D242" i="1"/>
  <c r="C242" i="1"/>
  <c r="F241" i="1"/>
  <c r="K240" i="1" l="1"/>
  <c r="H241" i="1" a="1"/>
  <c r="H241" i="1" s="1"/>
  <c r="J241" i="1" s="1"/>
  <c r="I241" i="1" a="1"/>
  <c r="I241" i="1" s="1"/>
  <c r="D239" i="4"/>
  <c r="B238" i="4"/>
  <c r="S57" i="1" a="1"/>
  <c r="S57" i="1" s="1"/>
  <c r="V57" i="1" s="1"/>
  <c r="A315" i="1"/>
  <c r="E243" i="1"/>
  <c r="G243" i="1" s="1" a="1"/>
  <c r="G243" i="1" s="1"/>
  <c r="B244" i="1"/>
  <c r="D243" i="1"/>
  <c r="C243" i="1"/>
  <c r="F242" i="1"/>
  <c r="K241" i="1" l="1"/>
  <c r="I242" i="1" a="1"/>
  <c r="I242" i="1" s="1"/>
  <c r="H242" i="1" a="1"/>
  <c r="H242" i="1" s="1"/>
  <c r="J242" i="1" s="1"/>
  <c r="D240" i="4"/>
  <c r="B239" i="4"/>
  <c r="R58" i="1" a="1"/>
  <c r="R58" i="1" s="1"/>
  <c r="T58" i="1" s="1"/>
  <c r="A316" i="1"/>
  <c r="E244" i="1"/>
  <c r="G244" i="1" s="1" a="1"/>
  <c r="G244" i="1" s="1"/>
  <c r="D244" i="1"/>
  <c r="C244" i="1"/>
  <c r="B245" i="1"/>
  <c r="F243" i="1"/>
  <c r="K242" i="1" l="1"/>
  <c r="I243" i="1" a="1"/>
  <c r="I243" i="1" s="1"/>
  <c r="H243" i="1" a="1"/>
  <c r="H243" i="1" s="1"/>
  <c r="J243" i="1" s="1"/>
  <c r="D241" i="4"/>
  <c r="B240" i="4"/>
  <c r="N58" i="1" a="1"/>
  <c r="N58" i="1" s="1"/>
  <c r="O58" i="1" a="1"/>
  <c r="O58" i="1" s="1"/>
  <c r="A317" i="1"/>
  <c r="E245" i="1"/>
  <c r="G245" i="1" s="1" a="1"/>
  <c r="G245" i="1" s="1"/>
  <c r="C245" i="1"/>
  <c r="B246" i="1"/>
  <c r="D245" i="1"/>
  <c r="F244" i="1"/>
  <c r="L58" i="1" a="1"/>
  <c r="K243" i="1" l="1"/>
  <c r="I244" i="1" a="1"/>
  <c r="I244" i="1" s="1"/>
  <c r="H244" i="1" a="1"/>
  <c r="H244" i="1" s="1"/>
  <c r="J244" i="1" s="1"/>
  <c r="D242" i="4"/>
  <c r="B241" i="4"/>
  <c r="L58" i="1"/>
  <c r="A318" i="1"/>
  <c r="E246" i="1"/>
  <c r="G246" i="1" s="1" a="1"/>
  <c r="G246" i="1" s="1"/>
  <c r="D246" i="1"/>
  <c r="C246" i="1"/>
  <c r="B247" i="1"/>
  <c r="F245" i="1"/>
  <c r="K244" i="1" l="1"/>
  <c r="I245" i="1" a="1"/>
  <c r="I245" i="1" s="1"/>
  <c r="H245" i="1" a="1"/>
  <c r="H245" i="1" s="1"/>
  <c r="J245" i="1" s="1"/>
  <c r="D243" i="4"/>
  <c r="B242" i="4"/>
  <c r="M58" i="1" a="1"/>
  <c r="M58" i="1" s="1"/>
  <c r="Q58" i="1" s="1" a="1"/>
  <c r="Q58" i="1" s="1"/>
  <c r="P59" i="1" s="1"/>
  <c r="A319" i="1"/>
  <c r="E247" i="1"/>
  <c r="G247" i="1" s="1" a="1"/>
  <c r="G247" i="1" s="1"/>
  <c r="B248" i="1"/>
  <c r="D247" i="1"/>
  <c r="C247" i="1"/>
  <c r="F246" i="1"/>
  <c r="K245" i="1" l="1"/>
  <c r="H246" i="1" a="1"/>
  <c r="H246" i="1" s="1"/>
  <c r="J246" i="1" s="1"/>
  <c r="I246" i="1" a="1"/>
  <c r="I246" i="1" s="1"/>
  <c r="D244" i="4"/>
  <c r="B243" i="4"/>
  <c r="S58" i="1" a="1"/>
  <c r="S58" i="1" s="1"/>
  <c r="V58" i="1" s="1"/>
  <c r="A320" i="1"/>
  <c r="E248" i="1"/>
  <c r="G248" i="1" s="1" a="1"/>
  <c r="G248" i="1" s="1"/>
  <c r="B249" i="1"/>
  <c r="D248" i="1"/>
  <c r="C248" i="1"/>
  <c r="F247" i="1"/>
  <c r="K246" i="1" l="1"/>
  <c r="I247" i="1" a="1"/>
  <c r="I247" i="1" s="1"/>
  <c r="H247" i="1" a="1"/>
  <c r="H247" i="1" s="1"/>
  <c r="J247" i="1" s="1"/>
  <c r="D245" i="4"/>
  <c r="B244" i="4"/>
  <c r="R59" i="1" a="1"/>
  <c r="R59" i="1" s="1"/>
  <c r="T59" i="1" s="1"/>
  <c r="A321" i="1"/>
  <c r="E249" i="1"/>
  <c r="G249" i="1" s="1" a="1"/>
  <c r="G249" i="1" s="1"/>
  <c r="D249" i="1"/>
  <c r="C249" i="1"/>
  <c r="B250" i="1"/>
  <c r="F248" i="1"/>
  <c r="K247" i="1" l="1"/>
  <c r="H248" i="1" a="1"/>
  <c r="H248" i="1" s="1"/>
  <c r="J248" i="1" s="1"/>
  <c r="I248" i="1" a="1"/>
  <c r="I248" i="1" s="1"/>
  <c r="D246" i="4"/>
  <c r="B245" i="4"/>
  <c r="N59" i="1" a="1"/>
  <c r="N59" i="1" s="1"/>
  <c r="O59" i="1" a="1"/>
  <c r="O59" i="1" s="1"/>
  <c r="A322" i="1"/>
  <c r="E250" i="1"/>
  <c r="G250" i="1" s="1" a="1"/>
  <c r="G250" i="1" s="1"/>
  <c r="B251" i="1"/>
  <c r="D250" i="1"/>
  <c r="C250" i="1"/>
  <c r="F249" i="1"/>
  <c r="L59" i="1" a="1"/>
  <c r="K248" i="1" l="1"/>
  <c r="I249" i="1" a="1"/>
  <c r="I249" i="1" s="1"/>
  <c r="H249" i="1" a="1"/>
  <c r="H249" i="1" s="1"/>
  <c r="J249" i="1" s="1"/>
  <c r="D247" i="4"/>
  <c r="B246" i="4"/>
  <c r="L59" i="1"/>
  <c r="A323" i="1"/>
  <c r="E251" i="1"/>
  <c r="G251" i="1" s="1" a="1"/>
  <c r="G251" i="1" s="1"/>
  <c r="B252" i="1"/>
  <c r="D251" i="1"/>
  <c r="C251" i="1"/>
  <c r="F250" i="1"/>
  <c r="K249" i="1" l="1"/>
  <c r="H250" i="1" a="1"/>
  <c r="H250" i="1" s="1"/>
  <c r="J250" i="1" s="1"/>
  <c r="I250" i="1" a="1"/>
  <c r="I250" i="1" s="1"/>
  <c r="D248" i="4"/>
  <c r="B247" i="4"/>
  <c r="M59" i="1" a="1"/>
  <c r="M59" i="1" s="1"/>
  <c r="Q59" i="1" s="1" a="1"/>
  <c r="Q59" i="1" s="1"/>
  <c r="P60" i="1" s="1"/>
  <c r="A324" i="1"/>
  <c r="E252" i="1"/>
  <c r="G252" i="1" s="1" a="1"/>
  <c r="G252" i="1" s="1"/>
  <c r="C252" i="1"/>
  <c r="D252" i="1"/>
  <c r="B253" i="1"/>
  <c r="F251" i="1"/>
  <c r="K250" i="1" l="1"/>
  <c r="I251" i="1" a="1"/>
  <c r="I251" i="1" s="1"/>
  <c r="H251" i="1" a="1"/>
  <c r="H251" i="1" s="1"/>
  <c r="J251" i="1" s="1"/>
  <c r="D249" i="4"/>
  <c r="B248" i="4"/>
  <c r="S59" i="1" a="1"/>
  <c r="S59" i="1" s="1"/>
  <c r="V59" i="1" s="1"/>
  <c r="A325" i="1"/>
  <c r="E253" i="1"/>
  <c r="G253" i="1" s="1" a="1"/>
  <c r="G253" i="1" s="1"/>
  <c r="D253" i="1"/>
  <c r="B254" i="1"/>
  <c r="C253" i="1"/>
  <c r="F252" i="1"/>
  <c r="K251" i="1" l="1"/>
  <c r="I252" i="1" a="1"/>
  <c r="I252" i="1" s="1"/>
  <c r="H252" i="1" a="1"/>
  <c r="H252" i="1" s="1"/>
  <c r="J252" i="1" s="1"/>
  <c r="D250" i="4"/>
  <c r="B249" i="4"/>
  <c r="R60" i="1" a="1"/>
  <c r="R60" i="1" s="1"/>
  <c r="T60" i="1" s="1"/>
  <c r="A326" i="1"/>
  <c r="E254" i="1"/>
  <c r="G254" i="1" s="1" a="1"/>
  <c r="G254" i="1" s="1"/>
  <c r="B255" i="1"/>
  <c r="D254" i="1"/>
  <c r="C254" i="1"/>
  <c r="F253" i="1"/>
  <c r="K252" i="1" l="1"/>
  <c r="I253" i="1" a="1"/>
  <c r="I253" i="1" s="1"/>
  <c r="H253" i="1" a="1"/>
  <c r="H253" i="1" s="1"/>
  <c r="J253" i="1" s="1"/>
  <c r="D251" i="4"/>
  <c r="B250" i="4"/>
  <c r="O60" i="1" a="1"/>
  <c r="O60" i="1" s="1"/>
  <c r="N60" i="1" a="1"/>
  <c r="N60" i="1" s="1"/>
  <c r="A327" i="1"/>
  <c r="E255" i="1"/>
  <c r="G255" i="1" s="1" a="1"/>
  <c r="G255" i="1" s="1"/>
  <c r="B256" i="1"/>
  <c r="C255" i="1"/>
  <c r="D255" i="1"/>
  <c r="F254" i="1"/>
  <c r="L60" i="1" a="1"/>
  <c r="K253" i="1" l="1"/>
  <c r="I254" i="1" a="1"/>
  <c r="I254" i="1" s="1"/>
  <c r="H254" i="1" a="1"/>
  <c r="H254" i="1" s="1"/>
  <c r="J254" i="1" s="1"/>
  <c r="D252" i="4"/>
  <c r="B251" i="4"/>
  <c r="L60" i="1"/>
  <c r="A328" i="1"/>
  <c r="E256" i="1"/>
  <c r="G256" i="1" s="1" a="1"/>
  <c r="G256" i="1" s="1"/>
  <c r="D256" i="1"/>
  <c r="B257" i="1"/>
  <c r="C256" i="1"/>
  <c r="F255" i="1"/>
  <c r="K254" i="1" l="1"/>
  <c r="H255" i="1" a="1"/>
  <c r="H255" i="1" s="1"/>
  <c r="J255" i="1" s="1"/>
  <c r="I255" i="1" a="1"/>
  <c r="I255" i="1" s="1"/>
  <c r="D253" i="4"/>
  <c r="B252" i="4"/>
  <c r="M60" i="1" a="1"/>
  <c r="M60" i="1" s="1"/>
  <c r="Q60" i="1" s="1" a="1"/>
  <c r="Q60" i="1" s="1"/>
  <c r="P61" i="1" s="1"/>
  <c r="A329" i="1"/>
  <c r="E257" i="1"/>
  <c r="G257" i="1" s="1" a="1"/>
  <c r="G257" i="1" s="1"/>
  <c r="C257" i="1"/>
  <c r="B258" i="1"/>
  <c r="D257" i="1"/>
  <c r="F256" i="1"/>
  <c r="K255" i="1" l="1"/>
  <c r="H256" i="1" a="1"/>
  <c r="H256" i="1" s="1"/>
  <c r="J256" i="1" s="1"/>
  <c r="I256" i="1" a="1"/>
  <c r="I256" i="1" s="1"/>
  <c r="D254" i="4"/>
  <c r="B253" i="4"/>
  <c r="S60" i="1" a="1"/>
  <c r="S60" i="1" s="1"/>
  <c r="V60" i="1" s="1"/>
  <c r="A330" i="1"/>
  <c r="E258" i="1"/>
  <c r="G258" i="1" s="1" a="1"/>
  <c r="G258" i="1" s="1"/>
  <c r="B259" i="1"/>
  <c r="C258" i="1"/>
  <c r="D258" i="1"/>
  <c r="F257" i="1"/>
  <c r="K256" i="1" l="1"/>
  <c r="I257" i="1" a="1"/>
  <c r="I257" i="1" s="1"/>
  <c r="H257" i="1" a="1"/>
  <c r="H257" i="1" s="1"/>
  <c r="J257" i="1" s="1"/>
  <c r="D255" i="4"/>
  <c r="B254" i="4"/>
  <c r="R61" i="1" a="1"/>
  <c r="R61" i="1" s="1"/>
  <c r="T61" i="1" s="1"/>
  <c r="A331" i="1"/>
  <c r="E259" i="1"/>
  <c r="G259" i="1" s="1" a="1"/>
  <c r="G259" i="1" s="1"/>
  <c r="B260" i="1"/>
  <c r="D259" i="1"/>
  <c r="C259" i="1"/>
  <c r="F258" i="1"/>
  <c r="K257" i="1" l="1"/>
  <c r="H258" i="1" a="1"/>
  <c r="H258" i="1" s="1"/>
  <c r="J258" i="1" s="1"/>
  <c r="I258" i="1" a="1"/>
  <c r="I258" i="1" s="1"/>
  <c r="D256" i="4"/>
  <c r="B255" i="4"/>
  <c r="O61" i="1" a="1"/>
  <c r="O61" i="1" s="1"/>
  <c r="N61" i="1" a="1"/>
  <c r="N61" i="1" s="1"/>
  <c r="A332" i="1"/>
  <c r="E260" i="1"/>
  <c r="G260" i="1" s="1" a="1"/>
  <c r="G260" i="1" s="1"/>
  <c r="D260" i="1"/>
  <c r="B261" i="1"/>
  <c r="C260" i="1"/>
  <c r="F259" i="1"/>
  <c r="L61" i="1" a="1"/>
  <c r="K258" i="1" l="1"/>
  <c r="I259" i="1" a="1"/>
  <c r="I259" i="1" s="1"/>
  <c r="H259" i="1" a="1"/>
  <c r="H259" i="1" s="1"/>
  <c r="J259" i="1" s="1"/>
  <c r="D257" i="4"/>
  <c r="B256" i="4"/>
  <c r="L61" i="1"/>
  <c r="A333" i="1"/>
  <c r="E261" i="1"/>
  <c r="G261" i="1" s="1" a="1"/>
  <c r="G261" i="1" s="1"/>
  <c r="C261" i="1"/>
  <c r="D261" i="1"/>
  <c r="B262" i="1"/>
  <c r="F260" i="1"/>
  <c r="K259" i="1" l="1"/>
  <c r="I260" i="1" a="1"/>
  <c r="I260" i="1" s="1"/>
  <c r="H260" i="1" a="1"/>
  <c r="H260" i="1" s="1"/>
  <c r="J260" i="1" s="1"/>
  <c r="D258" i="4"/>
  <c r="B257" i="4"/>
  <c r="M61" i="1" a="1"/>
  <c r="M61" i="1" s="1"/>
  <c r="Q61" i="1" s="1" a="1"/>
  <c r="Q61" i="1" s="1"/>
  <c r="P62" i="1" s="1"/>
  <c r="A334" i="1"/>
  <c r="E262" i="1"/>
  <c r="G262" i="1" s="1" a="1"/>
  <c r="G262" i="1" s="1"/>
  <c r="C262" i="1"/>
  <c r="D262" i="1"/>
  <c r="B263" i="1"/>
  <c r="F261" i="1"/>
  <c r="K260" i="1" l="1"/>
  <c r="I261" i="1" a="1"/>
  <c r="I261" i="1" s="1"/>
  <c r="H261" i="1" a="1"/>
  <c r="H261" i="1" s="1"/>
  <c r="J261" i="1" s="1"/>
  <c r="D259" i="4"/>
  <c r="B258" i="4"/>
  <c r="S61" i="1" a="1"/>
  <c r="S61" i="1" s="1"/>
  <c r="V61" i="1" s="1"/>
  <c r="A335" i="1"/>
  <c r="E263" i="1"/>
  <c r="G263" i="1" s="1" a="1"/>
  <c r="G263" i="1" s="1"/>
  <c r="D263" i="1"/>
  <c r="B264" i="1"/>
  <c r="C263" i="1"/>
  <c r="F262" i="1"/>
  <c r="K261" i="1" l="1"/>
  <c r="I262" i="1" a="1"/>
  <c r="I262" i="1" s="1"/>
  <c r="H262" i="1" a="1"/>
  <c r="H262" i="1" s="1"/>
  <c r="J262" i="1" s="1"/>
  <c r="D260" i="4"/>
  <c r="B259" i="4"/>
  <c r="R62" i="1" a="1"/>
  <c r="R62" i="1" s="1"/>
  <c r="T62" i="1" s="1"/>
  <c r="A336" i="1"/>
  <c r="F263" i="1"/>
  <c r="E264" i="1"/>
  <c r="G264" i="1" s="1" a="1"/>
  <c r="G264" i="1" s="1"/>
  <c r="B265" i="1"/>
  <c r="C264" i="1"/>
  <c r="D264" i="1"/>
  <c r="K262" i="1" l="1"/>
  <c r="H263" i="1" a="1"/>
  <c r="H263" i="1" s="1"/>
  <c r="J263" i="1" s="1"/>
  <c r="I263" i="1" a="1"/>
  <c r="I263" i="1" s="1"/>
  <c r="D261" i="4"/>
  <c r="B260" i="4"/>
  <c r="N62" i="1" a="1"/>
  <c r="N62" i="1" s="1"/>
  <c r="O62" i="1" a="1"/>
  <c r="O62" i="1" s="1"/>
  <c r="A337" i="1"/>
  <c r="E265" i="1"/>
  <c r="G265" i="1" s="1" a="1"/>
  <c r="G265" i="1" s="1"/>
  <c r="C265" i="1"/>
  <c r="D265" i="1"/>
  <c r="B266" i="1"/>
  <c r="F264" i="1"/>
  <c r="L62" i="1" a="1"/>
  <c r="K263" i="1" l="1"/>
  <c r="I264" i="1" a="1"/>
  <c r="I264" i="1" s="1"/>
  <c r="H264" i="1" a="1"/>
  <c r="H264" i="1" s="1"/>
  <c r="J264" i="1" s="1"/>
  <c r="D262" i="4"/>
  <c r="B261" i="4"/>
  <c r="L62" i="1"/>
  <c r="A338" i="1"/>
  <c r="E266" i="1"/>
  <c r="G266" i="1" s="1" a="1"/>
  <c r="G266" i="1" s="1"/>
  <c r="D266" i="1"/>
  <c r="B267" i="1"/>
  <c r="C266" i="1"/>
  <c r="F265" i="1"/>
  <c r="K264" i="1" l="1"/>
  <c r="H265" i="1" a="1"/>
  <c r="H265" i="1" s="1"/>
  <c r="J265" i="1" s="1"/>
  <c r="I265" i="1" a="1"/>
  <c r="I265" i="1" s="1"/>
  <c r="D263" i="4"/>
  <c r="B262" i="4"/>
  <c r="M62" i="1" a="1"/>
  <c r="M62" i="1" s="1"/>
  <c r="Q62" i="1" s="1" a="1"/>
  <c r="Q62" i="1" s="1"/>
  <c r="P63" i="1" s="1"/>
  <c r="A339" i="1"/>
  <c r="E267" i="1"/>
  <c r="G267" i="1" s="1" a="1"/>
  <c r="G267" i="1" s="1"/>
  <c r="D267" i="1"/>
  <c r="C267" i="1"/>
  <c r="B268" i="1"/>
  <c r="F266" i="1"/>
  <c r="K265" i="1" l="1"/>
  <c r="I266" i="1" a="1"/>
  <c r="I266" i="1" s="1"/>
  <c r="H266" i="1" a="1"/>
  <c r="H266" i="1" s="1"/>
  <c r="J266" i="1" s="1"/>
  <c r="D264" i="4"/>
  <c r="B263" i="4"/>
  <c r="S62" i="1" a="1"/>
  <c r="S62" i="1" s="1"/>
  <c r="V62" i="1" s="1"/>
  <c r="A340" i="1"/>
  <c r="E268" i="1"/>
  <c r="G268" i="1" s="1" a="1"/>
  <c r="G268" i="1" s="1"/>
  <c r="C268" i="1"/>
  <c r="D268" i="1"/>
  <c r="B269" i="1"/>
  <c r="F267" i="1"/>
  <c r="K266" i="1" l="1"/>
  <c r="H267" i="1" a="1"/>
  <c r="H267" i="1" s="1"/>
  <c r="J267" i="1" s="1"/>
  <c r="I267" i="1" a="1"/>
  <c r="I267" i="1" s="1"/>
  <c r="D265" i="4"/>
  <c r="B264" i="4"/>
  <c r="R63" i="1" a="1"/>
  <c r="R63" i="1" s="1"/>
  <c r="T63" i="1" s="1"/>
  <c r="A341" i="1"/>
  <c r="E269" i="1"/>
  <c r="G269" i="1" s="1" a="1"/>
  <c r="G269" i="1" s="1"/>
  <c r="D269" i="1"/>
  <c r="C269" i="1"/>
  <c r="B270" i="1"/>
  <c r="F268" i="1"/>
  <c r="K267" i="1" l="1"/>
  <c r="I268" i="1" a="1"/>
  <c r="I268" i="1" s="1"/>
  <c r="H268" i="1" a="1"/>
  <c r="H268" i="1" s="1"/>
  <c r="J268" i="1" s="1"/>
  <c r="D266" i="4"/>
  <c r="B265" i="4"/>
  <c r="N63" i="1" a="1"/>
  <c r="N63" i="1" s="1"/>
  <c r="O63" i="1" a="1"/>
  <c r="O63" i="1" s="1"/>
  <c r="A342" i="1"/>
  <c r="E270" i="1"/>
  <c r="G270" i="1" s="1" a="1"/>
  <c r="G270" i="1" s="1"/>
  <c r="C270" i="1"/>
  <c r="B271" i="1"/>
  <c r="D270" i="1"/>
  <c r="F269" i="1"/>
  <c r="L63" i="1" a="1"/>
  <c r="K268" i="1" l="1"/>
  <c r="I269" i="1" a="1"/>
  <c r="I269" i="1" s="1"/>
  <c r="H269" i="1" a="1"/>
  <c r="H269" i="1" s="1"/>
  <c r="J269" i="1" s="1"/>
  <c r="D267" i="4"/>
  <c r="B266" i="4"/>
  <c r="L63" i="1"/>
  <c r="A343" i="1"/>
  <c r="E271" i="1"/>
  <c r="G271" i="1" s="1" a="1"/>
  <c r="G271" i="1" s="1"/>
  <c r="B272" i="1"/>
  <c r="D271" i="1"/>
  <c r="C271" i="1"/>
  <c r="F270" i="1"/>
  <c r="K269" i="1" l="1"/>
  <c r="H270" i="1" a="1"/>
  <c r="H270" i="1" s="1"/>
  <c r="J270" i="1" s="1"/>
  <c r="I270" i="1" a="1"/>
  <c r="I270" i="1" s="1"/>
  <c r="D268" i="4"/>
  <c r="B267" i="4"/>
  <c r="M63" i="1" a="1"/>
  <c r="M63" i="1" s="1"/>
  <c r="Q63" i="1" s="1" a="1"/>
  <c r="Q63" i="1" s="1"/>
  <c r="P64" i="1" s="1"/>
  <c r="A344" i="1"/>
  <c r="E272" i="1"/>
  <c r="G272" i="1" s="1" a="1"/>
  <c r="G272" i="1" s="1"/>
  <c r="D272" i="1"/>
  <c r="B273" i="1"/>
  <c r="C272" i="1"/>
  <c r="F271" i="1"/>
  <c r="K270" i="1" l="1"/>
  <c r="I271" i="1" a="1"/>
  <c r="I271" i="1" s="1"/>
  <c r="H271" i="1" a="1"/>
  <c r="H271" i="1" s="1"/>
  <c r="J271" i="1" s="1"/>
  <c r="D269" i="4"/>
  <c r="B268" i="4"/>
  <c r="S63" i="1" a="1"/>
  <c r="S63" i="1" s="1"/>
  <c r="V63" i="1" s="1"/>
  <c r="A345" i="1"/>
  <c r="E273" i="1"/>
  <c r="G273" i="1" s="1" a="1"/>
  <c r="G273" i="1" s="1"/>
  <c r="B274" i="1"/>
  <c r="D273" i="1"/>
  <c r="C273" i="1"/>
  <c r="F272" i="1"/>
  <c r="K271" i="1" l="1"/>
  <c r="I272" i="1" a="1"/>
  <c r="I272" i="1" s="1"/>
  <c r="H272" i="1" a="1"/>
  <c r="H272" i="1" s="1"/>
  <c r="J272" i="1" s="1"/>
  <c r="D270" i="4"/>
  <c r="B269" i="4"/>
  <c r="R64" i="1" a="1"/>
  <c r="R64" i="1" s="1"/>
  <c r="T64" i="1" s="1"/>
  <c r="A346" i="1"/>
  <c r="E274" i="1"/>
  <c r="G274" i="1" s="1" a="1"/>
  <c r="G274" i="1" s="1"/>
  <c r="B275" i="1"/>
  <c r="D274" i="1"/>
  <c r="C274" i="1"/>
  <c r="F273" i="1"/>
  <c r="K272" i="1" l="1"/>
  <c r="H273" i="1" a="1"/>
  <c r="H273" i="1" s="1"/>
  <c r="J273" i="1" s="1"/>
  <c r="I273" i="1" a="1"/>
  <c r="I273" i="1" s="1"/>
  <c r="D271" i="4"/>
  <c r="B270" i="4"/>
  <c r="N64" i="1" a="1"/>
  <c r="N64" i="1" s="1"/>
  <c r="O64" i="1" a="1"/>
  <c r="O64" i="1" s="1"/>
  <c r="A347" i="1"/>
  <c r="E275" i="1"/>
  <c r="G275" i="1" s="1" a="1"/>
  <c r="G275" i="1" s="1"/>
  <c r="B276" i="1"/>
  <c r="D275" i="1"/>
  <c r="C275" i="1"/>
  <c r="F274" i="1"/>
  <c r="L64" i="1" a="1"/>
  <c r="K273" i="1" l="1"/>
  <c r="H274" i="1" a="1"/>
  <c r="H274" i="1" s="1"/>
  <c r="J274" i="1" s="1"/>
  <c r="I274" i="1" a="1"/>
  <c r="I274" i="1" s="1"/>
  <c r="D272" i="4"/>
  <c r="B271" i="4"/>
  <c r="L64" i="1"/>
  <c r="A348" i="1"/>
  <c r="E276" i="1"/>
  <c r="G276" i="1" s="1" a="1"/>
  <c r="G276" i="1" s="1"/>
  <c r="C276" i="1"/>
  <c r="D276" i="1"/>
  <c r="B277" i="1"/>
  <c r="F275" i="1"/>
  <c r="K274" i="1" l="1"/>
  <c r="H275" i="1" a="1"/>
  <c r="H275" i="1" s="1"/>
  <c r="J275" i="1" s="1"/>
  <c r="I275" i="1" a="1"/>
  <c r="I275" i="1" s="1"/>
  <c r="D273" i="4"/>
  <c r="B272" i="4"/>
  <c r="M64" i="1" a="1"/>
  <c r="M64" i="1" s="1"/>
  <c r="Q64" i="1" s="1" a="1"/>
  <c r="Q64" i="1" s="1"/>
  <c r="P65" i="1" s="1"/>
  <c r="A349" i="1"/>
  <c r="E277" i="1"/>
  <c r="G277" i="1" s="1" a="1"/>
  <c r="G277" i="1" s="1"/>
  <c r="C277" i="1"/>
  <c r="B278" i="1"/>
  <c r="D277" i="1"/>
  <c r="F276" i="1"/>
  <c r="K275" i="1" l="1"/>
  <c r="I276" i="1" a="1"/>
  <c r="I276" i="1" s="1"/>
  <c r="H276" i="1" a="1"/>
  <c r="H276" i="1" s="1"/>
  <c r="J276" i="1" s="1"/>
  <c r="D274" i="4"/>
  <c r="B273" i="4"/>
  <c r="S64" i="1" a="1"/>
  <c r="S64" i="1" s="1"/>
  <c r="V64" i="1" s="1"/>
  <c r="A350" i="1"/>
  <c r="E278" i="1"/>
  <c r="G278" i="1" s="1" a="1"/>
  <c r="G278" i="1" s="1"/>
  <c r="D278" i="1"/>
  <c r="B279" i="1"/>
  <c r="C278" i="1"/>
  <c r="F277" i="1"/>
  <c r="K276" i="1" l="1"/>
  <c r="I277" i="1" a="1"/>
  <c r="I277" i="1" s="1"/>
  <c r="H277" i="1" a="1"/>
  <c r="H277" i="1" s="1"/>
  <c r="J277" i="1" s="1"/>
  <c r="D275" i="4"/>
  <c r="B274" i="4"/>
  <c r="R65" i="1" a="1"/>
  <c r="R65" i="1" s="1"/>
  <c r="T65" i="1" s="1"/>
  <c r="A351" i="1"/>
  <c r="E279" i="1"/>
  <c r="G279" i="1" s="1" a="1"/>
  <c r="G279" i="1" s="1"/>
  <c r="B280" i="1"/>
  <c r="D279" i="1"/>
  <c r="C279" i="1"/>
  <c r="F278" i="1"/>
  <c r="K277" i="1" l="1"/>
  <c r="H278" i="1" a="1"/>
  <c r="H278" i="1" s="1"/>
  <c r="J278" i="1" s="1"/>
  <c r="I278" i="1" a="1"/>
  <c r="I278" i="1" s="1"/>
  <c r="D276" i="4"/>
  <c r="B275" i="4"/>
  <c r="O65" i="1" a="1"/>
  <c r="O65" i="1" s="1"/>
  <c r="N65" i="1" a="1"/>
  <c r="N65" i="1" s="1"/>
  <c r="A352" i="1"/>
  <c r="E280" i="1"/>
  <c r="G280" i="1" s="1" a="1"/>
  <c r="G280" i="1" s="1"/>
  <c r="B281" i="1"/>
  <c r="C280" i="1"/>
  <c r="D280" i="1"/>
  <c r="F279" i="1"/>
  <c r="L65" i="1" a="1"/>
  <c r="K278" i="1" l="1"/>
  <c r="I279" i="1" a="1"/>
  <c r="I279" i="1" s="1"/>
  <c r="H279" i="1" a="1"/>
  <c r="H279" i="1" s="1"/>
  <c r="J279" i="1" s="1"/>
  <c r="D277" i="4"/>
  <c r="B276" i="4"/>
  <c r="L65" i="1"/>
  <c r="A353" i="1"/>
  <c r="E281" i="1"/>
  <c r="G281" i="1" s="1" a="1"/>
  <c r="G281" i="1" s="1"/>
  <c r="C281" i="1"/>
  <c r="B282" i="1"/>
  <c r="D281" i="1"/>
  <c r="F280" i="1"/>
  <c r="K279" i="1" l="1"/>
  <c r="H280" i="1" a="1"/>
  <c r="H280" i="1" s="1"/>
  <c r="J280" i="1" s="1"/>
  <c r="I280" i="1" a="1"/>
  <c r="I280" i="1" s="1"/>
  <c r="D278" i="4"/>
  <c r="B277" i="4"/>
  <c r="M65" i="1" a="1"/>
  <c r="M65" i="1" s="1"/>
  <c r="Q65" i="1" s="1" a="1"/>
  <c r="Q65" i="1" s="1"/>
  <c r="P66" i="1" s="1"/>
  <c r="A354" i="1"/>
  <c r="E282" i="1"/>
  <c r="G282" i="1" s="1" a="1"/>
  <c r="G282" i="1" s="1"/>
  <c r="D282" i="1"/>
  <c r="B283" i="1"/>
  <c r="C282" i="1"/>
  <c r="F281" i="1"/>
  <c r="K280" i="1" l="1"/>
  <c r="H281" i="1" a="1"/>
  <c r="H281" i="1" s="1"/>
  <c r="J281" i="1" s="1"/>
  <c r="I281" i="1" a="1"/>
  <c r="I281" i="1" s="1"/>
  <c r="D279" i="4"/>
  <c r="B278" i="4"/>
  <c r="S65" i="1" a="1"/>
  <c r="S65" i="1" s="1"/>
  <c r="V65" i="1" s="1"/>
  <c r="A355" i="1"/>
  <c r="E283" i="1"/>
  <c r="G283" i="1" s="1" a="1"/>
  <c r="G283" i="1" s="1"/>
  <c r="B284" i="1"/>
  <c r="C283" i="1"/>
  <c r="D283" i="1"/>
  <c r="F282" i="1"/>
  <c r="K281" i="1" l="1"/>
  <c r="H282" i="1" a="1"/>
  <c r="H282" i="1" s="1"/>
  <c r="J282" i="1" s="1"/>
  <c r="I282" i="1" a="1"/>
  <c r="I282" i="1" s="1"/>
  <c r="D280" i="4"/>
  <c r="B279" i="4"/>
  <c r="R66" i="1" a="1"/>
  <c r="R66" i="1" s="1"/>
  <c r="T66" i="1" s="1"/>
  <c r="A356" i="1"/>
  <c r="E284" i="1"/>
  <c r="G284" i="1" s="1" a="1"/>
  <c r="G284" i="1" s="1"/>
  <c r="D284" i="1"/>
  <c r="B285" i="1"/>
  <c r="C284" i="1"/>
  <c r="F283" i="1"/>
  <c r="K282" i="1" l="1"/>
  <c r="H283" i="1" a="1"/>
  <c r="H283" i="1" s="1"/>
  <c r="J283" i="1" s="1"/>
  <c r="I283" i="1" a="1"/>
  <c r="I283" i="1" s="1"/>
  <c r="D281" i="4"/>
  <c r="B280" i="4"/>
  <c r="N66" i="1" a="1"/>
  <c r="N66" i="1" s="1"/>
  <c r="O66" i="1" a="1"/>
  <c r="O66" i="1" s="1"/>
  <c r="A357" i="1"/>
  <c r="E285" i="1"/>
  <c r="G285" i="1" s="1" a="1"/>
  <c r="G285" i="1" s="1"/>
  <c r="B286" i="1"/>
  <c r="D285" i="1"/>
  <c r="C285" i="1"/>
  <c r="F284" i="1"/>
  <c r="L66" i="1" a="1"/>
  <c r="K283" i="1" l="1"/>
  <c r="I284" i="1" a="1"/>
  <c r="I284" i="1" s="1"/>
  <c r="H284" i="1" a="1"/>
  <c r="H284" i="1" s="1"/>
  <c r="J284" i="1" s="1"/>
  <c r="D282" i="4"/>
  <c r="B281" i="4"/>
  <c r="L66" i="1"/>
  <c r="A358" i="1"/>
  <c r="E286" i="1"/>
  <c r="G286" i="1" s="1" a="1"/>
  <c r="G286" i="1" s="1"/>
  <c r="D286" i="1"/>
  <c r="B287" i="1"/>
  <c r="C286" i="1"/>
  <c r="F285" i="1"/>
  <c r="K284" i="1" l="1"/>
  <c r="I285" i="1" a="1"/>
  <c r="I285" i="1" s="1"/>
  <c r="H285" i="1" a="1"/>
  <c r="H285" i="1" s="1"/>
  <c r="J285" i="1" s="1"/>
  <c r="D283" i="4"/>
  <c r="B282" i="4"/>
  <c r="M66" i="1" a="1"/>
  <c r="M66" i="1" s="1"/>
  <c r="Q66" i="1" s="1" a="1"/>
  <c r="Q66" i="1" s="1"/>
  <c r="P67" i="1" s="1"/>
  <c r="A359" i="1"/>
  <c r="E287" i="1"/>
  <c r="G287" i="1" s="1" a="1"/>
  <c r="G287" i="1" s="1"/>
  <c r="B288" i="1"/>
  <c r="C287" i="1"/>
  <c r="D287" i="1"/>
  <c r="F286" i="1"/>
  <c r="K285" i="1" l="1"/>
  <c r="I286" i="1" a="1"/>
  <c r="I286" i="1" s="1"/>
  <c r="H286" i="1" a="1"/>
  <c r="H286" i="1" s="1"/>
  <c r="J286" i="1" s="1"/>
  <c r="D284" i="4"/>
  <c r="B283" i="4"/>
  <c r="S66" i="1" a="1"/>
  <c r="S66" i="1" s="1"/>
  <c r="V66" i="1" s="1"/>
  <c r="A360" i="1"/>
  <c r="E288" i="1"/>
  <c r="G288" i="1" s="1" a="1"/>
  <c r="G288" i="1" s="1"/>
  <c r="D288" i="1"/>
  <c r="B289" i="1"/>
  <c r="C288" i="1"/>
  <c r="F287" i="1"/>
  <c r="K286" i="1" l="1"/>
  <c r="I287" i="1" a="1"/>
  <c r="I287" i="1" s="1"/>
  <c r="H287" i="1" a="1"/>
  <c r="H287" i="1" s="1"/>
  <c r="J287" i="1" s="1"/>
  <c r="D285" i="4"/>
  <c r="B284" i="4"/>
  <c r="R67" i="1" a="1"/>
  <c r="R67" i="1" s="1"/>
  <c r="T67" i="1" s="1"/>
  <c r="A361" i="1"/>
  <c r="E289" i="1"/>
  <c r="G289" i="1" s="1" a="1"/>
  <c r="G289" i="1" s="1"/>
  <c r="B290" i="1"/>
  <c r="C289" i="1"/>
  <c r="D289" i="1"/>
  <c r="F288" i="1"/>
  <c r="K287" i="1" l="1"/>
  <c r="H288" i="1" a="1"/>
  <c r="H288" i="1" s="1"/>
  <c r="J288" i="1" s="1"/>
  <c r="I288" i="1" a="1"/>
  <c r="I288" i="1" s="1"/>
  <c r="D286" i="4"/>
  <c r="B285" i="4"/>
  <c r="O67" i="1" a="1"/>
  <c r="O67" i="1" s="1"/>
  <c r="N67" i="1" a="1"/>
  <c r="N67" i="1" s="1"/>
  <c r="A362" i="1"/>
  <c r="E290" i="1"/>
  <c r="G290" i="1" s="1" a="1"/>
  <c r="G290" i="1" s="1"/>
  <c r="B291" i="1"/>
  <c r="D290" i="1"/>
  <c r="C290" i="1"/>
  <c r="F289" i="1"/>
  <c r="L67" i="1" a="1"/>
  <c r="K288" i="1" l="1"/>
  <c r="H289" i="1" a="1"/>
  <c r="H289" i="1" s="1"/>
  <c r="J289" i="1" s="1"/>
  <c r="I289" i="1" a="1"/>
  <c r="I289" i="1" s="1"/>
  <c r="D287" i="4"/>
  <c r="B286" i="4"/>
  <c r="L67" i="1"/>
  <c r="A363" i="1"/>
  <c r="E291" i="1"/>
  <c r="G291" i="1" s="1" a="1"/>
  <c r="G291" i="1" s="1"/>
  <c r="D291" i="1"/>
  <c r="B292" i="1"/>
  <c r="C291" i="1"/>
  <c r="F290" i="1"/>
  <c r="K289" i="1" l="1"/>
  <c r="H290" i="1" a="1"/>
  <c r="H290" i="1" s="1"/>
  <c r="J290" i="1" s="1"/>
  <c r="I290" i="1" a="1"/>
  <c r="I290" i="1" s="1"/>
  <c r="D288" i="4"/>
  <c r="B287" i="4"/>
  <c r="M67" i="1" a="1"/>
  <c r="M67" i="1" s="1"/>
  <c r="Q67" i="1" s="1" a="1"/>
  <c r="Q67" i="1" s="1"/>
  <c r="P68" i="1" s="1"/>
  <c r="A364" i="1"/>
  <c r="E292" i="1"/>
  <c r="G292" i="1" s="1" a="1"/>
  <c r="G292" i="1" s="1"/>
  <c r="B293" i="1"/>
  <c r="D292" i="1"/>
  <c r="C292" i="1"/>
  <c r="F291" i="1"/>
  <c r="K290" i="1" l="1"/>
  <c r="H291" i="1" a="1"/>
  <c r="H291" i="1" s="1"/>
  <c r="J291" i="1" s="1"/>
  <c r="I291" i="1" a="1"/>
  <c r="I291" i="1" s="1"/>
  <c r="D289" i="4"/>
  <c r="B288" i="4"/>
  <c r="S67" i="1" a="1"/>
  <c r="S67" i="1" s="1"/>
  <c r="V67" i="1" s="1"/>
  <c r="A365" i="1"/>
  <c r="E293" i="1"/>
  <c r="G293" i="1" s="1" a="1"/>
  <c r="G293" i="1" s="1"/>
  <c r="B294" i="1"/>
  <c r="C293" i="1"/>
  <c r="D293" i="1"/>
  <c r="F292" i="1"/>
  <c r="K291" i="1" l="1"/>
  <c r="I292" i="1" a="1"/>
  <c r="I292" i="1" s="1"/>
  <c r="H292" i="1" a="1"/>
  <c r="H292" i="1" s="1"/>
  <c r="J292" i="1" s="1"/>
  <c r="D290" i="4"/>
  <c r="B289" i="4"/>
  <c r="R68" i="1" a="1"/>
  <c r="R68" i="1" s="1"/>
  <c r="T68" i="1" s="1"/>
  <c r="A366" i="1"/>
  <c r="E294" i="1"/>
  <c r="G294" i="1" s="1" a="1"/>
  <c r="G294" i="1" s="1"/>
  <c r="B295" i="1"/>
  <c r="D294" i="1"/>
  <c r="C294" i="1"/>
  <c r="F293" i="1"/>
  <c r="K292" i="1" l="1"/>
  <c r="I293" i="1" a="1"/>
  <c r="I293" i="1" s="1"/>
  <c r="H293" i="1" a="1"/>
  <c r="H293" i="1" s="1"/>
  <c r="J293" i="1" s="1"/>
  <c r="D291" i="4"/>
  <c r="B290" i="4"/>
  <c r="N68" i="1" a="1"/>
  <c r="N68" i="1" s="1"/>
  <c r="O68" i="1" a="1"/>
  <c r="O68" i="1" s="1"/>
  <c r="A367" i="1"/>
  <c r="E295" i="1"/>
  <c r="G295" i="1" s="1" a="1"/>
  <c r="G295" i="1" s="1"/>
  <c r="B296" i="1"/>
  <c r="D295" i="1"/>
  <c r="C295" i="1"/>
  <c r="F294" i="1"/>
  <c r="L68" i="1" a="1"/>
  <c r="K293" i="1" l="1"/>
  <c r="H294" i="1" a="1"/>
  <c r="H294" i="1" s="1"/>
  <c r="J294" i="1" s="1"/>
  <c r="I294" i="1" a="1"/>
  <c r="I294" i="1" s="1"/>
  <c r="D292" i="4"/>
  <c r="B291" i="4"/>
  <c r="L68" i="1"/>
  <c r="A368" i="1"/>
  <c r="E296" i="1"/>
  <c r="G296" i="1" s="1" a="1"/>
  <c r="G296" i="1" s="1"/>
  <c r="B297" i="1"/>
  <c r="C296" i="1"/>
  <c r="D296" i="1"/>
  <c r="F295" i="1"/>
  <c r="K294" i="1" l="1"/>
  <c r="I295" i="1" a="1"/>
  <c r="I295" i="1" s="1"/>
  <c r="H295" i="1" a="1"/>
  <c r="H295" i="1" s="1"/>
  <c r="J295" i="1" s="1"/>
  <c r="D293" i="4"/>
  <c r="B292" i="4"/>
  <c r="M68" i="1" a="1"/>
  <c r="M68" i="1" s="1"/>
  <c r="Q68" i="1" s="1" a="1"/>
  <c r="Q68" i="1" s="1"/>
  <c r="P69" i="1" s="1"/>
  <c r="A369" i="1"/>
  <c r="E297" i="1"/>
  <c r="G297" i="1" s="1" a="1"/>
  <c r="G297" i="1" s="1"/>
  <c r="C297" i="1"/>
  <c r="B298" i="1"/>
  <c r="D297" i="1"/>
  <c r="F296" i="1"/>
  <c r="K295" i="1" l="1"/>
  <c r="I296" i="1" a="1"/>
  <c r="I296" i="1" s="1"/>
  <c r="H296" i="1" a="1"/>
  <c r="H296" i="1" s="1"/>
  <c r="J296" i="1" s="1"/>
  <c r="D294" i="4"/>
  <c r="B293" i="4"/>
  <c r="S68" i="1" a="1"/>
  <c r="S68" i="1" s="1"/>
  <c r="V68" i="1" s="1"/>
  <c r="A370" i="1"/>
  <c r="E298" i="1"/>
  <c r="G298" i="1" s="1" a="1"/>
  <c r="G298" i="1" s="1"/>
  <c r="C298" i="1"/>
  <c r="D298" i="1"/>
  <c r="B299" i="1"/>
  <c r="F297" i="1"/>
  <c r="K296" i="1" l="1"/>
  <c r="I297" i="1" a="1"/>
  <c r="I297" i="1" s="1"/>
  <c r="H297" i="1" a="1"/>
  <c r="H297" i="1" s="1"/>
  <c r="J297" i="1" s="1"/>
  <c r="D295" i="4"/>
  <c r="B294" i="4"/>
  <c r="R69" i="1" a="1"/>
  <c r="R69" i="1" s="1"/>
  <c r="T69" i="1" s="1"/>
  <c r="A371" i="1"/>
  <c r="E299" i="1"/>
  <c r="G299" i="1" s="1" a="1"/>
  <c r="G299" i="1" s="1"/>
  <c r="C299" i="1"/>
  <c r="B300" i="1"/>
  <c r="D299" i="1"/>
  <c r="F298" i="1"/>
  <c r="K297" i="1" l="1"/>
  <c r="H298" i="1" a="1"/>
  <c r="H298" i="1" s="1"/>
  <c r="J298" i="1" s="1"/>
  <c r="I298" i="1" a="1"/>
  <c r="I298" i="1" s="1"/>
  <c r="D296" i="4"/>
  <c r="B295" i="4"/>
  <c r="N69" i="1" a="1"/>
  <c r="N69" i="1" s="1"/>
  <c r="O69" i="1" a="1"/>
  <c r="O69" i="1" s="1"/>
  <c r="A372" i="1"/>
  <c r="E300" i="1"/>
  <c r="G300" i="1" s="1" a="1"/>
  <c r="G300" i="1" s="1"/>
  <c r="B301" i="1"/>
  <c r="C300" i="1"/>
  <c r="D300" i="1"/>
  <c r="F299" i="1"/>
  <c r="L69" i="1" a="1"/>
  <c r="K298" i="1" l="1"/>
  <c r="H299" i="1" a="1"/>
  <c r="H299" i="1" s="1"/>
  <c r="J299" i="1" s="1"/>
  <c r="I299" i="1" a="1"/>
  <c r="I299" i="1" s="1"/>
  <c r="D297" i="4"/>
  <c r="B296" i="4"/>
  <c r="L69" i="1"/>
  <c r="A373" i="1"/>
  <c r="E301" i="1"/>
  <c r="G301" i="1" s="1" a="1"/>
  <c r="G301" i="1" s="1"/>
  <c r="D301" i="1"/>
  <c r="B302" i="1"/>
  <c r="C301" i="1"/>
  <c r="F300" i="1"/>
  <c r="K299" i="1" l="1"/>
  <c r="I300" i="1" a="1"/>
  <c r="I300" i="1" s="1"/>
  <c r="H300" i="1" a="1"/>
  <c r="H300" i="1" s="1"/>
  <c r="J300" i="1" s="1"/>
  <c r="D298" i="4"/>
  <c r="B297" i="4"/>
  <c r="M69" i="1" a="1"/>
  <c r="M69" i="1" s="1"/>
  <c r="Q69" i="1" s="1" a="1"/>
  <c r="Q69" i="1" s="1"/>
  <c r="P70" i="1" s="1"/>
  <c r="A374" i="1"/>
  <c r="E302" i="1"/>
  <c r="G302" i="1" s="1" a="1"/>
  <c r="G302" i="1" s="1"/>
  <c r="D302" i="1"/>
  <c r="B303" i="1"/>
  <c r="C302" i="1"/>
  <c r="F301" i="1"/>
  <c r="K300" i="1" l="1"/>
  <c r="I301" i="1" a="1"/>
  <c r="I301" i="1" s="1"/>
  <c r="H301" i="1" a="1"/>
  <c r="H301" i="1" s="1"/>
  <c r="J301" i="1" s="1"/>
  <c r="D299" i="4"/>
  <c r="B298" i="4"/>
  <c r="S69" i="1" a="1"/>
  <c r="S69" i="1" s="1"/>
  <c r="V69" i="1" s="1"/>
  <c r="A375" i="1"/>
  <c r="E303" i="1"/>
  <c r="G303" i="1" s="1" a="1"/>
  <c r="G303" i="1" s="1"/>
  <c r="B304" i="1"/>
  <c r="C303" i="1"/>
  <c r="D303" i="1"/>
  <c r="F302" i="1"/>
  <c r="K301" i="1" l="1"/>
  <c r="H302" i="1" a="1"/>
  <c r="H302" i="1" s="1"/>
  <c r="J302" i="1" s="1"/>
  <c r="I302" i="1" a="1"/>
  <c r="I302" i="1" s="1"/>
  <c r="D300" i="4"/>
  <c r="B299" i="4"/>
  <c r="R70" i="1" a="1"/>
  <c r="R70" i="1" s="1"/>
  <c r="T70" i="1" s="1"/>
  <c r="A376" i="1"/>
  <c r="E304" i="1"/>
  <c r="G304" i="1" s="1" a="1"/>
  <c r="G304" i="1" s="1"/>
  <c r="C304" i="1"/>
  <c r="D304" i="1"/>
  <c r="B305" i="1"/>
  <c r="F303" i="1"/>
  <c r="K302" i="1" l="1"/>
  <c r="I303" i="1" a="1"/>
  <c r="I303" i="1" s="1"/>
  <c r="H303" i="1" a="1"/>
  <c r="H303" i="1" s="1"/>
  <c r="J303" i="1" s="1"/>
  <c r="D301" i="4"/>
  <c r="B300" i="4"/>
  <c r="O70" i="1" a="1"/>
  <c r="O70" i="1" s="1"/>
  <c r="N70" i="1" a="1"/>
  <c r="N70" i="1" s="1"/>
  <c r="A377" i="1"/>
  <c r="E305" i="1"/>
  <c r="G305" i="1" s="1" a="1"/>
  <c r="G305" i="1" s="1"/>
  <c r="B306" i="1"/>
  <c r="D305" i="1"/>
  <c r="C305" i="1"/>
  <c r="F304" i="1"/>
  <c r="L70" i="1" a="1"/>
  <c r="K303" i="1" l="1"/>
  <c r="I304" i="1" a="1"/>
  <c r="I304" i="1" s="1"/>
  <c r="H304" i="1" a="1"/>
  <c r="H304" i="1" s="1"/>
  <c r="J304" i="1" s="1"/>
  <c r="D302" i="4"/>
  <c r="B301" i="4"/>
  <c r="L70" i="1"/>
  <c r="A378" i="1"/>
  <c r="E306" i="1"/>
  <c r="G306" i="1" s="1" a="1"/>
  <c r="G306" i="1" s="1"/>
  <c r="B307" i="1"/>
  <c r="C306" i="1"/>
  <c r="D306" i="1"/>
  <c r="F305" i="1"/>
  <c r="K304" i="1" l="1"/>
  <c r="I305" i="1" a="1"/>
  <c r="I305" i="1" s="1"/>
  <c r="H305" i="1" a="1"/>
  <c r="H305" i="1" s="1"/>
  <c r="J305" i="1" s="1"/>
  <c r="D303" i="4"/>
  <c r="B302" i="4"/>
  <c r="M70" i="1" a="1"/>
  <c r="M70" i="1" s="1"/>
  <c r="Q70" i="1" s="1" a="1"/>
  <c r="Q70" i="1" s="1"/>
  <c r="P71" i="1" s="1"/>
  <c r="A379" i="1"/>
  <c r="F306" i="1"/>
  <c r="E307" i="1"/>
  <c r="G307" i="1" s="1" a="1"/>
  <c r="G307" i="1" s="1"/>
  <c r="D307" i="1"/>
  <c r="C307" i="1"/>
  <c r="B308" i="1"/>
  <c r="K305" i="1" l="1"/>
  <c r="I306" i="1" a="1"/>
  <c r="I306" i="1" s="1"/>
  <c r="H306" i="1" a="1"/>
  <c r="H306" i="1" s="1"/>
  <c r="J306" i="1" s="1"/>
  <c r="D304" i="4"/>
  <c r="B303" i="4"/>
  <c r="S70" i="1" a="1"/>
  <c r="S70" i="1" s="1"/>
  <c r="V70" i="1" s="1"/>
  <c r="A380" i="1"/>
  <c r="E308" i="1"/>
  <c r="G308" i="1" s="1" a="1"/>
  <c r="G308" i="1" s="1"/>
  <c r="C308" i="1"/>
  <c r="B309" i="1"/>
  <c r="D308" i="1"/>
  <c r="F307" i="1"/>
  <c r="K306" i="1" l="1"/>
  <c r="I307" i="1" a="1"/>
  <c r="I307" i="1" s="1"/>
  <c r="H307" i="1" a="1"/>
  <c r="H307" i="1" s="1"/>
  <c r="J307" i="1" s="1"/>
  <c r="D305" i="4"/>
  <c r="B304" i="4"/>
  <c r="R71" i="1" a="1"/>
  <c r="R71" i="1" s="1"/>
  <c r="T71" i="1" s="1"/>
  <c r="A381" i="1"/>
  <c r="E309" i="1"/>
  <c r="G309" i="1" s="1" a="1"/>
  <c r="G309" i="1" s="1"/>
  <c r="C309" i="1"/>
  <c r="D309" i="1"/>
  <c r="B310" i="1"/>
  <c r="F308" i="1"/>
  <c r="K307" i="1" l="1"/>
  <c r="H308" i="1" a="1"/>
  <c r="H308" i="1" s="1"/>
  <c r="J308" i="1" s="1"/>
  <c r="I308" i="1" a="1"/>
  <c r="I308" i="1" s="1"/>
  <c r="D306" i="4"/>
  <c r="B305" i="4"/>
  <c r="N71" i="1" a="1"/>
  <c r="N71" i="1" s="1"/>
  <c r="O71" i="1" a="1"/>
  <c r="O71" i="1" s="1"/>
  <c r="A382" i="1"/>
  <c r="E310" i="1"/>
  <c r="G310" i="1" s="1" a="1"/>
  <c r="G310" i="1" s="1"/>
  <c r="B311" i="1"/>
  <c r="D310" i="1"/>
  <c r="C310" i="1"/>
  <c r="F309" i="1"/>
  <c r="L71" i="1" a="1"/>
  <c r="K308" i="1" l="1"/>
  <c r="I309" i="1" a="1"/>
  <c r="I309" i="1" s="1"/>
  <c r="H309" i="1" a="1"/>
  <c r="H309" i="1" s="1"/>
  <c r="J309" i="1" s="1"/>
  <c r="D307" i="4"/>
  <c r="B306" i="4"/>
  <c r="L71" i="1"/>
  <c r="A383" i="1"/>
  <c r="F310" i="1"/>
  <c r="E311" i="1"/>
  <c r="G311" i="1" s="1" a="1"/>
  <c r="G311" i="1" s="1"/>
  <c r="B312" i="1"/>
  <c r="D311" i="1"/>
  <c r="C311" i="1"/>
  <c r="K309" i="1" l="1"/>
  <c r="I310" i="1" a="1"/>
  <c r="I310" i="1" s="1"/>
  <c r="H310" i="1" a="1"/>
  <c r="H310" i="1" s="1"/>
  <c r="J310" i="1" s="1"/>
  <c r="D308" i="4"/>
  <c r="B307" i="4"/>
  <c r="M71" i="1" a="1"/>
  <c r="M71" i="1" s="1"/>
  <c r="Q71" i="1" s="1" a="1"/>
  <c r="Q71" i="1" s="1"/>
  <c r="P72" i="1" s="1"/>
  <c r="A384" i="1"/>
  <c r="E312" i="1"/>
  <c r="G312" i="1" s="1" a="1"/>
  <c r="G312" i="1" s="1"/>
  <c r="D312" i="1"/>
  <c r="B313" i="1"/>
  <c r="C312" i="1"/>
  <c r="F311" i="1"/>
  <c r="K310" i="1" l="1"/>
  <c r="I311" i="1" a="1"/>
  <c r="I311" i="1" s="1"/>
  <c r="H311" i="1" a="1"/>
  <c r="H311" i="1" s="1"/>
  <c r="J311" i="1" s="1"/>
  <c r="D309" i="4"/>
  <c r="B308" i="4"/>
  <c r="S71" i="1" a="1"/>
  <c r="S71" i="1" s="1"/>
  <c r="V71" i="1" s="1"/>
  <c r="A385" i="1"/>
  <c r="E313" i="1"/>
  <c r="G313" i="1" s="1" a="1"/>
  <c r="G313" i="1" s="1"/>
  <c r="C313" i="1"/>
  <c r="D313" i="1"/>
  <c r="B314" i="1"/>
  <c r="F312" i="1"/>
  <c r="K311" i="1" l="1"/>
  <c r="H312" i="1" a="1"/>
  <c r="H312" i="1" s="1"/>
  <c r="J312" i="1" s="1"/>
  <c r="I312" i="1" a="1"/>
  <c r="I312" i="1" s="1"/>
  <c r="D310" i="4"/>
  <c r="B309" i="4"/>
  <c r="R72" i="1" a="1"/>
  <c r="R72" i="1" s="1"/>
  <c r="T72" i="1" s="1"/>
  <c r="A386" i="1"/>
  <c r="E314" i="1"/>
  <c r="G314" i="1" s="1" a="1"/>
  <c r="G314" i="1" s="1"/>
  <c r="D314" i="1"/>
  <c r="C314" i="1"/>
  <c r="B315" i="1"/>
  <c r="F313" i="1"/>
  <c r="K312" i="1" l="1"/>
  <c r="H313" i="1" a="1"/>
  <c r="H313" i="1" s="1"/>
  <c r="J313" i="1" s="1"/>
  <c r="I313" i="1" a="1"/>
  <c r="I313" i="1" s="1"/>
  <c r="D311" i="4"/>
  <c r="B310" i="4"/>
  <c r="N72" i="1" a="1"/>
  <c r="N72" i="1" s="1"/>
  <c r="O72" i="1" a="1"/>
  <c r="O72" i="1" s="1"/>
  <c r="A387" i="1"/>
  <c r="E315" i="1"/>
  <c r="G315" i="1" s="1" a="1"/>
  <c r="G315" i="1" s="1"/>
  <c r="C315" i="1"/>
  <c r="D315" i="1"/>
  <c r="B316" i="1"/>
  <c r="F314" i="1"/>
  <c r="L72" i="1" a="1"/>
  <c r="K313" i="1" l="1"/>
  <c r="H314" i="1" a="1"/>
  <c r="H314" i="1" s="1"/>
  <c r="J314" i="1" s="1"/>
  <c r="I314" i="1" a="1"/>
  <c r="I314" i="1" s="1"/>
  <c r="D312" i="4"/>
  <c r="B311" i="4"/>
  <c r="L72" i="1"/>
  <c r="A388" i="1"/>
  <c r="E316" i="1"/>
  <c r="G316" i="1" s="1" a="1"/>
  <c r="G316" i="1" s="1"/>
  <c r="D316" i="1"/>
  <c r="B317" i="1"/>
  <c r="C316" i="1"/>
  <c r="F315" i="1"/>
  <c r="K314" i="1" l="1"/>
  <c r="H315" i="1" a="1"/>
  <c r="H315" i="1" s="1"/>
  <c r="J315" i="1" s="1"/>
  <c r="I315" i="1" a="1"/>
  <c r="I315" i="1" s="1"/>
  <c r="D313" i="4"/>
  <c r="B312" i="4"/>
  <c r="M72" i="1" a="1"/>
  <c r="M72" i="1" s="1"/>
  <c r="Q72" i="1" s="1" a="1"/>
  <c r="Q72" i="1" s="1"/>
  <c r="P73" i="1" s="1"/>
  <c r="A389" i="1"/>
  <c r="E317" i="1"/>
  <c r="G317" i="1" s="1" a="1"/>
  <c r="G317" i="1" s="1"/>
  <c r="C317" i="1"/>
  <c r="B318" i="1"/>
  <c r="D317" i="1"/>
  <c r="F316" i="1"/>
  <c r="K315" i="1" l="1"/>
  <c r="I316" i="1" a="1"/>
  <c r="I316" i="1" s="1"/>
  <c r="H316" i="1" a="1"/>
  <c r="H316" i="1" s="1"/>
  <c r="J316" i="1" s="1"/>
  <c r="D314" i="4"/>
  <c r="B313" i="4"/>
  <c r="S72" i="1" a="1"/>
  <c r="S72" i="1" s="1"/>
  <c r="V72" i="1" s="1"/>
  <c r="A390" i="1"/>
  <c r="E318" i="1"/>
  <c r="G318" i="1" s="1" a="1"/>
  <c r="G318" i="1" s="1"/>
  <c r="B319" i="1"/>
  <c r="C318" i="1"/>
  <c r="D318" i="1"/>
  <c r="F317" i="1"/>
  <c r="K316" i="1" l="1"/>
  <c r="I317" i="1" a="1"/>
  <c r="I317" i="1" s="1"/>
  <c r="H317" i="1" a="1"/>
  <c r="H317" i="1" s="1"/>
  <c r="J317" i="1" s="1"/>
  <c r="D315" i="4"/>
  <c r="B314" i="4"/>
  <c r="R73" i="1" a="1"/>
  <c r="R73" i="1" s="1"/>
  <c r="T73" i="1" s="1"/>
  <c r="A391" i="1"/>
  <c r="E319" i="1"/>
  <c r="G319" i="1" s="1" a="1"/>
  <c r="G319" i="1" s="1"/>
  <c r="D319" i="1"/>
  <c r="B320" i="1"/>
  <c r="C319" i="1"/>
  <c r="F318" i="1"/>
  <c r="K317" i="1" l="1"/>
  <c r="I318" i="1" a="1"/>
  <c r="I318" i="1" s="1"/>
  <c r="H318" i="1" a="1"/>
  <c r="H318" i="1" s="1"/>
  <c r="J318" i="1" s="1"/>
  <c r="D316" i="4"/>
  <c r="B315" i="4"/>
  <c r="O73" i="1" a="1"/>
  <c r="O73" i="1" s="1"/>
  <c r="N73" i="1" a="1"/>
  <c r="N73" i="1" s="1"/>
  <c r="A392" i="1"/>
  <c r="E320" i="1"/>
  <c r="G320" i="1" s="1" a="1"/>
  <c r="G320" i="1" s="1"/>
  <c r="C320" i="1"/>
  <c r="D320" i="1"/>
  <c r="B321" i="1"/>
  <c r="F319" i="1"/>
  <c r="L73" i="1" a="1"/>
  <c r="K318" i="1" l="1"/>
  <c r="H319" i="1" a="1"/>
  <c r="H319" i="1" s="1"/>
  <c r="J319" i="1" s="1"/>
  <c r="I319" i="1" a="1"/>
  <c r="I319" i="1" s="1"/>
  <c r="D317" i="4"/>
  <c r="B316" i="4"/>
  <c r="L73" i="1"/>
  <c r="A393" i="1"/>
  <c r="E321" i="1"/>
  <c r="G321" i="1" s="1" a="1"/>
  <c r="G321" i="1" s="1"/>
  <c r="D321" i="1"/>
  <c r="B322" i="1"/>
  <c r="C321" i="1"/>
  <c r="F320" i="1"/>
  <c r="K319" i="1" l="1"/>
  <c r="I320" i="1" a="1"/>
  <c r="I320" i="1" s="1"/>
  <c r="H320" i="1" a="1"/>
  <c r="H320" i="1" s="1"/>
  <c r="J320" i="1" s="1"/>
  <c r="D318" i="4"/>
  <c r="B317" i="4"/>
  <c r="M73" i="1" a="1"/>
  <c r="M73" i="1" s="1"/>
  <c r="Q73" i="1" s="1" a="1"/>
  <c r="Q73" i="1" s="1"/>
  <c r="P74" i="1" s="1"/>
  <c r="A394" i="1"/>
  <c r="E322" i="1"/>
  <c r="G322" i="1" s="1" a="1"/>
  <c r="G322" i="1" s="1"/>
  <c r="D322" i="1"/>
  <c r="C322" i="1"/>
  <c r="B323" i="1"/>
  <c r="F321" i="1"/>
  <c r="K320" i="1" l="1"/>
  <c r="I321" i="1" a="1"/>
  <c r="I321" i="1" s="1"/>
  <c r="H321" i="1" a="1"/>
  <c r="H321" i="1" s="1"/>
  <c r="J321" i="1" s="1"/>
  <c r="D319" i="4"/>
  <c r="B318" i="4"/>
  <c r="S73" i="1" a="1"/>
  <c r="S73" i="1" s="1"/>
  <c r="V73" i="1" s="1"/>
  <c r="A395" i="1"/>
  <c r="E323" i="1"/>
  <c r="G323" i="1" s="1" a="1"/>
  <c r="G323" i="1" s="1"/>
  <c r="B324" i="1"/>
  <c r="C323" i="1"/>
  <c r="D323" i="1"/>
  <c r="F322" i="1"/>
  <c r="K321" i="1" l="1"/>
  <c r="H322" i="1" a="1"/>
  <c r="H322" i="1" s="1"/>
  <c r="J322" i="1" s="1"/>
  <c r="I322" i="1" a="1"/>
  <c r="I322" i="1" s="1"/>
  <c r="D320" i="4"/>
  <c r="B319" i="4"/>
  <c r="R74" i="1" a="1"/>
  <c r="R74" i="1" s="1"/>
  <c r="T74" i="1" s="1"/>
  <c r="A396" i="1"/>
  <c r="E324" i="1"/>
  <c r="G324" i="1" s="1" a="1"/>
  <c r="G324" i="1" s="1"/>
  <c r="D324" i="1"/>
  <c r="C324" i="1"/>
  <c r="B325" i="1"/>
  <c r="F323" i="1"/>
  <c r="K322" i="1" l="1"/>
  <c r="I323" i="1" a="1"/>
  <c r="I323" i="1" s="1"/>
  <c r="H323" i="1" a="1"/>
  <c r="H323" i="1" s="1"/>
  <c r="J323" i="1" s="1"/>
  <c r="D321" i="4"/>
  <c r="B320" i="4"/>
  <c r="N74" i="1" a="1"/>
  <c r="N74" i="1" s="1"/>
  <c r="O74" i="1" a="1"/>
  <c r="O74" i="1" s="1"/>
  <c r="A397" i="1"/>
  <c r="E325" i="1"/>
  <c r="G325" i="1" s="1" a="1"/>
  <c r="G325" i="1" s="1"/>
  <c r="D325" i="1"/>
  <c r="B326" i="1"/>
  <c r="C325" i="1"/>
  <c r="F324" i="1"/>
  <c r="L74" i="1" a="1"/>
  <c r="K323" i="1" l="1"/>
  <c r="I324" i="1" a="1"/>
  <c r="I324" i="1" s="1"/>
  <c r="H324" i="1" a="1"/>
  <c r="H324" i="1" s="1"/>
  <c r="J324" i="1" s="1"/>
  <c r="D322" i="4"/>
  <c r="B321" i="4"/>
  <c r="L74" i="1"/>
  <c r="A398" i="1"/>
  <c r="E326" i="1"/>
  <c r="G326" i="1" s="1" a="1"/>
  <c r="G326" i="1" s="1"/>
  <c r="D326" i="1"/>
  <c r="B327" i="1"/>
  <c r="C326" i="1"/>
  <c r="F325" i="1"/>
  <c r="K324" i="1" l="1"/>
  <c r="H325" i="1" a="1"/>
  <c r="H325" i="1" s="1"/>
  <c r="J325" i="1" s="1"/>
  <c r="I325" i="1" a="1"/>
  <c r="I325" i="1" s="1"/>
  <c r="D323" i="4"/>
  <c r="B322" i="4"/>
  <c r="M74" i="1" a="1"/>
  <c r="M74" i="1" s="1"/>
  <c r="Q74" i="1" s="1" a="1"/>
  <c r="Q74" i="1" s="1"/>
  <c r="P75" i="1" s="1"/>
  <c r="A399" i="1"/>
  <c r="E327" i="1"/>
  <c r="G327" i="1" s="1" a="1"/>
  <c r="G327" i="1" s="1"/>
  <c r="C327" i="1"/>
  <c r="B328" i="1"/>
  <c r="D327" i="1"/>
  <c r="F326" i="1"/>
  <c r="K325" i="1" l="1"/>
  <c r="H326" i="1" a="1"/>
  <c r="H326" i="1" s="1"/>
  <c r="J326" i="1" s="1"/>
  <c r="I326" i="1" a="1"/>
  <c r="I326" i="1" s="1"/>
  <c r="D324" i="4"/>
  <c r="B323" i="4"/>
  <c r="S74" i="1" a="1"/>
  <c r="S74" i="1" s="1"/>
  <c r="V74" i="1" s="1"/>
  <c r="A400" i="1"/>
  <c r="E328" i="1"/>
  <c r="G328" i="1" s="1" a="1"/>
  <c r="G328" i="1" s="1"/>
  <c r="C328" i="1"/>
  <c r="B329" i="1"/>
  <c r="D328" i="1"/>
  <c r="F327" i="1"/>
  <c r="K326" i="1" l="1"/>
  <c r="I327" i="1" a="1"/>
  <c r="I327" i="1" s="1"/>
  <c r="H327" i="1" a="1"/>
  <c r="H327" i="1" s="1"/>
  <c r="J327" i="1" s="1"/>
  <c r="D325" i="4"/>
  <c r="B324" i="4"/>
  <c r="R75" i="1" a="1"/>
  <c r="R75" i="1" s="1"/>
  <c r="T75" i="1" s="1"/>
  <c r="A401" i="1"/>
  <c r="E329" i="1"/>
  <c r="G329" i="1" s="1" a="1"/>
  <c r="G329" i="1" s="1"/>
  <c r="D329" i="1"/>
  <c r="B330" i="1"/>
  <c r="C329" i="1"/>
  <c r="F328" i="1"/>
  <c r="K327" i="1" l="1"/>
  <c r="I328" i="1" a="1"/>
  <c r="I328" i="1" s="1"/>
  <c r="H328" i="1" a="1"/>
  <c r="H328" i="1" s="1"/>
  <c r="J328" i="1" s="1"/>
  <c r="D326" i="4"/>
  <c r="B325" i="4"/>
  <c r="N75" i="1" a="1"/>
  <c r="N75" i="1" s="1"/>
  <c r="O75" i="1" a="1"/>
  <c r="O75" i="1" s="1"/>
  <c r="A402" i="1"/>
  <c r="E330" i="1"/>
  <c r="G330" i="1" s="1" a="1"/>
  <c r="G330" i="1" s="1"/>
  <c r="D330" i="1"/>
  <c r="C330" i="1"/>
  <c r="B331" i="1"/>
  <c r="F329" i="1"/>
  <c r="L75" i="1" a="1"/>
  <c r="K328" i="1" l="1"/>
  <c r="H329" i="1" a="1"/>
  <c r="H329" i="1" s="1"/>
  <c r="J329" i="1" s="1"/>
  <c r="I329" i="1" a="1"/>
  <c r="I329" i="1" s="1"/>
  <c r="D327" i="4"/>
  <c r="B326" i="4"/>
  <c r="L75" i="1"/>
  <c r="A403" i="1"/>
  <c r="E331" i="1"/>
  <c r="G331" i="1" s="1" a="1"/>
  <c r="G331" i="1" s="1"/>
  <c r="B332" i="1"/>
  <c r="D331" i="1"/>
  <c r="C331" i="1"/>
  <c r="F330" i="1"/>
  <c r="K329" i="1" l="1"/>
  <c r="I330" i="1" a="1"/>
  <c r="I330" i="1" s="1"/>
  <c r="H330" i="1" a="1"/>
  <c r="H330" i="1" s="1"/>
  <c r="J330" i="1" s="1"/>
  <c r="D328" i="4"/>
  <c r="B327" i="4"/>
  <c r="M75" i="1" a="1"/>
  <c r="M75" i="1" s="1"/>
  <c r="Q75" i="1" s="1" a="1"/>
  <c r="Q75" i="1" s="1"/>
  <c r="P76" i="1" s="1"/>
  <c r="A404" i="1"/>
  <c r="E332" i="1"/>
  <c r="G332" i="1" s="1" a="1"/>
  <c r="G332" i="1" s="1"/>
  <c r="B333" i="1"/>
  <c r="D332" i="1"/>
  <c r="C332" i="1"/>
  <c r="F331" i="1"/>
  <c r="K330" i="1" l="1"/>
  <c r="I331" i="1" a="1"/>
  <c r="I331" i="1" s="1"/>
  <c r="H331" i="1" a="1"/>
  <c r="H331" i="1" s="1"/>
  <c r="J331" i="1" s="1"/>
  <c r="D329" i="4"/>
  <c r="B328" i="4"/>
  <c r="S75" i="1" a="1"/>
  <c r="S75" i="1" s="1"/>
  <c r="V75" i="1" s="1"/>
  <c r="A405" i="1"/>
  <c r="E333" i="1"/>
  <c r="G333" i="1" s="1" a="1"/>
  <c r="G333" i="1" s="1"/>
  <c r="C333" i="1"/>
  <c r="B334" i="1"/>
  <c r="D333" i="1"/>
  <c r="F332" i="1"/>
  <c r="K331" i="1" l="1"/>
  <c r="H332" i="1" a="1"/>
  <c r="H332" i="1" s="1"/>
  <c r="J332" i="1" s="1"/>
  <c r="I332" i="1" a="1"/>
  <c r="I332" i="1" s="1"/>
  <c r="D330" i="4"/>
  <c r="B329" i="4"/>
  <c r="R76" i="1" a="1"/>
  <c r="R76" i="1" s="1"/>
  <c r="T76" i="1" s="1"/>
  <c r="A406" i="1"/>
  <c r="E334" i="1"/>
  <c r="G334" i="1" s="1" a="1"/>
  <c r="G334" i="1" s="1"/>
  <c r="B335" i="1"/>
  <c r="D334" i="1"/>
  <c r="C334" i="1"/>
  <c r="F333" i="1"/>
  <c r="K332" i="1" l="1"/>
  <c r="I333" i="1" a="1"/>
  <c r="I333" i="1" s="1"/>
  <c r="H333" i="1" a="1"/>
  <c r="H333" i="1" s="1"/>
  <c r="J333" i="1" s="1"/>
  <c r="D331" i="4"/>
  <c r="B330" i="4"/>
  <c r="N76" i="1" a="1"/>
  <c r="N76" i="1" s="1"/>
  <c r="O76" i="1" a="1"/>
  <c r="O76" i="1" s="1"/>
  <c r="A407" i="1"/>
  <c r="E335" i="1"/>
  <c r="G335" i="1" s="1" a="1"/>
  <c r="G335" i="1" s="1"/>
  <c r="B336" i="1"/>
  <c r="C335" i="1"/>
  <c r="D335" i="1"/>
  <c r="F334" i="1"/>
  <c r="L76" i="1" a="1"/>
  <c r="K333" i="1" l="1"/>
  <c r="I334" i="1" a="1"/>
  <c r="I334" i="1" s="1"/>
  <c r="H334" i="1" a="1"/>
  <c r="H334" i="1" s="1"/>
  <c r="J334" i="1" s="1"/>
  <c r="D332" i="4"/>
  <c r="B331" i="4"/>
  <c r="L76" i="1"/>
  <c r="A408" i="1"/>
  <c r="E336" i="1"/>
  <c r="G336" i="1" s="1" a="1"/>
  <c r="G336" i="1" s="1"/>
  <c r="B337" i="1"/>
  <c r="C336" i="1"/>
  <c r="D336" i="1"/>
  <c r="F335" i="1"/>
  <c r="K334" i="1" l="1"/>
  <c r="H335" i="1" a="1"/>
  <c r="H335" i="1" s="1"/>
  <c r="J335" i="1" s="1"/>
  <c r="I335" i="1" a="1"/>
  <c r="I335" i="1" s="1"/>
  <c r="D333" i="4"/>
  <c r="B332" i="4"/>
  <c r="M76" i="1" a="1"/>
  <c r="M76" i="1" s="1"/>
  <c r="Q76" i="1" s="1" a="1"/>
  <c r="Q76" i="1" s="1"/>
  <c r="P77" i="1" s="1"/>
  <c r="A409" i="1"/>
  <c r="E337" i="1"/>
  <c r="G337" i="1" s="1" a="1"/>
  <c r="G337" i="1" s="1"/>
  <c r="C337" i="1"/>
  <c r="B338" i="1"/>
  <c r="D337" i="1"/>
  <c r="F336" i="1"/>
  <c r="K335" i="1" l="1"/>
  <c r="I336" i="1" a="1"/>
  <c r="I336" i="1" s="1"/>
  <c r="H336" i="1" a="1"/>
  <c r="H336" i="1" s="1"/>
  <c r="J336" i="1" s="1"/>
  <c r="D334" i="4"/>
  <c r="B333" i="4"/>
  <c r="S76" i="1" a="1"/>
  <c r="S76" i="1" s="1"/>
  <c r="V76" i="1" s="1"/>
  <c r="A410" i="1"/>
  <c r="E338" i="1"/>
  <c r="G338" i="1" s="1" a="1"/>
  <c r="G338" i="1" s="1"/>
  <c r="B339" i="1"/>
  <c r="D338" i="1"/>
  <c r="C338" i="1"/>
  <c r="F337" i="1"/>
  <c r="K336" i="1" l="1"/>
  <c r="I337" i="1" a="1"/>
  <c r="I337" i="1" s="1"/>
  <c r="H337" i="1" a="1"/>
  <c r="H337" i="1" s="1"/>
  <c r="J337" i="1" s="1"/>
  <c r="D335" i="4"/>
  <c r="B334" i="4"/>
  <c r="R77" i="1" a="1"/>
  <c r="R77" i="1" s="1"/>
  <c r="T77" i="1" s="1"/>
  <c r="A411" i="1"/>
  <c r="E339" i="1"/>
  <c r="G339" i="1" s="1" a="1"/>
  <c r="G339" i="1" s="1"/>
  <c r="B340" i="1"/>
  <c r="D339" i="1"/>
  <c r="C339" i="1"/>
  <c r="F338" i="1"/>
  <c r="K337" i="1" l="1"/>
  <c r="I338" i="1" a="1"/>
  <c r="I338" i="1" s="1"/>
  <c r="H338" i="1" a="1"/>
  <c r="H338" i="1" s="1"/>
  <c r="J338" i="1" s="1"/>
  <c r="D336" i="4"/>
  <c r="B335" i="4"/>
  <c r="N77" i="1" a="1"/>
  <c r="N77" i="1" s="1"/>
  <c r="O77" i="1" a="1"/>
  <c r="O77" i="1" s="1"/>
  <c r="A412" i="1"/>
  <c r="E340" i="1"/>
  <c r="G340" i="1" s="1" a="1"/>
  <c r="G340" i="1" s="1"/>
  <c r="B341" i="1"/>
  <c r="D340" i="1"/>
  <c r="C340" i="1"/>
  <c r="F339" i="1"/>
  <c r="L77" i="1" a="1"/>
  <c r="K338" i="1" l="1"/>
  <c r="I339" i="1" a="1"/>
  <c r="I339" i="1" s="1"/>
  <c r="H339" i="1" a="1"/>
  <c r="H339" i="1" s="1"/>
  <c r="J339" i="1" s="1"/>
  <c r="D337" i="4"/>
  <c r="B336" i="4"/>
  <c r="L77" i="1"/>
  <c r="A413" i="1"/>
  <c r="E341" i="1"/>
  <c r="G341" i="1" s="1" a="1"/>
  <c r="G341" i="1" s="1"/>
  <c r="C341" i="1"/>
  <c r="D341" i="1"/>
  <c r="B342" i="1"/>
  <c r="F340" i="1"/>
  <c r="K339" i="1" l="1"/>
  <c r="I340" i="1" a="1"/>
  <c r="I340" i="1" s="1"/>
  <c r="H340" i="1" a="1"/>
  <c r="H340" i="1" s="1"/>
  <c r="J340" i="1" s="1"/>
  <c r="D338" i="4"/>
  <c r="B337" i="4"/>
  <c r="M77" i="1" a="1"/>
  <c r="M77" i="1" s="1"/>
  <c r="Q77" i="1" s="1" a="1"/>
  <c r="Q77" i="1" s="1"/>
  <c r="P78" i="1" s="1"/>
  <c r="A414" i="1"/>
  <c r="E342" i="1"/>
  <c r="G342" i="1" s="1" a="1"/>
  <c r="G342" i="1" s="1"/>
  <c r="B343" i="1"/>
  <c r="C342" i="1"/>
  <c r="D342" i="1"/>
  <c r="F341" i="1"/>
  <c r="K340" i="1" l="1"/>
  <c r="I341" i="1" a="1"/>
  <c r="I341" i="1" s="1"/>
  <c r="H341" i="1" a="1"/>
  <c r="H341" i="1" s="1"/>
  <c r="J341" i="1" s="1"/>
  <c r="D339" i="4"/>
  <c r="B338" i="4"/>
  <c r="S77" i="1" a="1"/>
  <c r="S77" i="1" s="1"/>
  <c r="V77" i="1" s="1"/>
  <c r="A415" i="1"/>
  <c r="E343" i="1"/>
  <c r="G343" i="1" s="1" a="1"/>
  <c r="G343" i="1" s="1"/>
  <c r="D343" i="1"/>
  <c r="B344" i="1"/>
  <c r="C343" i="1"/>
  <c r="F342" i="1"/>
  <c r="K341" i="1" l="1"/>
  <c r="I342" i="1" a="1"/>
  <c r="I342" i="1" s="1"/>
  <c r="H342" i="1" a="1"/>
  <c r="H342" i="1" s="1"/>
  <c r="J342" i="1" s="1"/>
  <c r="D340" i="4"/>
  <c r="B339" i="4"/>
  <c r="R78" i="1" a="1"/>
  <c r="R78" i="1" s="1"/>
  <c r="T78" i="1" s="1"/>
  <c r="A416" i="1"/>
  <c r="E344" i="1"/>
  <c r="G344" i="1" s="1" a="1"/>
  <c r="G344" i="1" s="1"/>
  <c r="C344" i="1"/>
  <c r="B345" i="1"/>
  <c r="D344" i="1"/>
  <c r="F343" i="1"/>
  <c r="K342" i="1" l="1"/>
  <c r="I343" i="1" a="1"/>
  <c r="I343" i="1" s="1"/>
  <c r="H343" i="1" a="1"/>
  <c r="H343" i="1" s="1"/>
  <c r="J343" i="1" s="1"/>
  <c r="D341" i="4"/>
  <c r="B340" i="4"/>
  <c r="O78" i="1" a="1"/>
  <c r="O78" i="1" s="1"/>
  <c r="N78" i="1" a="1"/>
  <c r="N78" i="1" s="1"/>
  <c r="A417" i="1"/>
  <c r="E345" i="1"/>
  <c r="G345" i="1" s="1" a="1"/>
  <c r="G345" i="1" s="1"/>
  <c r="D345" i="1"/>
  <c r="C345" i="1"/>
  <c r="B346" i="1"/>
  <c r="F344" i="1"/>
  <c r="L78" i="1" a="1"/>
  <c r="K343" i="1" l="1"/>
  <c r="H344" i="1" a="1"/>
  <c r="H344" i="1" s="1"/>
  <c r="J344" i="1" s="1"/>
  <c r="I344" i="1" a="1"/>
  <c r="I344" i="1" s="1"/>
  <c r="D342" i="4"/>
  <c r="B341" i="4"/>
  <c r="L78" i="1"/>
  <c r="A418" i="1"/>
  <c r="E346" i="1"/>
  <c r="G346" i="1" s="1" a="1"/>
  <c r="G346" i="1" s="1"/>
  <c r="D346" i="1"/>
  <c r="B347" i="1"/>
  <c r="C346" i="1"/>
  <c r="F345" i="1"/>
  <c r="K344" i="1" l="1"/>
  <c r="H345" i="1" a="1"/>
  <c r="H345" i="1" s="1"/>
  <c r="J345" i="1" s="1"/>
  <c r="I345" i="1" a="1"/>
  <c r="I345" i="1" s="1"/>
  <c r="D343" i="4"/>
  <c r="B342" i="4"/>
  <c r="M78" i="1" a="1"/>
  <c r="M78" i="1" s="1"/>
  <c r="Q78" i="1" s="1" a="1"/>
  <c r="Q78" i="1" s="1"/>
  <c r="P79" i="1" s="1"/>
  <c r="A419" i="1"/>
  <c r="E347" i="1"/>
  <c r="G347" i="1" s="1" a="1"/>
  <c r="G347" i="1" s="1"/>
  <c r="B348" i="1"/>
  <c r="D347" i="1"/>
  <c r="C347" i="1"/>
  <c r="F346" i="1"/>
  <c r="K345" i="1" l="1"/>
  <c r="I346" i="1" a="1"/>
  <c r="I346" i="1" s="1"/>
  <c r="H346" i="1" a="1"/>
  <c r="H346" i="1" s="1"/>
  <c r="J346" i="1" s="1"/>
  <c r="D344" i="4"/>
  <c r="B343" i="4"/>
  <c r="S78" i="1" a="1"/>
  <c r="S78" i="1" s="1"/>
  <c r="V78" i="1" s="1"/>
  <c r="A420" i="1"/>
  <c r="E348" i="1"/>
  <c r="G348" i="1" s="1" a="1"/>
  <c r="G348" i="1" s="1"/>
  <c r="B349" i="1"/>
  <c r="D348" i="1"/>
  <c r="C348" i="1"/>
  <c r="F347" i="1"/>
  <c r="K346" i="1" l="1"/>
  <c r="I347" i="1" a="1"/>
  <c r="I347" i="1" s="1"/>
  <c r="H347" i="1" a="1"/>
  <c r="H347" i="1" s="1"/>
  <c r="J347" i="1" s="1"/>
  <c r="D345" i="4"/>
  <c r="B344" i="4"/>
  <c r="R79" i="1" a="1"/>
  <c r="R79" i="1" s="1"/>
  <c r="T79" i="1" s="1"/>
  <c r="A421" i="1"/>
  <c r="F348" i="1"/>
  <c r="E349" i="1"/>
  <c r="G349" i="1" s="1" a="1"/>
  <c r="G349" i="1" s="1"/>
  <c r="D349" i="1"/>
  <c r="B350" i="1"/>
  <c r="C349" i="1"/>
  <c r="K347" i="1" l="1"/>
  <c r="I348" i="1" a="1"/>
  <c r="I348" i="1" s="1"/>
  <c r="H348" i="1" a="1"/>
  <c r="H348" i="1" s="1"/>
  <c r="J348" i="1" s="1"/>
  <c r="D346" i="4"/>
  <c r="B345" i="4"/>
  <c r="N79" i="1" a="1"/>
  <c r="N79" i="1" s="1"/>
  <c r="O79" i="1" a="1"/>
  <c r="O79" i="1" s="1"/>
  <c r="A422" i="1"/>
  <c r="E350" i="1"/>
  <c r="G350" i="1" s="1" a="1"/>
  <c r="G350" i="1" s="1"/>
  <c r="C350" i="1"/>
  <c r="D350" i="1"/>
  <c r="B351" i="1"/>
  <c r="F349" i="1"/>
  <c r="L79" i="1" a="1"/>
  <c r="K348" i="1" l="1"/>
  <c r="I349" i="1" a="1"/>
  <c r="I349" i="1" s="1"/>
  <c r="H349" i="1" a="1"/>
  <c r="H349" i="1" s="1"/>
  <c r="J349" i="1" s="1"/>
  <c r="D347" i="4"/>
  <c r="B346" i="4"/>
  <c r="L79" i="1"/>
  <c r="A423" i="1"/>
  <c r="E351" i="1"/>
  <c r="G351" i="1" s="1" a="1"/>
  <c r="G351" i="1" s="1"/>
  <c r="C351" i="1"/>
  <c r="D351" i="1"/>
  <c r="B352" i="1"/>
  <c r="F350" i="1"/>
  <c r="K349" i="1" l="1"/>
  <c r="I350" i="1" a="1"/>
  <c r="I350" i="1" s="1"/>
  <c r="H350" i="1" a="1"/>
  <c r="H350" i="1" s="1"/>
  <c r="J350" i="1" s="1"/>
  <c r="D348" i="4"/>
  <c r="B347" i="4"/>
  <c r="M79" i="1" a="1"/>
  <c r="M79" i="1" s="1"/>
  <c r="Q79" i="1" s="1" a="1"/>
  <c r="Q79" i="1" s="1"/>
  <c r="P80" i="1" s="1"/>
  <c r="A424" i="1"/>
  <c r="E352" i="1"/>
  <c r="G352" i="1" s="1" a="1"/>
  <c r="G352" i="1" s="1"/>
  <c r="B353" i="1"/>
  <c r="C352" i="1"/>
  <c r="D352" i="1"/>
  <c r="F351" i="1"/>
  <c r="K350" i="1" l="1"/>
  <c r="H351" i="1" a="1"/>
  <c r="H351" i="1" s="1"/>
  <c r="J351" i="1" s="1"/>
  <c r="I351" i="1" a="1"/>
  <c r="I351" i="1" s="1"/>
  <c r="D349" i="4"/>
  <c r="B348" i="4"/>
  <c r="S79" i="1" a="1"/>
  <c r="S79" i="1" s="1"/>
  <c r="V79" i="1" s="1"/>
  <c r="A425" i="1"/>
  <c r="E353" i="1"/>
  <c r="G353" i="1" s="1" a="1"/>
  <c r="G353" i="1" s="1"/>
  <c r="C353" i="1"/>
  <c r="D353" i="1"/>
  <c r="B354" i="1"/>
  <c r="F352" i="1"/>
  <c r="K351" i="1" l="1"/>
  <c r="H352" i="1" a="1"/>
  <c r="H352" i="1" s="1"/>
  <c r="J352" i="1" s="1"/>
  <c r="I352" i="1" a="1"/>
  <c r="I352" i="1" s="1"/>
  <c r="D350" i="4"/>
  <c r="B349" i="4"/>
  <c r="R80" i="1" a="1"/>
  <c r="R80" i="1" s="1"/>
  <c r="T80" i="1" s="1"/>
  <c r="A426" i="1"/>
  <c r="E354" i="1"/>
  <c r="G354" i="1" s="1" a="1"/>
  <c r="G354" i="1" s="1"/>
  <c r="B355" i="1"/>
  <c r="D354" i="1"/>
  <c r="C354" i="1"/>
  <c r="F353" i="1"/>
  <c r="K352" i="1" l="1"/>
  <c r="I353" i="1" a="1"/>
  <c r="I353" i="1" s="1"/>
  <c r="H353" i="1" a="1"/>
  <c r="H353" i="1" s="1"/>
  <c r="J353" i="1" s="1"/>
  <c r="D351" i="4"/>
  <c r="B350" i="4"/>
  <c r="N80" i="1" a="1"/>
  <c r="N80" i="1" s="1"/>
  <c r="O80" i="1" a="1"/>
  <c r="O80" i="1" s="1"/>
  <c r="A427" i="1"/>
  <c r="E355" i="1"/>
  <c r="G355" i="1" s="1" a="1"/>
  <c r="G355" i="1" s="1"/>
  <c r="C355" i="1"/>
  <c r="B356" i="1"/>
  <c r="D355" i="1"/>
  <c r="F354" i="1"/>
  <c r="L80" i="1" a="1"/>
  <c r="K353" i="1" l="1"/>
  <c r="I354" i="1" a="1"/>
  <c r="I354" i="1" s="1"/>
  <c r="H354" i="1" a="1"/>
  <c r="H354" i="1" s="1"/>
  <c r="J354" i="1" s="1"/>
  <c r="D352" i="4"/>
  <c r="B351" i="4"/>
  <c r="L80" i="1"/>
  <c r="A428" i="1"/>
  <c r="E356" i="1"/>
  <c r="G356" i="1" s="1" a="1"/>
  <c r="G356" i="1" s="1"/>
  <c r="D356" i="1"/>
  <c r="C356" i="1"/>
  <c r="B357" i="1"/>
  <c r="F355" i="1"/>
  <c r="K354" i="1" l="1"/>
  <c r="I355" i="1" a="1"/>
  <c r="I355" i="1" s="1"/>
  <c r="H355" i="1" a="1"/>
  <c r="H355" i="1" s="1"/>
  <c r="J355" i="1" s="1"/>
  <c r="D353" i="4"/>
  <c r="B352" i="4"/>
  <c r="M80" i="1" a="1"/>
  <c r="M80" i="1" s="1"/>
  <c r="Q80" i="1" s="1" a="1"/>
  <c r="Q80" i="1" s="1"/>
  <c r="P81" i="1" s="1"/>
  <c r="A429" i="1"/>
  <c r="E357" i="1"/>
  <c r="G357" i="1" s="1" a="1"/>
  <c r="G357" i="1" s="1"/>
  <c r="B358" i="1"/>
  <c r="D357" i="1"/>
  <c r="C357" i="1"/>
  <c r="F356" i="1"/>
  <c r="K355" i="1" l="1"/>
  <c r="I356" i="1" a="1"/>
  <c r="I356" i="1" s="1"/>
  <c r="H356" i="1" a="1"/>
  <c r="H356" i="1" s="1"/>
  <c r="J356" i="1" s="1"/>
  <c r="D354" i="4"/>
  <c r="B353" i="4"/>
  <c r="S80" i="1" a="1"/>
  <c r="S80" i="1" s="1"/>
  <c r="V80" i="1" s="1"/>
  <c r="A430" i="1"/>
  <c r="E358" i="1"/>
  <c r="G358" i="1" s="1" a="1"/>
  <c r="G358" i="1" s="1"/>
  <c r="B359" i="1"/>
  <c r="D358" i="1"/>
  <c r="C358" i="1"/>
  <c r="F357" i="1"/>
  <c r="K356" i="1" l="1"/>
  <c r="I357" i="1" a="1"/>
  <c r="I357" i="1" s="1"/>
  <c r="H357" i="1" a="1"/>
  <c r="H357" i="1" s="1"/>
  <c r="J357" i="1" s="1"/>
  <c r="D355" i="4"/>
  <c r="B354" i="4"/>
  <c r="R81" i="1" a="1"/>
  <c r="R81" i="1" s="1"/>
  <c r="T81" i="1" s="1"/>
  <c r="A431" i="1"/>
  <c r="E359" i="1"/>
  <c r="G359" i="1" s="1" a="1"/>
  <c r="G359" i="1" s="1"/>
  <c r="B360" i="1"/>
  <c r="C359" i="1"/>
  <c r="D359" i="1"/>
  <c r="F358" i="1"/>
  <c r="K357" i="1" l="1"/>
  <c r="I358" i="1" a="1"/>
  <c r="I358" i="1" s="1"/>
  <c r="H358" i="1" a="1"/>
  <c r="H358" i="1" s="1"/>
  <c r="J358" i="1" s="1"/>
  <c r="D356" i="4"/>
  <c r="B355" i="4"/>
  <c r="N81" i="1" a="1"/>
  <c r="N81" i="1" s="1"/>
  <c r="O81" i="1" a="1"/>
  <c r="O81" i="1" s="1"/>
  <c r="A432" i="1"/>
  <c r="E360" i="1"/>
  <c r="G360" i="1" s="1" a="1"/>
  <c r="G360" i="1" s="1"/>
  <c r="B361" i="1"/>
  <c r="D360" i="1"/>
  <c r="C360" i="1"/>
  <c r="F359" i="1"/>
  <c r="L81" i="1" a="1"/>
  <c r="K358" i="1" l="1"/>
  <c r="H359" i="1" a="1"/>
  <c r="H359" i="1" s="1"/>
  <c r="J359" i="1" s="1"/>
  <c r="I359" i="1" a="1"/>
  <c r="I359" i="1" s="1"/>
  <c r="D357" i="4"/>
  <c r="B356" i="4"/>
  <c r="L81" i="1"/>
  <c r="A433" i="1"/>
  <c r="E361" i="1"/>
  <c r="G361" i="1" s="1" a="1"/>
  <c r="G361" i="1" s="1"/>
  <c r="C361" i="1"/>
  <c r="D361" i="1"/>
  <c r="B362" i="1"/>
  <c r="F360" i="1"/>
  <c r="K359" i="1" l="1"/>
  <c r="I360" i="1" a="1"/>
  <c r="I360" i="1" s="1"/>
  <c r="H360" i="1" a="1"/>
  <c r="H360" i="1" s="1"/>
  <c r="J360" i="1" s="1"/>
  <c r="D358" i="4"/>
  <c r="B357" i="4"/>
  <c r="M81" i="1" a="1"/>
  <c r="M81" i="1" s="1"/>
  <c r="Q81" i="1" s="1" a="1"/>
  <c r="Q81" i="1" s="1"/>
  <c r="P82" i="1" s="1"/>
  <c r="A434" i="1"/>
  <c r="E362" i="1"/>
  <c r="G362" i="1" s="1" a="1"/>
  <c r="G362" i="1" s="1"/>
  <c r="B363" i="1"/>
  <c r="C362" i="1"/>
  <c r="D362" i="1"/>
  <c r="F361" i="1"/>
  <c r="K360" i="1" l="1"/>
  <c r="I361" i="1" a="1"/>
  <c r="I361" i="1" s="1"/>
  <c r="H361" i="1" a="1"/>
  <c r="H361" i="1" s="1"/>
  <c r="J361" i="1" s="1"/>
  <c r="D359" i="4"/>
  <c r="B358" i="4"/>
  <c r="S81" i="1" a="1"/>
  <c r="S81" i="1" s="1"/>
  <c r="V81" i="1" s="1"/>
  <c r="A435" i="1"/>
  <c r="E363" i="1"/>
  <c r="G363" i="1" s="1" a="1"/>
  <c r="G363" i="1" s="1"/>
  <c r="D363" i="1"/>
  <c r="B364" i="1"/>
  <c r="C363" i="1"/>
  <c r="F362" i="1"/>
  <c r="K361" i="1" l="1"/>
  <c r="I362" i="1" a="1"/>
  <c r="I362" i="1" s="1"/>
  <c r="H362" i="1" a="1"/>
  <c r="H362" i="1" s="1"/>
  <c r="J362" i="1" s="1"/>
  <c r="D360" i="4"/>
  <c r="B359" i="4"/>
  <c r="R82" i="1" a="1"/>
  <c r="R82" i="1" s="1"/>
  <c r="T82" i="1" s="1"/>
  <c r="A436" i="1"/>
  <c r="E364" i="1"/>
  <c r="G364" i="1" s="1" a="1"/>
  <c r="G364" i="1" s="1"/>
  <c r="B365" i="1"/>
  <c r="D364" i="1"/>
  <c r="C364" i="1"/>
  <c r="F363" i="1"/>
  <c r="K362" i="1" l="1"/>
  <c r="I363" i="1" a="1"/>
  <c r="I363" i="1" s="1"/>
  <c r="H363" i="1" a="1"/>
  <c r="H363" i="1" s="1"/>
  <c r="J363" i="1" s="1"/>
  <c r="D361" i="4"/>
  <c r="B360" i="4"/>
  <c r="N82" i="1" a="1"/>
  <c r="N82" i="1" s="1"/>
  <c r="O82" i="1" a="1"/>
  <c r="O82" i="1" s="1"/>
  <c r="A437" i="1"/>
  <c r="E365" i="1"/>
  <c r="G365" i="1" s="1" a="1"/>
  <c r="G365" i="1" s="1"/>
  <c r="C365" i="1"/>
  <c r="B366" i="1"/>
  <c r="D365" i="1"/>
  <c r="F364" i="1"/>
  <c r="L82" i="1" a="1"/>
  <c r="K363" i="1" l="1"/>
  <c r="I364" i="1" a="1"/>
  <c r="I364" i="1" s="1"/>
  <c r="H364" i="1" a="1"/>
  <c r="H364" i="1" s="1"/>
  <c r="J364" i="1" s="1"/>
  <c r="D362" i="4"/>
  <c r="B361" i="4"/>
  <c r="L82" i="1"/>
  <c r="A438" i="1"/>
  <c r="E366" i="1"/>
  <c r="G366" i="1" s="1" a="1"/>
  <c r="G366" i="1" s="1"/>
  <c r="B367" i="1"/>
  <c r="D366" i="1"/>
  <c r="C366" i="1"/>
  <c r="F365" i="1"/>
  <c r="K364" i="1" l="1"/>
  <c r="I365" i="1" a="1"/>
  <c r="I365" i="1" s="1"/>
  <c r="H365" i="1" a="1"/>
  <c r="H365" i="1" s="1"/>
  <c r="J365" i="1" s="1"/>
  <c r="D363" i="4"/>
  <c r="B362" i="4"/>
  <c r="M82" i="1" a="1"/>
  <c r="M82" i="1" s="1"/>
  <c r="Q82" i="1" s="1" a="1"/>
  <c r="Q82" i="1" s="1"/>
  <c r="P83" i="1" s="1"/>
  <c r="A439" i="1"/>
  <c r="E367" i="1"/>
  <c r="G367" i="1" s="1" a="1"/>
  <c r="G367" i="1" s="1"/>
  <c r="C367" i="1"/>
  <c r="B368" i="1"/>
  <c r="D367" i="1"/>
  <c r="F366" i="1"/>
  <c r="K365" i="1" l="1"/>
  <c r="I366" i="1" a="1"/>
  <c r="I366" i="1" s="1"/>
  <c r="H366" i="1" a="1"/>
  <c r="H366" i="1" s="1"/>
  <c r="J366" i="1" s="1"/>
  <c r="D364" i="4"/>
  <c r="B363" i="4"/>
  <c r="S82" i="1" a="1"/>
  <c r="S82" i="1" s="1"/>
  <c r="V82" i="1" s="1"/>
  <c r="A440" i="1"/>
  <c r="E368" i="1"/>
  <c r="G368" i="1" s="1" a="1"/>
  <c r="G368" i="1" s="1"/>
  <c r="D368" i="1"/>
  <c r="B369" i="1"/>
  <c r="C368" i="1"/>
  <c r="F367" i="1"/>
  <c r="K366" i="1" l="1"/>
  <c r="I367" i="1" a="1"/>
  <c r="I367" i="1" s="1"/>
  <c r="H367" i="1" a="1"/>
  <c r="H367" i="1" s="1"/>
  <c r="J367" i="1" s="1"/>
  <c r="D365" i="4"/>
  <c r="B364" i="4"/>
  <c r="R83" i="1" a="1"/>
  <c r="R83" i="1" s="1"/>
  <c r="T83" i="1" s="1"/>
  <c r="A441" i="1"/>
  <c r="E369" i="1"/>
  <c r="G369" i="1" s="1" a="1"/>
  <c r="G369" i="1" s="1"/>
  <c r="D369" i="1"/>
  <c r="B370" i="1"/>
  <c r="C369" i="1"/>
  <c r="F368" i="1"/>
  <c r="K367" i="1" l="1"/>
  <c r="I368" i="1" a="1"/>
  <c r="I368" i="1" s="1"/>
  <c r="H368" i="1" a="1"/>
  <c r="H368" i="1" s="1"/>
  <c r="J368" i="1" s="1"/>
  <c r="D366" i="4"/>
  <c r="B365" i="4"/>
  <c r="N83" i="1" a="1"/>
  <c r="N83" i="1" s="1"/>
  <c r="O83" i="1" a="1"/>
  <c r="O83" i="1" s="1"/>
  <c r="A442" i="1"/>
  <c r="E370" i="1"/>
  <c r="G370" i="1" s="1" a="1"/>
  <c r="G370" i="1" s="1"/>
  <c r="B371" i="1"/>
  <c r="C370" i="1"/>
  <c r="D370" i="1"/>
  <c r="F369" i="1"/>
  <c r="L83" i="1" a="1"/>
  <c r="K368" i="1" l="1"/>
  <c r="H369" i="1" a="1"/>
  <c r="H369" i="1" s="1"/>
  <c r="J369" i="1" s="1"/>
  <c r="I369" i="1" a="1"/>
  <c r="I369" i="1" s="1"/>
  <c r="D367" i="4"/>
  <c r="B366" i="4"/>
  <c r="L83" i="1"/>
  <c r="A443" i="1"/>
  <c r="E371" i="1"/>
  <c r="G371" i="1" s="1" a="1"/>
  <c r="G371" i="1" s="1"/>
  <c r="D371" i="1"/>
  <c r="C371" i="1"/>
  <c r="B372" i="1"/>
  <c r="F370" i="1"/>
  <c r="K369" i="1" l="1"/>
  <c r="I370" i="1" a="1"/>
  <c r="I370" i="1" s="1"/>
  <c r="H370" i="1" a="1"/>
  <c r="H370" i="1" s="1"/>
  <c r="J370" i="1" s="1"/>
  <c r="D368" i="4"/>
  <c r="B367" i="4"/>
  <c r="M83" i="1" a="1"/>
  <c r="M83" i="1" s="1"/>
  <c r="Q83" i="1" s="1" a="1"/>
  <c r="Q83" i="1" s="1"/>
  <c r="P84" i="1" s="1"/>
  <c r="A444" i="1"/>
  <c r="E372" i="1"/>
  <c r="G372" i="1" s="1" a="1"/>
  <c r="G372" i="1" s="1"/>
  <c r="D372" i="1"/>
  <c r="B373" i="1"/>
  <c r="C372" i="1"/>
  <c r="F371" i="1"/>
  <c r="K370" i="1" l="1"/>
  <c r="I371" i="1" a="1"/>
  <c r="I371" i="1" s="1"/>
  <c r="H371" i="1" a="1"/>
  <c r="H371" i="1" s="1"/>
  <c r="J371" i="1" s="1"/>
  <c r="D369" i="4"/>
  <c r="B368" i="4"/>
  <c r="S83" i="1" a="1"/>
  <c r="S83" i="1" s="1"/>
  <c r="V83" i="1" s="1"/>
  <c r="A445" i="1"/>
  <c r="E373" i="1"/>
  <c r="G373" i="1" s="1" a="1"/>
  <c r="G373" i="1" s="1"/>
  <c r="D373" i="1"/>
  <c r="B374" i="1"/>
  <c r="C373" i="1"/>
  <c r="F372" i="1"/>
  <c r="K371" i="1" l="1"/>
  <c r="H372" i="1" a="1"/>
  <c r="H372" i="1" s="1"/>
  <c r="J372" i="1" s="1"/>
  <c r="I372" i="1" a="1"/>
  <c r="I372" i="1" s="1"/>
  <c r="D370" i="4"/>
  <c r="B369" i="4"/>
  <c r="R84" i="1" a="1"/>
  <c r="R84" i="1" s="1"/>
  <c r="T84" i="1" s="1"/>
  <c r="A446" i="1"/>
  <c r="E374" i="1"/>
  <c r="G374" i="1" s="1" a="1"/>
  <c r="G374" i="1" s="1"/>
  <c r="D374" i="1"/>
  <c r="B375" i="1"/>
  <c r="C374" i="1"/>
  <c r="F373" i="1"/>
  <c r="K372" i="1" l="1"/>
  <c r="H373" i="1" a="1"/>
  <c r="H373" i="1" s="1"/>
  <c r="J373" i="1" s="1"/>
  <c r="I373" i="1" a="1"/>
  <c r="I373" i="1" s="1"/>
  <c r="D371" i="4"/>
  <c r="B370" i="4"/>
  <c r="O84" i="1" a="1"/>
  <c r="O84" i="1" s="1"/>
  <c r="N84" i="1" a="1"/>
  <c r="N84" i="1" s="1"/>
  <c r="A447" i="1"/>
  <c r="E375" i="1"/>
  <c r="G375" i="1" s="1" a="1"/>
  <c r="G375" i="1" s="1"/>
  <c r="B376" i="1"/>
  <c r="D375" i="1"/>
  <c r="C375" i="1"/>
  <c r="F374" i="1"/>
  <c r="L84" i="1" a="1"/>
  <c r="K373" i="1" l="1"/>
  <c r="I374" i="1" a="1"/>
  <c r="I374" i="1" s="1"/>
  <c r="H374" i="1" a="1"/>
  <c r="H374" i="1" s="1"/>
  <c r="J374" i="1" s="1"/>
  <c r="D372" i="4"/>
  <c r="B371" i="4"/>
  <c r="L84" i="1"/>
  <c r="A448" i="1"/>
  <c r="E376" i="1"/>
  <c r="G376" i="1" s="1" a="1"/>
  <c r="G376" i="1" s="1"/>
  <c r="C376" i="1"/>
  <c r="D376" i="1"/>
  <c r="B377" i="1"/>
  <c r="F375" i="1"/>
  <c r="K374" i="1" l="1"/>
  <c r="I375" i="1" a="1"/>
  <c r="I375" i="1" s="1"/>
  <c r="H375" i="1" a="1"/>
  <c r="H375" i="1" s="1"/>
  <c r="J375" i="1" s="1"/>
  <c r="D373" i="4"/>
  <c r="B372" i="4"/>
  <c r="M84" i="1" a="1"/>
  <c r="M84" i="1" s="1"/>
  <c r="Q84" i="1" s="1" a="1"/>
  <c r="Q84" i="1" s="1"/>
  <c r="P85" i="1" s="1"/>
  <c r="A449" i="1"/>
  <c r="E377" i="1"/>
  <c r="G377" i="1" s="1" a="1"/>
  <c r="G377" i="1" s="1"/>
  <c r="C377" i="1"/>
  <c r="D377" i="1"/>
  <c r="B378" i="1"/>
  <c r="F376" i="1"/>
  <c r="K375" i="1" l="1"/>
  <c r="H376" i="1" a="1"/>
  <c r="H376" i="1" s="1"/>
  <c r="J376" i="1" s="1"/>
  <c r="I376" i="1" a="1"/>
  <c r="I376" i="1" s="1"/>
  <c r="D374" i="4"/>
  <c r="B373" i="4"/>
  <c r="S84" i="1" a="1"/>
  <c r="S84" i="1" s="1"/>
  <c r="V84" i="1" s="1"/>
  <c r="A450" i="1"/>
  <c r="E378" i="1"/>
  <c r="G378" i="1" s="1" a="1"/>
  <c r="G378" i="1" s="1"/>
  <c r="C378" i="1"/>
  <c r="B379" i="1"/>
  <c r="D378" i="1"/>
  <c r="F377" i="1"/>
  <c r="K376" i="1" l="1"/>
  <c r="H377" i="1" a="1"/>
  <c r="H377" i="1" s="1"/>
  <c r="J377" i="1" s="1"/>
  <c r="I377" i="1" a="1"/>
  <c r="I377" i="1" s="1"/>
  <c r="D375" i="4"/>
  <c r="B374" i="4"/>
  <c r="R85" i="1" a="1"/>
  <c r="R85" i="1" s="1"/>
  <c r="T85" i="1" s="1"/>
  <c r="A451" i="1"/>
  <c r="E379" i="1"/>
  <c r="G379" i="1" s="1" a="1"/>
  <c r="G379" i="1" s="1"/>
  <c r="C379" i="1"/>
  <c r="D379" i="1"/>
  <c r="B380" i="1"/>
  <c r="F378" i="1"/>
  <c r="K377" i="1" l="1"/>
  <c r="I378" i="1" a="1"/>
  <c r="I378" i="1" s="1"/>
  <c r="H378" i="1" a="1"/>
  <c r="H378" i="1" s="1"/>
  <c r="J378" i="1" s="1"/>
  <c r="D376" i="4"/>
  <c r="B375" i="4"/>
  <c r="N85" i="1" a="1"/>
  <c r="N85" i="1" s="1"/>
  <c r="O85" i="1" a="1"/>
  <c r="O85" i="1" s="1"/>
  <c r="A452" i="1"/>
  <c r="E380" i="1"/>
  <c r="G380" i="1" s="1" a="1"/>
  <c r="G380" i="1" s="1"/>
  <c r="D380" i="1"/>
  <c r="B381" i="1"/>
  <c r="C380" i="1"/>
  <c r="F379" i="1"/>
  <c r="L85" i="1" a="1"/>
  <c r="K378" i="1" l="1"/>
  <c r="I379" i="1" a="1"/>
  <c r="I379" i="1" s="1"/>
  <c r="H379" i="1" a="1"/>
  <c r="H379" i="1" s="1"/>
  <c r="J379" i="1" s="1"/>
  <c r="D377" i="4"/>
  <c r="B376" i="4"/>
  <c r="L85" i="1"/>
  <c r="A453" i="1"/>
  <c r="E381" i="1"/>
  <c r="G381" i="1" s="1" a="1"/>
  <c r="G381" i="1" s="1"/>
  <c r="B382" i="1"/>
  <c r="D381" i="1"/>
  <c r="C381" i="1"/>
  <c r="F380" i="1"/>
  <c r="K379" i="1" l="1"/>
  <c r="H380" i="1" a="1"/>
  <c r="H380" i="1" s="1"/>
  <c r="J380" i="1" s="1"/>
  <c r="I380" i="1" a="1"/>
  <c r="I380" i="1" s="1"/>
  <c r="D378" i="4"/>
  <c r="B377" i="4"/>
  <c r="M85" i="1" a="1"/>
  <c r="M85" i="1" s="1"/>
  <c r="Q85" i="1" s="1" a="1"/>
  <c r="Q85" i="1" s="1"/>
  <c r="P86" i="1" s="1"/>
  <c r="A454" i="1"/>
  <c r="E382" i="1"/>
  <c r="G382" i="1" s="1" a="1"/>
  <c r="G382" i="1" s="1"/>
  <c r="C382" i="1"/>
  <c r="B383" i="1"/>
  <c r="D382" i="1"/>
  <c r="F381" i="1"/>
  <c r="K380" i="1" l="1"/>
  <c r="I381" i="1" a="1"/>
  <c r="I381" i="1" s="1"/>
  <c r="H381" i="1" a="1"/>
  <c r="H381" i="1" s="1"/>
  <c r="J381" i="1" s="1"/>
  <c r="D379" i="4"/>
  <c r="B378" i="4"/>
  <c r="S85" i="1" a="1"/>
  <c r="S85" i="1" s="1"/>
  <c r="V85" i="1" s="1"/>
  <c r="A455" i="1"/>
  <c r="E383" i="1"/>
  <c r="G383" i="1" s="1" a="1"/>
  <c r="G383" i="1" s="1"/>
  <c r="C383" i="1"/>
  <c r="D383" i="1"/>
  <c r="B384" i="1"/>
  <c r="F382" i="1"/>
  <c r="K381" i="1" l="1"/>
  <c r="I382" i="1" a="1"/>
  <c r="I382" i="1" s="1"/>
  <c r="H382" i="1" a="1"/>
  <c r="H382" i="1" s="1"/>
  <c r="J382" i="1" s="1"/>
  <c r="D380" i="4"/>
  <c r="B379" i="4"/>
  <c r="R86" i="1" a="1"/>
  <c r="R86" i="1" s="1"/>
  <c r="T86" i="1" s="1"/>
  <c r="A456" i="1"/>
  <c r="E384" i="1"/>
  <c r="G384" i="1" s="1" a="1"/>
  <c r="G384" i="1" s="1"/>
  <c r="B385" i="1"/>
  <c r="C384" i="1"/>
  <c r="D384" i="1"/>
  <c r="F383" i="1"/>
  <c r="K382" i="1" l="1"/>
  <c r="I383" i="1" a="1"/>
  <c r="I383" i="1" s="1"/>
  <c r="H383" i="1" a="1"/>
  <c r="H383" i="1" s="1"/>
  <c r="J383" i="1" s="1"/>
  <c r="D381" i="4"/>
  <c r="B380" i="4"/>
  <c r="O86" i="1" a="1"/>
  <c r="O86" i="1" s="1"/>
  <c r="N86" i="1" a="1"/>
  <c r="N86" i="1" s="1"/>
  <c r="A457" i="1"/>
  <c r="E385" i="1"/>
  <c r="G385" i="1" s="1" a="1"/>
  <c r="G385" i="1" s="1"/>
  <c r="C385" i="1"/>
  <c r="B386" i="1"/>
  <c r="D385" i="1"/>
  <c r="F384" i="1"/>
  <c r="L86" i="1" a="1"/>
  <c r="K383" i="1" l="1"/>
  <c r="I384" i="1" a="1"/>
  <c r="I384" i="1" s="1"/>
  <c r="H384" i="1" a="1"/>
  <c r="H384" i="1" s="1"/>
  <c r="J384" i="1" s="1"/>
  <c r="D382" i="4"/>
  <c r="B381" i="4"/>
  <c r="L86" i="1"/>
  <c r="A458" i="1"/>
  <c r="E386" i="1"/>
  <c r="G386" i="1" s="1" a="1"/>
  <c r="G386" i="1" s="1"/>
  <c r="D386" i="1"/>
  <c r="B387" i="1"/>
  <c r="C386" i="1"/>
  <c r="F385" i="1"/>
  <c r="K384" i="1" l="1"/>
  <c r="I385" i="1" a="1"/>
  <c r="I385" i="1" s="1"/>
  <c r="H385" i="1" a="1"/>
  <c r="H385" i="1" s="1"/>
  <c r="J385" i="1" s="1"/>
  <c r="D383" i="4"/>
  <c r="B382" i="4"/>
  <c r="M86" i="1" a="1"/>
  <c r="M86" i="1" s="1"/>
  <c r="Q86" i="1" s="1" a="1"/>
  <c r="Q86" i="1" s="1"/>
  <c r="P87" i="1" s="1"/>
  <c r="A459" i="1"/>
  <c r="E387" i="1"/>
  <c r="G387" i="1" s="1" a="1"/>
  <c r="G387" i="1" s="1"/>
  <c r="B388" i="1"/>
  <c r="C387" i="1"/>
  <c r="D387" i="1"/>
  <c r="F386" i="1"/>
  <c r="K385" i="1" l="1"/>
  <c r="I386" i="1" a="1"/>
  <c r="I386" i="1" s="1"/>
  <c r="H386" i="1" a="1"/>
  <c r="H386" i="1" s="1"/>
  <c r="J386" i="1" s="1"/>
  <c r="D384" i="4"/>
  <c r="B383" i="4"/>
  <c r="S86" i="1" a="1"/>
  <c r="S86" i="1" s="1"/>
  <c r="V86" i="1" s="1"/>
  <c r="A460" i="1"/>
  <c r="E388" i="1"/>
  <c r="G388" i="1" s="1" a="1"/>
  <c r="G388" i="1" s="1"/>
  <c r="C388" i="1"/>
  <c r="D388" i="1"/>
  <c r="B389" i="1"/>
  <c r="F387" i="1"/>
  <c r="K386" i="1" l="1"/>
  <c r="H387" i="1" a="1"/>
  <c r="H387" i="1" s="1"/>
  <c r="J387" i="1" s="1"/>
  <c r="I387" i="1" a="1"/>
  <c r="I387" i="1" s="1"/>
  <c r="D385" i="4"/>
  <c r="B384" i="4"/>
  <c r="R87" i="1" a="1"/>
  <c r="R87" i="1" s="1"/>
  <c r="T87" i="1" s="1"/>
  <c r="A461" i="1"/>
  <c r="E389" i="1"/>
  <c r="G389" i="1" s="1" a="1"/>
  <c r="G389" i="1" s="1"/>
  <c r="C389" i="1"/>
  <c r="D389" i="1"/>
  <c r="B390" i="1"/>
  <c r="F388" i="1"/>
  <c r="K387" i="1" l="1"/>
  <c r="I388" i="1" a="1"/>
  <c r="I388" i="1" s="1"/>
  <c r="H388" i="1" a="1"/>
  <c r="H388" i="1" s="1"/>
  <c r="J388" i="1" s="1"/>
  <c r="D386" i="4"/>
  <c r="B385" i="4"/>
  <c r="O87" i="1" a="1"/>
  <c r="O87" i="1" s="1"/>
  <c r="N87" i="1" a="1"/>
  <c r="N87" i="1" s="1"/>
  <c r="A462" i="1"/>
  <c r="E390" i="1"/>
  <c r="G390" i="1" s="1" a="1"/>
  <c r="G390" i="1" s="1"/>
  <c r="B391" i="1"/>
  <c r="C390" i="1"/>
  <c r="D390" i="1"/>
  <c r="F389" i="1"/>
  <c r="L87" i="1" a="1"/>
  <c r="K388" i="1" l="1"/>
  <c r="H389" i="1" a="1"/>
  <c r="H389" i="1" s="1"/>
  <c r="J389" i="1" s="1"/>
  <c r="I389" i="1" a="1"/>
  <c r="I389" i="1" s="1"/>
  <c r="D387" i="4"/>
  <c r="B386" i="4"/>
  <c r="L87" i="1"/>
  <c r="A463" i="1"/>
  <c r="E391" i="1"/>
  <c r="G391" i="1" s="1" a="1"/>
  <c r="G391" i="1" s="1"/>
  <c r="C391" i="1"/>
  <c r="D391" i="1"/>
  <c r="B392" i="1"/>
  <c r="F390" i="1"/>
  <c r="K389" i="1" l="1"/>
  <c r="H390" i="1" a="1"/>
  <c r="H390" i="1" s="1"/>
  <c r="J390" i="1" s="1"/>
  <c r="I390" i="1" a="1"/>
  <c r="I390" i="1" s="1"/>
  <c r="D388" i="4"/>
  <c r="B387" i="4"/>
  <c r="M87" i="1" a="1"/>
  <c r="M87" i="1" s="1"/>
  <c r="Q87" i="1" s="1" a="1"/>
  <c r="Q87" i="1" s="1"/>
  <c r="P88" i="1" s="1"/>
  <c r="A464" i="1"/>
  <c r="E392" i="1"/>
  <c r="G392" i="1" s="1" a="1"/>
  <c r="G392" i="1" s="1"/>
  <c r="C392" i="1"/>
  <c r="B393" i="1"/>
  <c r="D392" i="1"/>
  <c r="F391" i="1"/>
  <c r="K390" i="1" l="1"/>
  <c r="I391" i="1" a="1"/>
  <c r="I391" i="1" s="1"/>
  <c r="H391" i="1" a="1"/>
  <c r="H391" i="1" s="1"/>
  <c r="J391" i="1" s="1"/>
  <c r="D389" i="4"/>
  <c r="B388" i="4"/>
  <c r="S87" i="1" a="1"/>
  <c r="S87" i="1" s="1"/>
  <c r="V87" i="1" s="1"/>
  <c r="A465" i="1"/>
  <c r="E393" i="1"/>
  <c r="G393" i="1" s="1" a="1"/>
  <c r="G393" i="1" s="1"/>
  <c r="D393" i="1"/>
  <c r="B394" i="1"/>
  <c r="C393" i="1"/>
  <c r="F392" i="1"/>
  <c r="K391" i="1" l="1"/>
  <c r="H392" i="1" a="1"/>
  <c r="H392" i="1" s="1"/>
  <c r="J392" i="1" s="1"/>
  <c r="I392" i="1" a="1"/>
  <c r="I392" i="1" s="1"/>
  <c r="D390" i="4"/>
  <c r="B389" i="4"/>
  <c r="R88" i="1" a="1"/>
  <c r="R88" i="1" s="1"/>
  <c r="T88" i="1" s="1"/>
  <c r="A466" i="1"/>
  <c r="E394" i="1"/>
  <c r="G394" i="1" s="1" a="1"/>
  <c r="G394" i="1" s="1"/>
  <c r="B395" i="1"/>
  <c r="C394" i="1"/>
  <c r="D394" i="1"/>
  <c r="F393" i="1"/>
  <c r="K392" i="1" l="1"/>
  <c r="I393" i="1" a="1"/>
  <c r="I393" i="1" s="1"/>
  <c r="H393" i="1" a="1"/>
  <c r="H393" i="1" s="1"/>
  <c r="J393" i="1" s="1"/>
  <c r="D391" i="4"/>
  <c r="B390" i="4"/>
  <c r="O88" i="1" a="1"/>
  <c r="O88" i="1" s="1"/>
  <c r="N88" i="1" a="1"/>
  <c r="N88" i="1" s="1"/>
  <c r="A467" i="1"/>
  <c r="E395" i="1"/>
  <c r="G395" i="1" s="1" a="1"/>
  <c r="G395" i="1" s="1"/>
  <c r="C395" i="1"/>
  <c r="B396" i="1"/>
  <c r="D395" i="1"/>
  <c r="F394" i="1"/>
  <c r="L88" i="1" a="1"/>
  <c r="K393" i="1" l="1"/>
  <c r="I394" i="1" a="1"/>
  <c r="I394" i="1" s="1"/>
  <c r="H394" i="1" a="1"/>
  <c r="H394" i="1" s="1"/>
  <c r="J394" i="1" s="1"/>
  <c r="D392" i="4"/>
  <c r="B391" i="4"/>
  <c r="L88" i="1"/>
  <c r="A468" i="1"/>
  <c r="E396" i="1"/>
  <c r="G396" i="1" s="1" a="1"/>
  <c r="G396" i="1" s="1"/>
  <c r="C396" i="1"/>
  <c r="B397" i="1"/>
  <c r="D396" i="1"/>
  <c r="F395" i="1"/>
  <c r="K394" i="1" l="1"/>
  <c r="I395" i="1" a="1"/>
  <c r="I395" i="1" s="1"/>
  <c r="H395" i="1" a="1"/>
  <c r="H395" i="1" s="1"/>
  <c r="J395" i="1" s="1"/>
  <c r="D393" i="4"/>
  <c r="B392" i="4"/>
  <c r="M88" i="1" a="1"/>
  <c r="M88" i="1" s="1"/>
  <c r="Q88" i="1" s="1" a="1"/>
  <c r="Q88" i="1" s="1"/>
  <c r="P89" i="1" s="1"/>
  <c r="A469" i="1"/>
  <c r="E397" i="1"/>
  <c r="G397" i="1" s="1" a="1"/>
  <c r="G397" i="1" s="1"/>
  <c r="C397" i="1"/>
  <c r="B398" i="1"/>
  <c r="D397" i="1"/>
  <c r="F396" i="1"/>
  <c r="K395" i="1" l="1"/>
  <c r="I396" i="1" a="1"/>
  <c r="I396" i="1" s="1"/>
  <c r="H396" i="1" a="1"/>
  <c r="H396" i="1" s="1"/>
  <c r="J396" i="1" s="1"/>
  <c r="D394" i="4"/>
  <c r="B393" i="4"/>
  <c r="S88" i="1" a="1"/>
  <c r="S88" i="1" s="1"/>
  <c r="V88" i="1" s="1"/>
  <c r="A470" i="1"/>
  <c r="E398" i="1"/>
  <c r="G398" i="1" s="1" a="1"/>
  <c r="G398" i="1" s="1"/>
  <c r="C398" i="1"/>
  <c r="D398" i="1"/>
  <c r="B399" i="1"/>
  <c r="F397" i="1"/>
  <c r="K396" i="1" l="1"/>
  <c r="I397" i="1" a="1"/>
  <c r="I397" i="1" s="1"/>
  <c r="H397" i="1" a="1"/>
  <c r="H397" i="1" s="1"/>
  <c r="J397" i="1" s="1"/>
  <c r="D395" i="4"/>
  <c r="B394" i="4"/>
  <c r="R89" i="1" a="1"/>
  <c r="R89" i="1" s="1"/>
  <c r="T89" i="1" s="1"/>
  <c r="A471" i="1"/>
  <c r="E399" i="1"/>
  <c r="G399" i="1" s="1" a="1"/>
  <c r="G399" i="1" s="1"/>
  <c r="B400" i="1"/>
  <c r="C399" i="1"/>
  <c r="D399" i="1"/>
  <c r="F398" i="1"/>
  <c r="K397" i="1" l="1"/>
  <c r="H398" i="1" a="1"/>
  <c r="H398" i="1" s="1"/>
  <c r="J398" i="1" s="1"/>
  <c r="I398" i="1" a="1"/>
  <c r="I398" i="1" s="1"/>
  <c r="D396" i="4"/>
  <c r="B395" i="4"/>
  <c r="O89" i="1" a="1"/>
  <c r="O89" i="1" s="1"/>
  <c r="N89" i="1" a="1"/>
  <c r="N89" i="1" s="1"/>
  <c r="A472" i="1"/>
  <c r="E400" i="1"/>
  <c r="G400" i="1" s="1" a="1"/>
  <c r="G400" i="1" s="1"/>
  <c r="C400" i="1"/>
  <c r="D400" i="1"/>
  <c r="B401" i="1"/>
  <c r="F399" i="1"/>
  <c r="L89" i="1" a="1"/>
  <c r="K398" i="1" l="1"/>
  <c r="I399" i="1" a="1"/>
  <c r="I399" i="1" s="1"/>
  <c r="H399" i="1" a="1"/>
  <c r="H399" i="1" s="1"/>
  <c r="J399" i="1" s="1"/>
  <c r="D397" i="4"/>
  <c r="B396" i="4"/>
  <c r="L89" i="1"/>
  <c r="A473" i="1"/>
  <c r="E401" i="1"/>
  <c r="G401" i="1" s="1" a="1"/>
  <c r="G401" i="1" s="1"/>
  <c r="C401" i="1"/>
  <c r="D401" i="1"/>
  <c r="B402" i="1"/>
  <c r="F400" i="1"/>
  <c r="K399" i="1" l="1"/>
  <c r="H400" i="1" a="1"/>
  <c r="H400" i="1" s="1"/>
  <c r="J400" i="1" s="1"/>
  <c r="I400" i="1" a="1"/>
  <c r="I400" i="1" s="1"/>
  <c r="D398" i="4"/>
  <c r="B397" i="4"/>
  <c r="M89" i="1" a="1"/>
  <c r="M89" i="1" s="1"/>
  <c r="Q89" i="1" s="1" a="1"/>
  <c r="Q89" i="1" s="1"/>
  <c r="P90" i="1" s="1"/>
  <c r="A474" i="1"/>
  <c r="E402" i="1"/>
  <c r="G402" i="1" s="1" a="1"/>
  <c r="G402" i="1" s="1"/>
  <c r="D402" i="1"/>
  <c r="B403" i="1"/>
  <c r="C402" i="1"/>
  <c r="F401" i="1"/>
  <c r="K400" i="1" l="1"/>
  <c r="H401" i="1" a="1"/>
  <c r="H401" i="1" s="1"/>
  <c r="J401" i="1" s="1"/>
  <c r="I401" i="1" a="1"/>
  <c r="I401" i="1" s="1"/>
  <c r="D399" i="4"/>
  <c r="B398" i="4"/>
  <c r="S89" i="1" a="1"/>
  <c r="S89" i="1" s="1"/>
  <c r="V89" i="1" s="1"/>
  <c r="A475" i="1"/>
  <c r="E403" i="1"/>
  <c r="G403" i="1" s="1" a="1"/>
  <c r="G403" i="1" s="1"/>
  <c r="D403" i="1"/>
  <c r="B404" i="1"/>
  <c r="C403" i="1"/>
  <c r="F402" i="1"/>
  <c r="K401" i="1" l="1"/>
  <c r="I402" i="1" a="1"/>
  <c r="I402" i="1" s="1"/>
  <c r="H402" i="1" a="1"/>
  <c r="H402" i="1" s="1"/>
  <c r="J402" i="1" s="1"/>
  <c r="D400" i="4"/>
  <c r="B399" i="4"/>
  <c r="R90" i="1" a="1"/>
  <c r="R90" i="1" s="1"/>
  <c r="T90" i="1" s="1"/>
  <c r="A476" i="1"/>
  <c r="E404" i="1"/>
  <c r="G404" i="1" s="1" a="1"/>
  <c r="G404" i="1" s="1"/>
  <c r="C404" i="1"/>
  <c r="D404" i="1"/>
  <c r="B405" i="1"/>
  <c r="F403" i="1"/>
  <c r="K402" i="1" l="1"/>
  <c r="H403" i="1" a="1"/>
  <c r="H403" i="1" s="1"/>
  <c r="J403" i="1" s="1"/>
  <c r="I403" i="1" a="1"/>
  <c r="I403" i="1" s="1"/>
  <c r="D401" i="4"/>
  <c r="B400" i="4"/>
  <c r="N90" i="1" a="1"/>
  <c r="N90" i="1" s="1"/>
  <c r="O90" i="1" a="1"/>
  <c r="O90" i="1" s="1"/>
  <c r="A477" i="1"/>
  <c r="E405" i="1"/>
  <c r="G405" i="1" s="1" a="1"/>
  <c r="G405" i="1" s="1"/>
  <c r="D405" i="1"/>
  <c r="C405" i="1"/>
  <c r="B406" i="1"/>
  <c r="F404" i="1"/>
  <c r="L90" i="1" a="1"/>
  <c r="K403" i="1" l="1"/>
  <c r="H404" i="1" a="1"/>
  <c r="H404" i="1" s="1"/>
  <c r="J404" i="1" s="1"/>
  <c r="I404" i="1" a="1"/>
  <c r="I404" i="1" s="1"/>
  <c r="D402" i="4"/>
  <c r="B401" i="4"/>
  <c r="L90" i="1"/>
  <c r="A478" i="1"/>
  <c r="E406" i="1"/>
  <c r="G406" i="1" s="1" a="1"/>
  <c r="G406" i="1" s="1"/>
  <c r="B407" i="1"/>
  <c r="D406" i="1"/>
  <c r="C406" i="1"/>
  <c r="F405" i="1"/>
  <c r="K404" i="1" l="1"/>
  <c r="H405" i="1" a="1"/>
  <c r="H405" i="1" s="1"/>
  <c r="J405" i="1" s="1"/>
  <c r="I405" i="1" a="1"/>
  <c r="I405" i="1" s="1"/>
  <c r="D403" i="4"/>
  <c r="B402" i="4"/>
  <c r="M90" i="1" a="1"/>
  <c r="M90" i="1" s="1"/>
  <c r="Q90" i="1" s="1" a="1"/>
  <c r="Q90" i="1" s="1"/>
  <c r="P91" i="1" s="1"/>
  <c r="A479" i="1"/>
  <c r="E407" i="1"/>
  <c r="G407" i="1" s="1" a="1"/>
  <c r="G407" i="1" s="1"/>
  <c r="B408" i="1"/>
  <c r="C407" i="1"/>
  <c r="D407" i="1"/>
  <c r="F406" i="1"/>
  <c r="K405" i="1" l="1"/>
  <c r="H406" i="1" a="1"/>
  <c r="H406" i="1" s="1"/>
  <c r="J406" i="1" s="1"/>
  <c r="I406" i="1" a="1"/>
  <c r="I406" i="1" s="1"/>
  <c r="D404" i="4"/>
  <c r="B403" i="4"/>
  <c r="S90" i="1" a="1"/>
  <c r="S90" i="1" s="1"/>
  <c r="V90" i="1" s="1"/>
  <c r="A480" i="1"/>
  <c r="E408" i="1"/>
  <c r="G408" i="1" s="1" a="1"/>
  <c r="G408" i="1" s="1"/>
  <c r="B409" i="1"/>
  <c r="D408" i="1"/>
  <c r="C408" i="1"/>
  <c r="F407" i="1"/>
  <c r="K406" i="1" l="1"/>
  <c r="I407" i="1" a="1"/>
  <c r="I407" i="1" s="1"/>
  <c r="H407" i="1" a="1"/>
  <c r="H407" i="1" s="1"/>
  <c r="J407" i="1" s="1"/>
  <c r="D405" i="4"/>
  <c r="B404" i="4"/>
  <c r="R91" i="1" a="1"/>
  <c r="R91" i="1" s="1"/>
  <c r="T91" i="1" s="1"/>
  <c r="A481" i="1"/>
  <c r="E409" i="1"/>
  <c r="G409" i="1" s="1" a="1"/>
  <c r="G409" i="1" s="1"/>
  <c r="B410" i="1"/>
  <c r="C409" i="1"/>
  <c r="D409" i="1"/>
  <c r="F408" i="1"/>
  <c r="K407" i="1" l="1"/>
  <c r="H408" i="1" a="1"/>
  <c r="H408" i="1" s="1"/>
  <c r="J408" i="1" s="1"/>
  <c r="I408" i="1" a="1"/>
  <c r="I408" i="1" s="1"/>
  <c r="D406" i="4"/>
  <c r="B405" i="4"/>
  <c r="N91" i="1" a="1"/>
  <c r="N91" i="1" s="1"/>
  <c r="O91" i="1" a="1"/>
  <c r="O91" i="1" s="1"/>
  <c r="A482" i="1"/>
  <c r="E410" i="1"/>
  <c r="G410" i="1" s="1" a="1"/>
  <c r="G410" i="1" s="1"/>
  <c r="D410" i="1"/>
  <c r="B411" i="1"/>
  <c r="C410" i="1"/>
  <c r="F409" i="1"/>
  <c r="L91" i="1" a="1"/>
  <c r="K408" i="1" l="1"/>
  <c r="H409" i="1" a="1"/>
  <c r="H409" i="1" s="1"/>
  <c r="J409" i="1" s="1"/>
  <c r="I409" i="1" a="1"/>
  <c r="I409" i="1" s="1"/>
  <c r="D407" i="4"/>
  <c r="B406" i="4"/>
  <c r="L91" i="1"/>
  <c r="A483" i="1"/>
  <c r="E411" i="1"/>
  <c r="G411" i="1" s="1" a="1"/>
  <c r="G411" i="1" s="1"/>
  <c r="C411" i="1"/>
  <c r="D411" i="1"/>
  <c r="B412" i="1"/>
  <c r="F410" i="1"/>
  <c r="K409" i="1" l="1"/>
  <c r="H410" i="1" a="1"/>
  <c r="H410" i="1" s="1"/>
  <c r="J410" i="1" s="1"/>
  <c r="I410" i="1" a="1"/>
  <c r="I410" i="1" s="1"/>
  <c r="D408" i="4"/>
  <c r="B407" i="4"/>
  <c r="M91" i="1" a="1"/>
  <c r="M91" i="1" s="1"/>
  <c r="Q91" i="1" s="1" a="1"/>
  <c r="Q91" i="1" s="1"/>
  <c r="P92" i="1" s="1"/>
  <c r="A484" i="1"/>
  <c r="E412" i="1"/>
  <c r="G412" i="1" s="1" a="1"/>
  <c r="G412" i="1" s="1"/>
  <c r="B413" i="1"/>
  <c r="D412" i="1"/>
  <c r="C412" i="1"/>
  <c r="F411" i="1"/>
  <c r="K410" i="1" l="1"/>
  <c r="I411" i="1" a="1"/>
  <c r="I411" i="1" s="1"/>
  <c r="H411" i="1" a="1"/>
  <c r="H411" i="1" s="1"/>
  <c r="J411" i="1" s="1"/>
  <c r="D409" i="4"/>
  <c r="B408" i="4"/>
  <c r="S91" i="1" a="1"/>
  <c r="S91" i="1" s="1"/>
  <c r="V91" i="1" s="1"/>
  <c r="A485" i="1"/>
  <c r="E413" i="1"/>
  <c r="G413" i="1" s="1" a="1"/>
  <c r="G413" i="1" s="1"/>
  <c r="C413" i="1"/>
  <c r="D413" i="1"/>
  <c r="B414" i="1"/>
  <c r="F412" i="1"/>
  <c r="K411" i="1" l="1"/>
  <c r="I412" i="1" a="1"/>
  <c r="I412" i="1" s="1"/>
  <c r="H412" i="1" a="1"/>
  <c r="H412" i="1" s="1"/>
  <c r="J412" i="1" s="1"/>
  <c r="D410" i="4"/>
  <c r="B409" i="4"/>
  <c r="R92" i="1" a="1"/>
  <c r="R92" i="1" s="1"/>
  <c r="T92" i="1" s="1"/>
  <c r="A486" i="1"/>
  <c r="E414" i="1"/>
  <c r="G414" i="1" s="1" a="1"/>
  <c r="G414" i="1" s="1"/>
  <c r="D414" i="1"/>
  <c r="B415" i="1"/>
  <c r="C414" i="1"/>
  <c r="F413" i="1"/>
  <c r="K412" i="1" l="1"/>
  <c r="I413" i="1" a="1"/>
  <c r="I413" i="1" s="1"/>
  <c r="H413" i="1" a="1"/>
  <c r="H413" i="1" s="1"/>
  <c r="J413" i="1" s="1"/>
  <c r="D411" i="4"/>
  <c r="B410" i="4"/>
  <c r="N92" i="1" a="1"/>
  <c r="N92" i="1" s="1"/>
  <c r="O92" i="1" a="1"/>
  <c r="O92" i="1" s="1"/>
  <c r="A487" i="1"/>
  <c r="E415" i="1"/>
  <c r="G415" i="1" s="1" a="1"/>
  <c r="G415" i="1" s="1"/>
  <c r="D415" i="1"/>
  <c r="B416" i="1"/>
  <c r="C415" i="1"/>
  <c r="F414" i="1"/>
  <c r="L92" i="1" a="1"/>
  <c r="K413" i="1" l="1"/>
  <c r="H414" i="1" a="1"/>
  <c r="H414" i="1" s="1"/>
  <c r="J414" i="1" s="1"/>
  <c r="I414" i="1" a="1"/>
  <c r="I414" i="1" s="1"/>
  <c r="D412" i="4"/>
  <c r="B411" i="4"/>
  <c r="L92" i="1"/>
  <c r="A488" i="1"/>
  <c r="F415" i="1"/>
  <c r="E416" i="1"/>
  <c r="G416" i="1" s="1" a="1"/>
  <c r="G416" i="1" s="1"/>
  <c r="B417" i="1"/>
  <c r="C416" i="1"/>
  <c r="D416" i="1"/>
  <c r="K414" i="1" l="1"/>
  <c r="I415" i="1" a="1"/>
  <c r="I415" i="1" s="1"/>
  <c r="H415" i="1" a="1"/>
  <c r="H415" i="1" s="1"/>
  <c r="J415" i="1" s="1"/>
  <c r="D413" i="4"/>
  <c r="B412" i="4"/>
  <c r="M92" i="1" a="1"/>
  <c r="M92" i="1" s="1"/>
  <c r="Q92" i="1" s="1" a="1"/>
  <c r="Q92" i="1" s="1"/>
  <c r="P93" i="1" s="1"/>
  <c r="A489" i="1"/>
  <c r="F416" i="1"/>
  <c r="E417" i="1"/>
  <c r="G417" i="1" s="1" a="1"/>
  <c r="G417" i="1" s="1"/>
  <c r="D417" i="1"/>
  <c r="C417" i="1"/>
  <c r="B418" i="1"/>
  <c r="K415" i="1" l="1"/>
  <c r="I416" i="1" a="1"/>
  <c r="I416" i="1" s="1"/>
  <c r="H416" i="1" a="1"/>
  <c r="H416" i="1" s="1"/>
  <c r="J416" i="1" s="1"/>
  <c r="D414" i="4"/>
  <c r="B413" i="4"/>
  <c r="S92" i="1" a="1"/>
  <c r="S92" i="1" s="1"/>
  <c r="V92" i="1" s="1"/>
  <c r="A490" i="1"/>
  <c r="E418" i="1"/>
  <c r="G418" i="1" s="1" a="1"/>
  <c r="G418" i="1" s="1"/>
  <c r="B419" i="1"/>
  <c r="C418" i="1"/>
  <c r="D418" i="1"/>
  <c r="F417" i="1"/>
  <c r="K416" i="1" l="1"/>
  <c r="H417" i="1" a="1"/>
  <c r="H417" i="1" s="1"/>
  <c r="J417" i="1" s="1"/>
  <c r="I417" i="1" a="1"/>
  <c r="I417" i="1" s="1"/>
  <c r="D415" i="4"/>
  <c r="B414" i="4"/>
  <c r="R93" i="1" a="1"/>
  <c r="R93" i="1" s="1"/>
  <c r="T93" i="1" s="1"/>
  <c r="A491" i="1"/>
  <c r="E419" i="1"/>
  <c r="G419" i="1" s="1" a="1"/>
  <c r="G419" i="1" s="1"/>
  <c r="C419" i="1"/>
  <c r="D419" i="1"/>
  <c r="B420" i="1"/>
  <c r="F418" i="1"/>
  <c r="K417" i="1" l="1"/>
  <c r="I418" i="1" a="1"/>
  <c r="I418" i="1" s="1"/>
  <c r="H418" i="1" a="1"/>
  <c r="H418" i="1" s="1"/>
  <c r="J418" i="1" s="1"/>
  <c r="D416" i="4"/>
  <c r="B415" i="4"/>
  <c r="O93" i="1" a="1"/>
  <c r="O93" i="1" s="1"/>
  <c r="N93" i="1" a="1"/>
  <c r="N93" i="1" s="1"/>
  <c r="A492" i="1"/>
  <c r="E420" i="1"/>
  <c r="G420" i="1" s="1" a="1"/>
  <c r="G420" i="1" s="1"/>
  <c r="D420" i="1"/>
  <c r="C420" i="1"/>
  <c r="B421" i="1"/>
  <c r="F419" i="1"/>
  <c r="L93" i="1" a="1"/>
  <c r="K418" i="1" l="1"/>
  <c r="I419" i="1" a="1"/>
  <c r="I419" i="1" s="1"/>
  <c r="H419" i="1" a="1"/>
  <c r="H419" i="1" s="1"/>
  <c r="J419" i="1" s="1"/>
  <c r="D417" i="4"/>
  <c r="B416" i="4"/>
  <c r="L93" i="1"/>
  <c r="A493" i="1"/>
  <c r="F420" i="1"/>
  <c r="E421" i="1"/>
  <c r="G421" i="1" s="1" a="1"/>
  <c r="G421" i="1" s="1"/>
  <c r="B422" i="1"/>
  <c r="C421" i="1"/>
  <c r="D421" i="1"/>
  <c r="K419" i="1" l="1"/>
  <c r="H420" i="1" a="1"/>
  <c r="H420" i="1" s="1"/>
  <c r="J420" i="1" s="1"/>
  <c r="I420" i="1" a="1"/>
  <c r="I420" i="1" s="1"/>
  <c r="D418" i="4"/>
  <c r="B417" i="4"/>
  <c r="M93" i="1" a="1"/>
  <c r="M93" i="1" s="1"/>
  <c r="Q93" i="1" s="1" a="1"/>
  <c r="Q93" i="1" s="1"/>
  <c r="P94" i="1" s="1"/>
  <c r="A494" i="1"/>
  <c r="F421" i="1"/>
  <c r="E422" i="1"/>
  <c r="G422" i="1" s="1" a="1"/>
  <c r="G422" i="1" s="1"/>
  <c r="D422" i="1"/>
  <c r="B423" i="1"/>
  <c r="C422" i="1"/>
  <c r="K420" i="1" l="1"/>
  <c r="I421" i="1" a="1"/>
  <c r="I421" i="1" s="1"/>
  <c r="H421" i="1" a="1"/>
  <c r="H421" i="1" s="1"/>
  <c r="J421" i="1" s="1"/>
  <c r="D419" i="4"/>
  <c r="B418" i="4"/>
  <c r="S93" i="1" a="1"/>
  <c r="S93" i="1" s="1"/>
  <c r="V93" i="1" s="1"/>
  <c r="A495" i="1"/>
  <c r="E423" i="1"/>
  <c r="G423" i="1" s="1" a="1"/>
  <c r="G423" i="1" s="1"/>
  <c r="C423" i="1"/>
  <c r="D423" i="1"/>
  <c r="B424" i="1"/>
  <c r="F422" i="1"/>
  <c r="K421" i="1" l="1"/>
  <c r="I422" i="1" a="1"/>
  <c r="I422" i="1" s="1"/>
  <c r="H422" i="1" a="1"/>
  <c r="H422" i="1" s="1"/>
  <c r="J422" i="1" s="1"/>
  <c r="D420" i="4"/>
  <c r="B419" i="4"/>
  <c r="R94" i="1" a="1"/>
  <c r="R94" i="1" s="1"/>
  <c r="T94" i="1" s="1"/>
  <c r="A496" i="1"/>
  <c r="E424" i="1"/>
  <c r="G424" i="1" s="1" a="1"/>
  <c r="G424" i="1" s="1"/>
  <c r="B425" i="1"/>
  <c r="D424" i="1"/>
  <c r="C424" i="1"/>
  <c r="F423" i="1"/>
  <c r="K422" i="1" l="1"/>
  <c r="H423" i="1" a="1"/>
  <c r="H423" i="1" s="1"/>
  <c r="J423" i="1" s="1"/>
  <c r="I423" i="1" a="1"/>
  <c r="I423" i="1" s="1"/>
  <c r="D421" i="4"/>
  <c r="B420" i="4"/>
  <c r="N94" i="1" a="1"/>
  <c r="N94" i="1" s="1"/>
  <c r="O94" i="1" a="1"/>
  <c r="O94" i="1" s="1"/>
  <c r="A497" i="1"/>
  <c r="E425" i="1"/>
  <c r="G425" i="1" s="1" a="1"/>
  <c r="G425" i="1" s="1"/>
  <c r="D425" i="1"/>
  <c r="B426" i="1"/>
  <c r="C425" i="1"/>
  <c r="F424" i="1"/>
  <c r="L94" i="1" a="1"/>
  <c r="K423" i="1" l="1"/>
  <c r="H424" i="1" a="1"/>
  <c r="H424" i="1" s="1"/>
  <c r="J424" i="1" s="1"/>
  <c r="I424" i="1" a="1"/>
  <c r="I424" i="1" s="1"/>
  <c r="D422" i="4"/>
  <c r="B421" i="4"/>
  <c r="L94" i="1"/>
  <c r="A498" i="1"/>
  <c r="E426" i="1"/>
  <c r="G426" i="1" s="1" a="1"/>
  <c r="G426" i="1" s="1"/>
  <c r="D426" i="1"/>
  <c r="B427" i="1"/>
  <c r="C426" i="1"/>
  <c r="F425" i="1"/>
  <c r="K424" i="1" l="1"/>
  <c r="I425" i="1" a="1"/>
  <c r="I425" i="1" s="1"/>
  <c r="H425" i="1" a="1"/>
  <c r="H425" i="1" s="1"/>
  <c r="J425" i="1" s="1"/>
  <c r="D423" i="4"/>
  <c r="B422" i="4"/>
  <c r="M94" i="1" a="1"/>
  <c r="M94" i="1" s="1"/>
  <c r="Q94" i="1" s="1" a="1"/>
  <c r="Q94" i="1" s="1"/>
  <c r="P95" i="1" s="1"/>
  <c r="A499" i="1"/>
  <c r="E427" i="1"/>
  <c r="G427" i="1" s="1" a="1"/>
  <c r="G427" i="1" s="1"/>
  <c r="C427" i="1"/>
  <c r="B428" i="1"/>
  <c r="D427" i="1"/>
  <c r="F426" i="1"/>
  <c r="K425" i="1" l="1"/>
  <c r="I426" i="1" a="1"/>
  <c r="I426" i="1" s="1"/>
  <c r="H426" i="1" a="1"/>
  <c r="H426" i="1" s="1"/>
  <c r="J426" i="1" s="1"/>
  <c r="D424" i="4"/>
  <c r="B423" i="4"/>
  <c r="S94" i="1" a="1"/>
  <c r="S94" i="1" s="1"/>
  <c r="V94" i="1" s="1"/>
  <c r="A500" i="1"/>
  <c r="E428" i="1"/>
  <c r="G428" i="1" s="1" a="1"/>
  <c r="G428" i="1" s="1"/>
  <c r="B429" i="1"/>
  <c r="C428" i="1"/>
  <c r="D428" i="1"/>
  <c r="F427" i="1"/>
  <c r="K426" i="1" l="1"/>
  <c r="H427" i="1" a="1"/>
  <c r="H427" i="1" s="1"/>
  <c r="J427" i="1" s="1"/>
  <c r="I427" i="1" a="1"/>
  <c r="I427" i="1" s="1"/>
  <c r="D425" i="4"/>
  <c r="B424" i="4"/>
  <c r="R95" i="1" a="1"/>
  <c r="R95" i="1" s="1"/>
  <c r="T95" i="1" s="1"/>
  <c r="E429" i="1"/>
  <c r="G429" i="1" s="1" a="1"/>
  <c r="G429" i="1" s="1"/>
  <c r="D429" i="1"/>
  <c r="C429" i="1"/>
  <c r="B430" i="1"/>
  <c r="F428" i="1"/>
  <c r="K427" i="1" l="1"/>
  <c r="H428" i="1" a="1"/>
  <c r="H428" i="1" s="1"/>
  <c r="J428" i="1" s="1"/>
  <c r="I428" i="1" a="1"/>
  <c r="I428" i="1" s="1"/>
  <c r="D426" i="4"/>
  <c r="B425" i="4"/>
  <c r="O95" i="1" a="1"/>
  <c r="O95" i="1" s="1"/>
  <c r="N95" i="1" a="1"/>
  <c r="N95" i="1" s="1"/>
  <c r="E430" i="1"/>
  <c r="G430" i="1" s="1" a="1"/>
  <c r="G430" i="1" s="1"/>
  <c r="D430" i="1"/>
  <c r="C430" i="1"/>
  <c r="B431" i="1"/>
  <c r="F429" i="1"/>
  <c r="L95" i="1" a="1"/>
  <c r="K428" i="1" l="1"/>
  <c r="I429" i="1" a="1"/>
  <c r="I429" i="1" s="1"/>
  <c r="H429" i="1" a="1"/>
  <c r="H429" i="1" s="1"/>
  <c r="J429" i="1" s="1"/>
  <c r="D427" i="4"/>
  <c r="B426" i="4"/>
  <c r="L95" i="1"/>
  <c r="F430" i="1"/>
  <c r="E431" i="1"/>
  <c r="G431" i="1" s="1" a="1"/>
  <c r="G431" i="1" s="1"/>
  <c r="D431" i="1"/>
  <c r="B432" i="1"/>
  <c r="C431" i="1"/>
  <c r="K429" i="1" l="1"/>
  <c r="H430" i="1" a="1"/>
  <c r="H430" i="1" s="1"/>
  <c r="J430" i="1" s="1"/>
  <c r="I430" i="1" a="1"/>
  <c r="I430" i="1" s="1"/>
  <c r="D428" i="4"/>
  <c r="B427" i="4"/>
  <c r="M95" i="1" a="1"/>
  <c r="M95" i="1" s="1"/>
  <c r="Q95" i="1" s="1" a="1"/>
  <c r="Q95" i="1" s="1"/>
  <c r="P96" i="1" s="1"/>
  <c r="E432" i="1"/>
  <c r="G432" i="1" s="1" a="1"/>
  <c r="G432" i="1" s="1"/>
  <c r="C432" i="1"/>
  <c r="D432" i="1"/>
  <c r="B433" i="1"/>
  <c r="F431" i="1"/>
  <c r="K430" i="1" l="1"/>
  <c r="I431" i="1" a="1"/>
  <c r="I431" i="1" s="1"/>
  <c r="H431" i="1" a="1"/>
  <c r="H431" i="1" s="1"/>
  <c r="J431" i="1" s="1"/>
  <c r="D429" i="4"/>
  <c r="B428" i="4"/>
  <c r="S95" i="1" a="1"/>
  <c r="S95" i="1" s="1"/>
  <c r="V95" i="1" s="1"/>
  <c r="E433" i="1"/>
  <c r="G433" i="1" s="1" a="1"/>
  <c r="G433" i="1" s="1"/>
  <c r="C433" i="1"/>
  <c r="D433" i="1"/>
  <c r="B434" i="1"/>
  <c r="F432" i="1"/>
  <c r="K431" i="1" l="1"/>
  <c r="H432" i="1" a="1"/>
  <c r="H432" i="1" s="1"/>
  <c r="J432" i="1" s="1"/>
  <c r="I432" i="1" a="1"/>
  <c r="I432" i="1" s="1"/>
  <c r="D430" i="4"/>
  <c r="B429" i="4"/>
  <c r="R96" i="1" a="1"/>
  <c r="R96" i="1" s="1"/>
  <c r="T96" i="1" s="1"/>
  <c r="E434" i="1"/>
  <c r="G434" i="1" s="1" a="1"/>
  <c r="G434" i="1" s="1"/>
  <c r="C434" i="1"/>
  <c r="D434" i="1"/>
  <c r="B435" i="1"/>
  <c r="F433" i="1"/>
  <c r="K432" i="1" l="1"/>
  <c r="H433" i="1" a="1"/>
  <c r="H433" i="1" s="1"/>
  <c r="J433" i="1" s="1"/>
  <c r="I433" i="1" a="1"/>
  <c r="I433" i="1" s="1"/>
  <c r="D431" i="4"/>
  <c r="B430" i="4"/>
  <c r="N96" i="1" a="1"/>
  <c r="N96" i="1" s="1"/>
  <c r="O96" i="1" a="1"/>
  <c r="O96" i="1" s="1"/>
  <c r="E435" i="1"/>
  <c r="G435" i="1" s="1" a="1"/>
  <c r="G435" i="1" s="1"/>
  <c r="D435" i="1"/>
  <c r="C435" i="1"/>
  <c r="B436" i="1"/>
  <c r="F434" i="1"/>
  <c r="L96" i="1" a="1"/>
  <c r="K433" i="1" l="1"/>
  <c r="H434" i="1" a="1"/>
  <c r="H434" i="1" s="1"/>
  <c r="J434" i="1" s="1"/>
  <c r="I434" i="1" a="1"/>
  <c r="I434" i="1" s="1"/>
  <c r="D432" i="4"/>
  <c r="B431" i="4"/>
  <c r="L96" i="1"/>
  <c r="E436" i="1"/>
  <c r="G436" i="1" s="1" a="1"/>
  <c r="G436" i="1" s="1"/>
  <c r="D436" i="1"/>
  <c r="C436" i="1"/>
  <c r="B437" i="1"/>
  <c r="F435" i="1"/>
  <c r="K434" i="1" l="1"/>
  <c r="H435" i="1" a="1"/>
  <c r="H435" i="1" s="1"/>
  <c r="J435" i="1" s="1"/>
  <c r="I435" i="1" a="1"/>
  <c r="I435" i="1" s="1"/>
  <c r="D433" i="4"/>
  <c r="B432" i="4"/>
  <c r="M96" i="1" a="1"/>
  <c r="M96" i="1" s="1"/>
  <c r="Q96" i="1" s="1" a="1"/>
  <c r="Q96" i="1" s="1"/>
  <c r="P97" i="1" s="1"/>
  <c r="E437" i="1"/>
  <c r="G437" i="1" s="1" a="1"/>
  <c r="G437" i="1" s="1"/>
  <c r="B438" i="1"/>
  <c r="D437" i="1"/>
  <c r="C437" i="1"/>
  <c r="F436" i="1"/>
  <c r="K435" i="1" l="1"/>
  <c r="I436" i="1" a="1"/>
  <c r="I436" i="1" s="1"/>
  <c r="H436" i="1" a="1"/>
  <c r="H436" i="1" s="1"/>
  <c r="J436" i="1" s="1"/>
  <c r="D434" i="4"/>
  <c r="B433" i="4"/>
  <c r="S96" i="1" a="1"/>
  <c r="S96" i="1" s="1"/>
  <c r="V96" i="1" s="1"/>
  <c r="F437" i="1"/>
  <c r="E438" i="1"/>
  <c r="G438" i="1" s="1" a="1"/>
  <c r="G438" i="1" s="1"/>
  <c r="C438" i="1"/>
  <c r="D438" i="1"/>
  <c r="B439" i="1"/>
  <c r="K436" i="1" l="1"/>
  <c r="I437" i="1" a="1"/>
  <c r="I437" i="1" s="1"/>
  <c r="H437" i="1" a="1"/>
  <c r="H437" i="1" s="1"/>
  <c r="J437" i="1" s="1"/>
  <c r="D435" i="4"/>
  <c r="B434" i="4"/>
  <c r="R97" i="1" a="1"/>
  <c r="R97" i="1" s="1"/>
  <c r="T97" i="1" s="1"/>
  <c r="E439" i="1"/>
  <c r="G439" i="1" s="1" a="1"/>
  <c r="G439" i="1" s="1"/>
  <c r="D439" i="1"/>
  <c r="C439" i="1"/>
  <c r="B440" i="1"/>
  <c r="F438" i="1"/>
  <c r="K437" i="1" l="1"/>
  <c r="I438" i="1" a="1"/>
  <c r="I438" i="1" s="1"/>
  <c r="H438" i="1" a="1"/>
  <c r="H438" i="1" s="1"/>
  <c r="J438" i="1" s="1"/>
  <c r="D436" i="4"/>
  <c r="B435" i="4"/>
  <c r="N97" i="1" a="1"/>
  <c r="N97" i="1" s="1"/>
  <c r="O97" i="1" a="1"/>
  <c r="O97" i="1" s="1"/>
  <c r="E440" i="1"/>
  <c r="G440" i="1" s="1" a="1"/>
  <c r="G440" i="1" s="1"/>
  <c r="D440" i="1"/>
  <c r="B441" i="1"/>
  <c r="C440" i="1"/>
  <c r="F439" i="1"/>
  <c r="L97" i="1" a="1"/>
  <c r="K438" i="1" l="1"/>
  <c r="I439" i="1" a="1"/>
  <c r="I439" i="1" s="1"/>
  <c r="H439" i="1" a="1"/>
  <c r="H439" i="1" s="1"/>
  <c r="J439" i="1" s="1"/>
  <c r="D437" i="4"/>
  <c r="B436" i="4"/>
  <c r="L97" i="1"/>
  <c r="E441" i="1"/>
  <c r="G441" i="1" s="1" a="1"/>
  <c r="G441" i="1" s="1"/>
  <c r="C441" i="1"/>
  <c r="B442" i="1"/>
  <c r="D441" i="1"/>
  <c r="F440" i="1"/>
  <c r="K439" i="1" l="1"/>
  <c r="I440" i="1" a="1"/>
  <c r="I440" i="1" s="1"/>
  <c r="H440" i="1" a="1"/>
  <c r="H440" i="1" s="1"/>
  <c r="J440" i="1" s="1"/>
  <c r="D438" i="4"/>
  <c r="B437" i="4"/>
  <c r="M97" i="1" a="1"/>
  <c r="M97" i="1" s="1"/>
  <c r="Q97" i="1" s="1" a="1"/>
  <c r="Q97" i="1" s="1"/>
  <c r="P98" i="1" s="1"/>
  <c r="E442" i="1"/>
  <c r="G442" i="1" s="1" a="1"/>
  <c r="G442" i="1" s="1"/>
  <c r="D442" i="1"/>
  <c r="B443" i="1"/>
  <c r="C442" i="1"/>
  <c r="F441" i="1"/>
  <c r="K440" i="1" l="1"/>
  <c r="I441" i="1" a="1"/>
  <c r="I441" i="1" s="1"/>
  <c r="H441" i="1" a="1"/>
  <c r="H441" i="1" s="1"/>
  <c r="J441" i="1" s="1"/>
  <c r="D439" i="4"/>
  <c r="B438" i="4"/>
  <c r="S97" i="1" a="1"/>
  <c r="S97" i="1" s="1"/>
  <c r="V97" i="1" s="1"/>
  <c r="E443" i="1"/>
  <c r="G443" i="1" s="1" a="1"/>
  <c r="G443" i="1" s="1"/>
  <c r="D443" i="1"/>
  <c r="B444" i="1"/>
  <c r="C443" i="1"/>
  <c r="F442" i="1"/>
  <c r="K441" i="1" l="1"/>
  <c r="I442" i="1" a="1"/>
  <c r="I442" i="1" s="1"/>
  <c r="H442" i="1" a="1"/>
  <c r="H442" i="1" s="1"/>
  <c r="J442" i="1" s="1"/>
  <c r="D440" i="4"/>
  <c r="B439" i="4"/>
  <c r="R98" i="1" a="1"/>
  <c r="R98" i="1" s="1"/>
  <c r="T98" i="1" s="1"/>
  <c r="E444" i="1"/>
  <c r="G444" i="1" s="1" a="1"/>
  <c r="G444" i="1" s="1"/>
  <c r="B445" i="1"/>
  <c r="C444" i="1"/>
  <c r="D444" i="1"/>
  <c r="F443" i="1"/>
  <c r="K442" i="1" l="1"/>
  <c r="I443" i="1" a="1"/>
  <c r="I443" i="1" s="1"/>
  <c r="H443" i="1" a="1"/>
  <c r="H443" i="1" s="1"/>
  <c r="J443" i="1" s="1"/>
  <c r="D441" i="4"/>
  <c r="B440" i="4"/>
  <c r="O98" i="1" a="1"/>
  <c r="O98" i="1" s="1"/>
  <c r="N98" i="1" a="1"/>
  <c r="N98" i="1" s="1"/>
  <c r="E445" i="1"/>
  <c r="G445" i="1" s="1" a="1"/>
  <c r="G445" i="1" s="1"/>
  <c r="C445" i="1"/>
  <c r="B446" i="1"/>
  <c r="D445" i="1"/>
  <c r="F444" i="1"/>
  <c r="L98" i="1" a="1"/>
  <c r="K443" i="1" l="1"/>
  <c r="H444" i="1" a="1"/>
  <c r="H444" i="1" s="1"/>
  <c r="J444" i="1" s="1"/>
  <c r="I444" i="1" a="1"/>
  <c r="I444" i="1" s="1"/>
  <c r="D442" i="4"/>
  <c r="B441" i="4"/>
  <c r="L98" i="1"/>
  <c r="E446" i="1"/>
  <c r="G446" i="1" s="1" a="1"/>
  <c r="G446" i="1" s="1"/>
  <c r="B447" i="1"/>
  <c r="D446" i="1"/>
  <c r="C446" i="1"/>
  <c r="F445" i="1"/>
  <c r="K444" i="1" l="1"/>
  <c r="I445" i="1" a="1"/>
  <c r="I445" i="1" s="1"/>
  <c r="H445" i="1" a="1"/>
  <c r="H445" i="1" s="1"/>
  <c r="J445" i="1" s="1"/>
  <c r="D443" i="4"/>
  <c r="B442" i="4"/>
  <c r="M98" i="1" a="1"/>
  <c r="M98" i="1" s="1"/>
  <c r="Q98" i="1" s="1" a="1"/>
  <c r="Q98" i="1" s="1"/>
  <c r="P99" i="1" s="1"/>
  <c r="E447" i="1"/>
  <c r="G447" i="1" s="1" a="1"/>
  <c r="G447" i="1" s="1"/>
  <c r="B448" i="1"/>
  <c r="D447" i="1"/>
  <c r="C447" i="1"/>
  <c r="F446" i="1"/>
  <c r="K445" i="1" l="1"/>
  <c r="H446" i="1" a="1"/>
  <c r="H446" i="1" s="1"/>
  <c r="J446" i="1" s="1"/>
  <c r="I446" i="1" a="1"/>
  <c r="I446" i="1" s="1"/>
  <c r="D444" i="4"/>
  <c r="B443" i="4"/>
  <c r="S98" i="1" a="1"/>
  <c r="S98" i="1" s="1"/>
  <c r="V98" i="1" s="1"/>
  <c r="E448" i="1"/>
  <c r="G448" i="1" s="1" a="1"/>
  <c r="G448" i="1" s="1"/>
  <c r="C448" i="1"/>
  <c r="D448" i="1"/>
  <c r="B449" i="1"/>
  <c r="F447" i="1"/>
  <c r="K446" i="1" l="1"/>
  <c r="H447" i="1" a="1"/>
  <c r="H447" i="1" s="1"/>
  <c r="J447" i="1" s="1"/>
  <c r="I447" i="1" a="1"/>
  <c r="I447" i="1" s="1"/>
  <c r="D445" i="4"/>
  <c r="B444" i="4"/>
  <c r="R99" i="1" a="1"/>
  <c r="R99" i="1" s="1"/>
  <c r="T99" i="1" s="1"/>
  <c r="E449" i="1"/>
  <c r="G449" i="1" s="1" a="1"/>
  <c r="G449" i="1" s="1"/>
  <c r="B450" i="1"/>
  <c r="D449" i="1"/>
  <c r="C449" i="1"/>
  <c r="F448" i="1"/>
  <c r="K447" i="1" l="1"/>
  <c r="I448" i="1" a="1"/>
  <c r="I448" i="1" s="1"/>
  <c r="H448" i="1" a="1"/>
  <c r="H448" i="1" s="1"/>
  <c r="J448" i="1" s="1"/>
  <c r="D446" i="4"/>
  <c r="B445" i="4"/>
  <c r="O99" i="1" a="1"/>
  <c r="O99" i="1" s="1"/>
  <c r="N99" i="1" a="1"/>
  <c r="N99" i="1" s="1"/>
  <c r="E450" i="1"/>
  <c r="G450" i="1" s="1" a="1"/>
  <c r="G450" i="1" s="1"/>
  <c r="B451" i="1"/>
  <c r="C450" i="1"/>
  <c r="D450" i="1"/>
  <c r="F449" i="1"/>
  <c r="L99" i="1" a="1"/>
  <c r="K448" i="1" l="1"/>
  <c r="I449" i="1" a="1"/>
  <c r="I449" i="1" s="1"/>
  <c r="H449" i="1" a="1"/>
  <c r="H449" i="1" s="1"/>
  <c r="J449" i="1" s="1"/>
  <c r="D447" i="4"/>
  <c r="B446" i="4"/>
  <c r="L99" i="1"/>
  <c r="E451" i="1"/>
  <c r="G451" i="1" s="1" a="1"/>
  <c r="G451" i="1" s="1"/>
  <c r="C451" i="1"/>
  <c r="D451" i="1"/>
  <c r="B452" i="1"/>
  <c r="F450" i="1"/>
  <c r="K449" i="1" l="1"/>
  <c r="I450" i="1" a="1"/>
  <c r="I450" i="1" s="1"/>
  <c r="H450" i="1" a="1"/>
  <c r="H450" i="1" s="1"/>
  <c r="J450" i="1" s="1"/>
  <c r="D448" i="4"/>
  <c r="B447" i="4"/>
  <c r="M99" i="1" a="1"/>
  <c r="M99" i="1" s="1"/>
  <c r="Q99" i="1" s="1" a="1"/>
  <c r="Q99" i="1" s="1"/>
  <c r="P100" i="1" s="1"/>
  <c r="E452" i="1"/>
  <c r="G452" i="1" s="1" a="1"/>
  <c r="G452" i="1" s="1"/>
  <c r="D452" i="1"/>
  <c r="C452" i="1"/>
  <c r="B453" i="1"/>
  <c r="F451" i="1"/>
  <c r="K450" i="1" l="1"/>
  <c r="H451" i="1" a="1"/>
  <c r="H451" i="1" s="1"/>
  <c r="J451" i="1" s="1"/>
  <c r="I451" i="1" a="1"/>
  <c r="I451" i="1" s="1"/>
  <c r="D449" i="4"/>
  <c r="B448" i="4"/>
  <c r="S99" i="1" a="1"/>
  <c r="S99" i="1" s="1"/>
  <c r="V99" i="1" s="1"/>
  <c r="E453" i="1"/>
  <c r="G453" i="1" s="1" a="1"/>
  <c r="G453" i="1" s="1"/>
  <c r="B454" i="1"/>
  <c r="D453" i="1"/>
  <c r="C453" i="1"/>
  <c r="F452" i="1"/>
  <c r="K451" i="1" l="1"/>
  <c r="H452" i="1" a="1"/>
  <c r="H452" i="1" s="1"/>
  <c r="J452" i="1" s="1"/>
  <c r="I452" i="1" a="1"/>
  <c r="I452" i="1" s="1"/>
  <c r="D450" i="4"/>
  <c r="B449" i="4"/>
  <c r="R100" i="1" a="1"/>
  <c r="R100" i="1" s="1"/>
  <c r="T100" i="1" s="1"/>
  <c r="E454" i="1"/>
  <c r="G454" i="1" s="1" a="1"/>
  <c r="G454" i="1" s="1"/>
  <c r="D454" i="1"/>
  <c r="B455" i="1"/>
  <c r="C454" i="1"/>
  <c r="F453" i="1"/>
  <c r="K452" i="1" l="1"/>
  <c r="H453" i="1" a="1"/>
  <c r="H453" i="1" s="1"/>
  <c r="J453" i="1" s="1"/>
  <c r="I453" i="1" a="1"/>
  <c r="I453" i="1" s="1"/>
  <c r="D451" i="4"/>
  <c r="B450" i="4"/>
  <c r="O100" i="1" a="1"/>
  <c r="O100" i="1" s="1"/>
  <c r="N100" i="1" a="1"/>
  <c r="N100" i="1" s="1"/>
  <c r="E455" i="1"/>
  <c r="G455" i="1" s="1" a="1"/>
  <c r="G455" i="1" s="1"/>
  <c r="D455" i="1"/>
  <c r="B456" i="1"/>
  <c r="C455" i="1"/>
  <c r="F454" i="1"/>
  <c r="L100" i="1" a="1"/>
  <c r="K453" i="1" l="1"/>
  <c r="I454" i="1" a="1"/>
  <c r="I454" i="1" s="1"/>
  <c r="H454" i="1" a="1"/>
  <c r="H454" i="1" s="1"/>
  <c r="J454" i="1" s="1"/>
  <c r="D452" i="4"/>
  <c r="B451" i="4"/>
  <c r="L100" i="1"/>
  <c r="E456" i="1"/>
  <c r="G456" i="1" s="1" a="1"/>
  <c r="G456" i="1" s="1"/>
  <c r="C456" i="1"/>
  <c r="D456" i="1"/>
  <c r="B457" i="1"/>
  <c r="F455" i="1"/>
  <c r="K454" i="1" l="1"/>
  <c r="H455" i="1" a="1"/>
  <c r="H455" i="1" s="1"/>
  <c r="J455" i="1" s="1"/>
  <c r="I455" i="1" a="1"/>
  <c r="I455" i="1" s="1"/>
  <c r="D453" i="4"/>
  <c r="B452" i="4"/>
  <c r="M100" i="1" a="1"/>
  <c r="M100" i="1" s="1"/>
  <c r="Q100" i="1" s="1" a="1"/>
  <c r="Q100" i="1" s="1"/>
  <c r="P101" i="1" s="1"/>
  <c r="E457" i="1"/>
  <c r="G457" i="1" s="1" a="1"/>
  <c r="G457" i="1" s="1"/>
  <c r="C457" i="1"/>
  <c r="B458" i="1"/>
  <c r="D457" i="1"/>
  <c r="F456" i="1"/>
  <c r="K455" i="1" l="1"/>
  <c r="I456" i="1" a="1"/>
  <c r="I456" i="1" s="1"/>
  <c r="H456" i="1" a="1"/>
  <c r="H456" i="1" s="1"/>
  <c r="J456" i="1" s="1"/>
  <c r="D454" i="4"/>
  <c r="B453" i="4"/>
  <c r="S100" i="1" a="1"/>
  <c r="S100" i="1" s="1"/>
  <c r="V100" i="1" s="1"/>
  <c r="E458" i="1"/>
  <c r="G458" i="1" s="1" a="1"/>
  <c r="G458" i="1" s="1"/>
  <c r="B459" i="1"/>
  <c r="D458" i="1"/>
  <c r="C458" i="1"/>
  <c r="F457" i="1"/>
  <c r="K456" i="1" l="1"/>
  <c r="H457" i="1" a="1"/>
  <c r="H457" i="1" s="1"/>
  <c r="J457" i="1" s="1"/>
  <c r="I457" i="1" a="1"/>
  <c r="I457" i="1" s="1"/>
  <c r="D455" i="4"/>
  <c r="B454" i="4"/>
  <c r="R101" i="1" a="1"/>
  <c r="R101" i="1" s="1"/>
  <c r="T101" i="1" s="1"/>
  <c r="E459" i="1"/>
  <c r="G459" i="1" s="1" a="1"/>
  <c r="G459" i="1" s="1"/>
  <c r="B460" i="1"/>
  <c r="C459" i="1"/>
  <c r="D459" i="1"/>
  <c r="F458" i="1"/>
  <c r="K457" i="1" l="1"/>
  <c r="I458" i="1" a="1"/>
  <c r="I458" i="1" s="1"/>
  <c r="H458" i="1" a="1"/>
  <c r="H458" i="1" s="1"/>
  <c r="J458" i="1" s="1"/>
  <c r="D456" i="4"/>
  <c r="B455" i="4"/>
  <c r="N101" i="1" a="1"/>
  <c r="N101" i="1" s="1"/>
  <c r="O101" i="1" a="1"/>
  <c r="O101" i="1" s="1"/>
  <c r="E460" i="1"/>
  <c r="G460" i="1" s="1" a="1"/>
  <c r="G460" i="1" s="1"/>
  <c r="B461" i="1"/>
  <c r="D460" i="1"/>
  <c r="C460" i="1"/>
  <c r="F459" i="1"/>
  <c r="L101" i="1" a="1"/>
  <c r="K458" i="1" l="1"/>
  <c r="I459" i="1" a="1"/>
  <c r="I459" i="1" s="1"/>
  <c r="H459" i="1" a="1"/>
  <c r="H459" i="1" s="1"/>
  <c r="J459" i="1" s="1"/>
  <c r="D457" i="4"/>
  <c r="B456" i="4"/>
  <c r="L101" i="1"/>
  <c r="E461" i="1"/>
  <c r="G461" i="1" s="1" a="1"/>
  <c r="G461" i="1" s="1"/>
  <c r="C461" i="1"/>
  <c r="D461" i="1"/>
  <c r="B462" i="1"/>
  <c r="F460" i="1"/>
  <c r="K459" i="1" l="1"/>
  <c r="I460" i="1" a="1"/>
  <c r="I460" i="1" s="1"/>
  <c r="H460" i="1" a="1"/>
  <c r="H460" i="1" s="1"/>
  <c r="J460" i="1" s="1"/>
  <c r="D458" i="4"/>
  <c r="B457" i="4"/>
  <c r="M101" i="1" a="1"/>
  <c r="M101" i="1" s="1"/>
  <c r="Q101" i="1" s="1" a="1"/>
  <c r="Q101" i="1" s="1"/>
  <c r="P102" i="1" s="1"/>
  <c r="E462" i="1"/>
  <c r="G462" i="1" s="1" a="1"/>
  <c r="G462" i="1" s="1"/>
  <c r="D462" i="1"/>
  <c r="C462" i="1"/>
  <c r="B463" i="1"/>
  <c r="F461" i="1"/>
  <c r="K460" i="1" l="1"/>
  <c r="H461" i="1" a="1"/>
  <c r="H461" i="1" s="1"/>
  <c r="J461" i="1" s="1"/>
  <c r="I461" i="1" a="1"/>
  <c r="I461" i="1" s="1"/>
  <c r="D459" i="4"/>
  <c r="B458" i="4"/>
  <c r="S101" i="1" a="1"/>
  <c r="S101" i="1" s="1"/>
  <c r="V101" i="1" s="1"/>
  <c r="E463" i="1"/>
  <c r="G463" i="1" s="1" a="1"/>
  <c r="G463" i="1" s="1"/>
  <c r="B464" i="1"/>
  <c r="D463" i="1"/>
  <c r="C463" i="1"/>
  <c r="F462" i="1"/>
  <c r="K461" i="1" l="1"/>
  <c r="I462" i="1" a="1"/>
  <c r="I462" i="1" s="1"/>
  <c r="H462" i="1" a="1"/>
  <c r="H462" i="1" s="1"/>
  <c r="J462" i="1" s="1"/>
  <c r="D460" i="4"/>
  <c r="B459" i="4"/>
  <c r="R102" i="1" a="1"/>
  <c r="R102" i="1" s="1"/>
  <c r="T102" i="1" s="1"/>
  <c r="E464" i="1"/>
  <c r="G464" i="1" s="1" a="1"/>
  <c r="G464" i="1" s="1"/>
  <c r="B465" i="1"/>
  <c r="D464" i="1"/>
  <c r="C464" i="1"/>
  <c r="F463" i="1"/>
  <c r="K462" i="1" l="1"/>
  <c r="I463" i="1" a="1"/>
  <c r="I463" i="1" s="1"/>
  <c r="H463" i="1" a="1"/>
  <c r="H463" i="1" s="1"/>
  <c r="J463" i="1" s="1"/>
  <c r="D461" i="4"/>
  <c r="B460" i="4"/>
  <c r="N102" i="1" a="1"/>
  <c r="N102" i="1" s="1"/>
  <c r="O102" i="1" a="1"/>
  <c r="O102" i="1" s="1"/>
  <c r="E465" i="1"/>
  <c r="G465" i="1" s="1" a="1"/>
  <c r="G465" i="1" s="1"/>
  <c r="B466" i="1"/>
  <c r="C465" i="1"/>
  <c r="D465" i="1"/>
  <c r="F464" i="1"/>
  <c r="L102" i="1" a="1"/>
  <c r="K463" i="1" l="1"/>
  <c r="I464" i="1" a="1"/>
  <c r="I464" i="1" s="1"/>
  <c r="H464" i="1" a="1"/>
  <c r="H464" i="1" s="1"/>
  <c r="J464" i="1" s="1"/>
  <c r="D462" i="4"/>
  <c r="B461" i="4"/>
  <c r="L102" i="1"/>
  <c r="E466" i="1"/>
  <c r="G466" i="1" s="1" a="1"/>
  <c r="G466" i="1" s="1"/>
  <c r="D466" i="1"/>
  <c r="C466" i="1"/>
  <c r="B467" i="1"/>
  <c r="F465" i="1"/>
  <c r="K464" i="1" l="1"/>
  <c r="H465" i="1" a="1"/>
  <c r="H465" i="1" s="1"/>
  <c r="J465" i="1" s="1"/>
  <c r="I465" i="1" a="1"/>
  <c r="I465" i="1" s="1"/>
  <c r="D463" i="4"/>
  <c r="B462" i="4"/>
  <c r="M102" i="1" a="1"/>
  <c r="M102" i="1" s="1"/>
  <c r="Q102" i="1" s="1" a="1"/>
  <c r="Q102" i="1" s="1"/>
  <c r="P103" i="1" s="1"/>
  <c r="E467" i="1"/>
  <c r="G467" i="1" s="1" a="1"/>
  <c r="G467" i="1" s="1"/>
  <c r="C467" i="1"/>
  <c r="B468" i="1"/>
  <c r="D467" i="1"/>
  <c r="F466" i="1"/>
  <c r="K465" i="1" l="1"/>
  <c r="I466" i="1" a="1"/>
  <c r="I466" i="1" s="1"/>
  <c r="H466" i="1" a="1"/>
  <c r="H466" i="1" s="1"/>
  <c r="J466" i="1" s="1"/>
  <c r="D464" i="4"/>
  <c r="B463" i="4"/>
  <c r="S102" i="1" a="1"/>
  <c r="S102" i="1" s="1"/>
  <c r="V102" i="1" s="1"/>
  <c r="E468" i="1"/>
  <c r="G468" i="1" s="1" a="1"/>
  <c r="G468" i="1" s="1"/>
  <c r="B469" i="1"/>
  <c r="C468" i="1"/>
  <c r="D468" i="1"/>
  <c r="F467" i="1"/>
  <c r="K466" i="1" l="1"/>
  <c r="H467" i="1" a="1"/>
  <c r="H467" i="1" s="1"/>
  <c r="J467" i="1" s="1"/>
  <c r="I467" i="1" a="1"/>
  <c r="I467" i="1" s="1"/>
  <c r="D465" i="4"/>
  <c r="B464" i="4"/>
  <c r="R103" i="1" a="1"/>
  <c r="R103" i="1" s="1"/>
  <c r="T103" i="1" s="1"/>
  <c r="E469" i="1"/>
  <c r="G469" i="1" s="1" a="1"/>
  <c r="G469" i="1" s="1"/>
  <c r="B470" i="1"/>
  <c r="C469" i="1"/>
  <c r="D469" i="1"/>
  <c r="F468" i="1"/>
  <c r="K467" i="1" l="1"/>
  <c r="I468" i="1" a="1"/>
  <c r="I468" i="1" s="1"/>
  <c r="H468" i="1" a="1"/>
  <c r="H468" i="1" s="1"/>
  <c r="J468" i="1" s="1"/>
  <c r="D466" i="4"/>
  <c r="B465" i="4"/>
  <c r="N103" i="1" a="1"/>
  <c r="N103" i="1" s="1"/>
  <c r="O103" i="1" a="1"/>
  <c r="O103" i="1" s="1"/>
  <c r="E470" i="1"/>
  <c r="G470" i="1" s="1" a="1"/>
  <c r="G470" i="1" s="1"/>
  <c r="D470" i="1"/>
  <c r="C470" i="1"/>
  <c r="B471" i="1"/>
  <c r="F469" i="1"/>
  <c r="L103" i="1" a="1"/>
  <c r="K468" i="1" l="1"/>
  <c r="I469" i="1" a="1"/>
  <c r="I469" i="1" s="1"/>
  <c r="H469" i="1" a="1"/>
  <c r="H469" i="1" s="1"/>
  <c r="J469" i="1" s="1"/>
  <c r="D467" i="4"/>
  <c r="B466" i="4"/>
  <c r="L103" i="1"/>
  <c r="E471" i="1"/>
  <c r="G471" i="1" s="1" a="1"/>
  <c r="G471" i="1" s="1"/>
  <c r="B472" i="1"/>
  <c r="D471" i="1"/>
  <c r="C471" i="1"/>
  <c r="F470" i="1"/>
  <c r="K469" i="1" l="1"/>
  <c r="H470" i="1" a="1"/>
  <c r="H470" i="1" s="1"/>
  <c r="J470" i="1" s="1"/>
  <c r="I470" i="1" a="1"/>
  <c r="I470" i="1" s="1"/>
  <c r="D468" i="4"/>
  <c r="B467" i="4"/>
  <c r="M103" i="1" a="1"/>
  <c r="M103" i="1" s="1"/>
  <c r="Q103" i="1" s="1" a="1"/>
  <c r="Q103" i="1" s="1"/>
  <c r="P104" i="1" s="1"/>
  <c r="E472" i="1"/>
  <c r="G472" i="1" s="1" a="1"/>
  <c r="G472" i="1" s="1"/>
  <c r="D472" i="1"/>
  <c r="C472" i="1"/>
  <c r="B473" i="1"/>
  <c r="F471" i="1"/>
  <c r="K470" i="1" l="1"/>
  <c r="H471" i="1" a="1"/>
  <c r="H471" i="1" s="1"/>
  <c r="J471" i="1" s="1"/>
  <c r="I471" i="1" a="1"/>
  <c r="I471" i="1" s="1"/>
  <c r="D469" i="4"/>
  <c r="B468" i="4"/>
  <c r="S103" i="1" a="1"/>
  <c r="S103" i="1" s="1"/>
  <c r="V103" i="1" s="1"/>
  <c r="E473" i="1"/>
  <c r="G473" i="1" s="1" a="1"/>
  <c r="G473" i="1" s="1"/>
  <c r="D473" i="1"/>
  <c r="C473" i="1"/>
  <c r="B474" i="1"/>
  <c r="F472" i="1"/>
  <c r="K471" i="1" l="1"/>
  <c r="I472" i="1" a="1"/>
  <c r="I472" i="1" s="1"/>
  <c r="H472" i="1" a="1"/>
  <c r="H472" i="1" s="1"/>
  <c r="J472" i="1" s="1"/>
  <c r="D470" i="4"/>
  <c r="B469" i="4"/>
  <c r="R104" i="1" a="1"/>
  <c r="R104" i="1" s="1"/>
  <c r="T104" i="1" s="1"/>
  <c r="E474" i="1"/>
  <c r="G474" i="1" s="1" a="1"/>
  <c r="G474" i="1" s="1"/>
  <c r="C474" i="1"/>
  <c r="D474" i="1"/>
  <c r="B475" i="1"/>
  <c r="F473" i="1"/>
  <c r="K472" i="1" l="1"/>
  <c r="I473" i="1" a="1"/>
  <c r="I473" i="1" s="1"/>
  <c r="H473" i="1" a="1"/>
  <c r="H473" i="1" s="1"/>
  <c r="J473" i="1" s="1"/>
  <c r="D471" i="4"/>
  <c r="B470" i="4"/>
  <c r="O104" i="1" a="1"/>
  <c r="O104" i="1" s="1"/>
  <c r="N104" i="1" a="1"/>
  <c r="N104" i="1" s="1"/>
  <c r="E475" i="1"/>
  <c r="G475" i="1" s="1" a="1"/>
  <c r="G475" i="1" s="1"/>
  <c r="C475" i="1"/>
  <c r="D475" i="1"/>
  <c r="B476" i="1"/>
  <c r="F474" i="1"/>
  <c r="L104" i="1" a="1"/>
  <c r="K473" i="1" l="1"/>
  <c r="I474" i="1" a="1"/>
  <c r="I474" i="1" s="1"/>
  <c r="H474" i="1" a="1"/>
  <c r="H474" i="1" s="1"/>
  <c r="J474" i="1" s="1"/>
  <c r="D472" i="4"/>
  <c r="B471" i="4"/>
  <c r="L104" i="1"/>
  <c r="F475" i="1"/>
  <c r="E476" i="1"/>
  <c r="G476" i="1" s="1" a="1"/>
  <c r="G476" i="1" s="1"/>
  <c r="B477" i="1"/>
  <c r="D476" i="1"/>
  <c r="C476" i="1"/>
  <c r="K474" i="1" l="1"/>
  <c r="I475" i="1" a="1"/>
  <c r="I475" i="1" s="1"/>
  <c r="H475" i="1" a="1"/>
  <c r="H475" i="1" s="1"/>
  <c r="J475" i="1" s="1"/>
  <c r="D473" i="4"/>
  <c r="B472" i="4"/>
  <c r="M104" i="1" a="1"/>
  <c r="M104" i="1" s="1"/>
  <c r="Q104" i="1" s="1" a="1"/>
  <c r="Q104" i="1" s="1"/>
  <c r="P105" i="1" s="1"/>
  <c r="E477" i="1"/>
  <c r="G477" i="1" s="1" a="1"/>
  <c r="G477" i="1" s="1"/>
  <c r="B478" i="1"/>
  <c r="D477" i="1"/>
  <c r="C477" i="1"/>
  <c r="F476" i="1"/>
  <c r="K475" i="1" l="1"/>
  <c r="H476" i="1" a="1"/>
  <c r="H476" i="1" s="1"/>
  <c r="J476" i="1" s="1"/>
  <c r="I476" i="1" a="1"/>
  <c r="I476" i="1" s="1"/>
  <c r="D474" i="4"/>
  <c r="B473" i="4"/>
  <c r="S104" i="1" a="1"/>
  <c r="S104" i="1" s="1"/>
  <c r="V104" i="1" s="1"/>
  <c r="E478" i="1"/>
  <c r="G478" i="1" s="1" a="1"/>
  <c r="G478" i="1" s="1"/>
  <c r="D478" i="1"/>
  <c r="B479" i="1"/>
  <c r="C478" i="1"/>
  <c r="F477" i="1"/>
  <c r="K476" i="1" l="1"/>
  <c r="I477" i="1" a="1"/>
  <c r="I477" i="1" s="1"/>
  <c r="H477" i="1" a="1"/>
  <c r="H477" i="1" s="1"/>
  <c r="J477" i="1" s="1"/>
  <c r="D475" i="4"/>
  <c r="B474" i="4"/>
  <c r="R105" i="1" a="1"/>
  <c r="R105" i="1" s="1"/>
  <c r="T105" i="1" s="1"/>
  <c r="E479" i="1"/>
  <c r="G479" i="1" s="1" a="1"/>
  <c r="G479" i="1" s="1"/>
  <c r="D479" i="1"/>
  <c r="B480" i="1"/>
  <c r="C479" i="1"/>
  <c r="F478" i="1"/>
  <c r="K477" i="1" l="1"/>
  <c r="I478" i="1" a="1"/>
  <c r="I478" i="1" s="1"/>
  <c r="H478" i="1" a="1"/>
  <c r="H478" i="1" s="1"/>
  <c r="J478" i="1" s="1"/>
  <c r="D476" i="4"/>
  <c r="B475" i="4"/>
  <c r="N105" i="1" a="1"/>
  <c r="N105" i="1" s="1"/>
  <c r="O105" i="1" a="1"/>
  <c r="O105" i="1" s="1"/>
  <c r="E480" i="1"/>
  <c r="G480" i="1" s="1" a="1"/>
  <c r="G480" i="1" s="1"/>
  <c r="B481" i="1"/>
  <c r="C480" i="1"/>
  <c r="D480" i="1"/>
  <c r="F479" i="1"/>
  <c r="L105" i="1" a="1"/>
  <c r="K478" i="1" l="1"/>
  <c r="I479" i="1" a="1"/>
  <c r="I479" i="1" s="1"/>
  <c r="H479" i="1" a="1"/>
  <c r="H479" i="1" s="1"/>
  <c r="J479" i="1" s="1"/>
  <c r="D477" i="4"/>
  <c r="B476" i="4"/>
  <c r="L105" i="1"/>
  <c r="E481" i="1"/>
  <c r="G481" i="1" s="1" a="1"/>
  <c r="G481" i="1" s="1"/>
  <c r="B482" i="1"/>
  <c r="C481" i="1"/>
  <c r="D481" i="1"/>
  <c r="F480" i="1"/>
  <c r="K479" i="1" l="1"/>
  <c r="I480" i="1" a="1"/>
  <c r="I480" i="1" s="1"/>
  <c r="H480" i="1" a="1"/>
  <c r="H480" i="1" s="1"/>
  <c r="J480" i="1" s="1"/>
  <c r="D478" i="4"/>
  <c r="B477" i="4"/>
  <c r="M105" i="1" a="1"/>
  <c r="M105" i="1" s="1"/>
  <c r="Q105" i="1" s="1" a="1"/>
  <c r="Q105" i="1" s="1"/>
  <c r="P106" i="1" s="1"/>
  <c r="E482" i="1"/>
  <c r="G482" i="1" s="1" a="1"/>
  <c r="G482" i="1" s="1"/>
  <c r="C482" i="1"/>
  <c r="B483" i="1"/>
  <c r="D482" i="1"/>
  <c r="F481" i="1"/>
  <c r="K480" i="1" l="1"/>
  <c r="I481" i="1" a="1"/>
  <c r="I481" i="1" s="1"/>
  <c r="H481" i="1" a="1"/>
  <c r="H481" i="1" s="1"/>
  <c r="J481" i="1" s="1"/>
  <c r="D479" i="4"/>
  <c r="B478" i="4"/>
  <c r="S105" i="1" a="1"/>
  <c r="S105" i="1" s="1"/>
  <c r="V105" i="1" s="1"/>
  <c r="E483" i="1"/>
  <c r="G483" i="1" s="1" a="1"/>
  <c r="G483" i="1" s="1"/>
  <c r="D483" i="1"/>
  <c r="B484" i="1"/>
  <c r="C483" i="1"/>
  <c r="F482" i="1"/>
  <c r="K481" i="1" l="1"/>
  <c r="I482" i="1" a="1"/>
  <c r="I482" i="1" s="1"/>
  <c r="H482" i="1" a="1"/>
  <c r="H482" i="1" s="1"/>
  <c r="J482" i="1" s="1"/>
  <c r="D480" i="4"/>
  <c r="B479" i="4"/>
  <c r="R106" i="1" a="1"/>
  <c r="R106" i="1" s="1"/>
  <c r="T106" i="1" s="1"/>
  <c r="E484" i="1"/>
  <c r="G484" i="1" s="1" a="1"/>
  <c r="G484" i="1" s="1"/>
  <c r="B485" i="1"/>
  <c r="C484" i="1"/>
  <c r="D484" i="1"/>
  <c r="F483" i="1"/>
  <c r="K482" i="1" l="1"/>
  <c r="I483" i="1" a="1"/>
  <c r="I483" i="1" s="1"/>
  <c r="H483" i="1" a="1"/>
  <c r="H483" i="1" s="1"/>
  <c r="J483" i="1" s="1"/>
  <c r="D481" i="4"/>
  <c r="B480" i="4"/>
  <c r="O106" i="1" a="1"/>
  <c r="O106" i="1" s="1"/>
  <c r="N106" i="1" a="1"/>
  <c r="N106" i="1" s="1"/>
  <c r="E485" i="1"/>
  <c r="G485" i="1" s="1" a="1"/>
  <c r="G485" i="1" s="1"/>
  <c r="B486" i="1"/>
  <c r="C485" i="1"/>
  <c r="D485" i="1"/>
  <c r="F484" i="1"/>
  <c r="L106" i="1" a="1"/>
  <c r="K483" i="1" l="1"/>
  <c r="H484" i="1" a="1"/>
  <c r="H484" i="1" s="1"/>
  <c r="J484" i="1" s="1"/>
  <c r="I484" i="1" a="1"/>
  <c r="I484" i="1" s="1"/>
  <c r="D482" i="4"/>
  <c r="B481" i="4"/>
  <c r="L106" i="1"/>
  <c r="E486" i="1"/>
  <c r="G486" i="1" s="1" a="1"/>
  <c r="G486" i="1" s="1"/>
  <c r="B487" i="1"/>
  <c r="C486" i="1"/>
  <c r="D486" i="1"/>
  <c r="F485" i="1"/>
  <c r="K484" i="1" l="1"/>
  <c r="H485" i="1" a="1"/>
  <c r="H485" i="1" s="1"/>
  <c r="J485" i="1" s="1"/>
  <c r="I485" i="1" a="1"/>
  <c r="I485" i="1" s="1"/>
  <c r="D483" i="4"/>
  <c r="B482" i="4"/>
  <c r="M106" i="1" a="1"/>
  <c r="M106" i="1" s="1"/>
  <c r="Q106" i="1" s="1" a="1"/>
  <c r="Q106" i="1" s="1"/>
  <c r="P107" i="1" s="1"/>
  <c r="E487" i="1"/>
  <c r="G487" i="1" s="1" a="1"/>
  <c r="G487" i="1" s="1"/>
  <c r="B488" i="1"/>
  <c r="C487" i="1"/>
  <c r="D487" i="1"/>
  <c r="F486" i="1"/>
  <c r="K485" i="1" l="1"/>
  <c r="H486" i="1" a="1"/>
  <c r="H486" i="1" s="1"/>
  <c r="J486" i="1" s="1"/>
  <c r="I486" i="1" a="1"/>
  <c r="I486" i="1" s="1"/>
  <c r="D484" i="4"/>
  <c r="B483" i="4"/>
  <c r="S106" i="1" a="1"/>
  <c r="S106" i="1" s="1"/>
  <c r="V106" i="1" s="1"/>
  <c r="E488" i="1"/>
  <c r="G488" i="1" s="1" a="1"/>
  <c r="G488" i="1" s="1"/>
  <c r="B489" i="1"/>
  <c r="D488" i="1"/>
  <c r="C488" i="1"/>
  <c r="F487" i="1"/>
  <c r="K486" i="1" l="1"/>
  <c r="I487" i="1" a="1"/>
  <c r="I487" i="1" s="1"/>
  <c r="H487" i="1" a="1"/>
  <c r="H487" i="1" s="1"/>
  <c r="J487" i="1" s="1"/>
  <c r="D485" i="4"/>
  <c r="B484" i="4"/>
  <c r="R107" i="1" a="1"/>
  <c r="R107" i="1" s="1"/>
  <c r="T107" i="1" s="1"/>
  <c r="E489" i="1"/>
  <c r="G489" i="1" s="1" a="1"/>
  <c r="G489" i="1" s="1"/>
  <c r="B490" i="1"/>
  <c r="D489" i="1"/>
  <c r="C489" i="1"/>
  <c r="F488" i="1"/>
  <c r="K487" i="1" l="1"/>
  <c r="H488" i="1" a="1"/>
  <c r="H488" i="1" s="1"/>
  <c r="J488" i="1" s="1"/>
  <c r="I488" i="1" a="1"/>
  <c r="I488" i="1" s="1"/>
  <c r="D486" i="4"/>
  <c r="B485" i="4"/>
  <c r="N107" i="1" a="1"/>
  <c r="N107" i="1" s="1"/>
  <c r="O107" i="1" a="1"/>
  <c r="O107" i="1" s="1"/>
  <c r="E490" i="1"/>
  <c r="G490" i="1" s="1" a="1"/>
  <c r="G490" i="1" s="1"/>
  <c r="C490" i="1"/>
  <c r="D490" i="1"/>
  <c r="B491" i="1"/>
  <c r="F489" i="1"/>
  <c r="L107" i="1" a="1"/>
  <c r="K488" i="1" l="1"/>
  <c r="H489" i="1" a="1"/>
  <c r="H489" i="1" s="1"/>
  <c r="J489" i="1" s="1"/>
  <c r="I489" i="1" a="1"/>
  <c r="I489" i="1" s="1"/>
  <c r="D487" i="4"/>
  <c r="B486" i="4"/>
  <c r="L107" i="1"/>
  <c r="E491" i="1"/>
  <c r="G491" i="1" s="1" a="1"/>
  <c r="G491" i="1" s="1"/>
  <c r="D491" i="1"/>
  <c r="B492" i="1"/>
  <c r="C491" i="1"/>
  <c r="F490" i="1"/>
  <c r="K489" i="1" l="1"/>
  <c r="I490" i="1" a="1"/>
  <c r="I490" i="1" s="1"/>
  <c r="H490" i="1" a="1"/>
  <c r="H490" i="1" s="1"/>
  <c r="J490" i="1" s="1"/>
  <c r="D488" i="4"/>
  <c r="B487" i="4"/>
  <c r="M107" i="1" a="1"/>
  <c r="M107" i="1" s="1"/>
  <c r="Q107" i="1" s="1" a="1"/>
  <c r="Q107" i="1" s="1"/>
  <c r="P108" i="1" s="1"/>
  <c r="E492" i="1"/>
  <c r="G492" i="1" s="1" a="1"/>
  <c r="G492" i="1" s="1"/>
  <c r="C492" i="1"/>
  <c r="D492" i="1"/>
  <c r="B493" i="1"/>
  <c r="F491" i="1"/>
  <c r="K490" i="1" l="1"/>
  <c r="H491" i="1" a="1"/>
  <c r="H491" i="1" s="1"/>
  <c r="J491" i="1" s="1"/>
  <c r="I491" i="1" a="1"/>
  <c r="I491" i="1" s="1"/>
  <c r="D489" i="4"/>
  <c r="B488" i="4"/>
  <c r="S107" i="1" a="1"/>
  <c r="S107" i="1" s="1"/>
  <c r="V107" i="1" s="1"/>
  <c r="E493" i="1"/>
  <c r="G493" i="1" s="1" a="1"/>
  <c r="G493" i="1" s="1"/>
  <c r="B494" i="1"/>
  <c r="C493" i="1"/>
  <c r="D493" i="1"/>
  <c r="F492" i="1"/>
  <c r="K491" i="1" l="1"/>
  <c r="I492" i="1" a="1"/>
  <c r="I492" i="1" s="1"/>
  <c r="H492" i="1" a="1"/>
  <c r="H492" i="1" s="1"/>
  <c r="J492" i="1" s="1"/>
  <c r="D490" i="4"/>
  <c r="B489" i="4"/>
  <c r="R108" i="1" a="1"/>
  <c r="R108" i="1" s="1"/>
  <c r="T108" i="1" s="1"/>
  <c r="E494" i="1"/>
  <c r="G494" i="1" s="1" a="1"/>
  <c r="G494" i="1" s="1"/>
  <c r="D494" i="1"/>
  <c r="B495" i="1"/>
  <c r="C494" i="1"/>
  <c r="F493" i="1"/>
  <c r="K492" i="1" l="1"/>
  <c r="I493" i="1" a="1"/>
  <c r="I493" i="1" s="1"/>
  <c r="H493" i="1" a="1"/>
  <c r="H493" i="1" s="1"/>
  <c r="J493" i="1" s="1"/>
  <c r="D491" i="4"/>
  <c r="B490" i="4"/>
  <c r="N108" i="1" a="1"/>
  <c r="N108" i="1" s="1"/>
  <c r="O108" i="1" a="1"/>
  <c r="O108" i="1" s="1"/>
  <c r="E495" i="1"/>
  <c r="G495" i="1" s="1" a="1"/>
  <c r="G495" i="1" s="1"/>
  <c r="B496" i="1"/>
  <c r="D495" i="1"/>
  <c r="C495" i="1"/>
  <c r="F494" i="1"/>
  <c r="L108" i="1" a="1"/>
  <c r="K493" i="1" l="1"/>
  <c r="H494" i="1" a="1"/>
  <c r="H494" i="1" s="1"/>
  <c r="J494" i="1" s="1"/>
  <c r="I494" i="1" a="1"/>
  <c r="I494" i="1" s="1"/>
  <c r="D492" i="4"/>
  <c r="B491" i="4"/>
  <c r="L108" i="1"/>
  <c r="E496" i="1"/>
  <c r="G496" i="1" s="1" a="1"/>
  <c r="G496" i="1" s="1"/>
  <c r="D496" i="1"/>
  <c r="B497" i="1"/>
  <c r="C496" i="1"/>
  <c r="F495" i="1"/>
  <c r="K494" i="1" l="1"/>
  <c r="H495" i="1" a="1"/>
  <c r="H495" i="1" s="1"/>
  <c r="J495" i="1" s="1"/>
  <c r="I495" i="1" a="1"/>
  <c r="I495" i="1" s="1"/>
  <c r="D493" i="4"/>
  <c r="B492" i="4"/>
  <c r="M108" i="1" a="1"/>
  <c r="M108" i="1" s="1"/>
  <c r="Q108" i="1" s="1" a="1"/>
  <c r="Q108" i="1" s="1"/>
  <c r="P109" i="1" s="1"/>
  <c r="E497" i="1"/>
  <c r="G497" i="1" s="1" a="1"/>
  <c r="G497" i="1" s="1"/>
  <c r="C497" i="1"/>
  <c r="D497" i="1"/>
  <c r="B498" i="1"/>
  <c r="F496" i="1"/>
  <c r="K495" i="1" l="1"/>
  <c r="I496" i="1" a="1"/>
  <c r="I496" i="1" s="1"/>
  <c r="H496" i="1" a="1"/>
  <c r="H496" i="1" s="1"/>
  <c r="J496" i="1" s="1"/>
  <c r="D494" i="4"/>
  <c r="B493" i="4"/>
  <c r="S108" i="1" a="1"/>
  <c r="S108" i="1" s="1"/>
  <c r="V108" i="1" s="1"/>
  <c r="E498" i="1"/>
  <c r="G498" i="1" s="1" a="1"/>
  <c r="G498" i="1" s="1"/>
  <c r="D498" i="1"/>
  <c r="B499" i="1"/>
  <c r="C498" i="1"/>
  <c r="F497" i="1"/>
  <c r="K496" i="1" l="1"/>
  <c r="I497" i="1" a="1"/>
  <c r="I497" i="1" s="1"/>
  <c r="H497" i="1" a="1"/>
  <c r="H497" i="1" s="1"/>
  <c r="J497" i="1" s="1"/>
  <c r="D495" i="4"/>
  <c r="B494" i="4"/>
  <c r="R109" i="1" a="1"/>
  <c r="R109" i="1" s="1"/>
  <c r="T109" i="1" s="1"/>
  <c r="E499" i="1"/>
  <c r="G499" i="1" s="1" a="1"/>
  <c r="G499" i="1" s="1"/>
  <c r="D499" i="1"/>
  <c r="B500" i="1"/>
  <c r="C499" i="1"/>
  <c r="F498" i="1"/>
  <c r="K497" i="1" l="1"/>
  <c r="H498" i="1" a="1"/>
  <c r="H498" i="1" s="1"/>
  <c r="J498" i="1" s="1"/>
  <c r="I498" i="1" a="1"/>
  <c r="I498" i="1" s="1"/>
  <c r="D496" i="4"/>
  <c r="B496" i="4" s="1"/>
  <c r="B495" i="4"/>
  <c r="N109" i="1" a="1"/>
  <c r="N109" i="1" s="1"/>
  <c r="O109" i="1" a="1"/>
  <c r="O109" i="1" s="1"/>
  <c r="E500" i="1"/>
  <c r="G500" i="1" s="1" a="1"/>
  <c r="G500" i="1" s="1"/>
  <c r="D500" i="1"/>
  <c r="C500" i="1"/>
  <c r="F499" i="1"/>
  <c r="L109" i="1" a="1"/>
  <c r="K498" i="1" l="1"/>
  <c r="I499" i="1" a="1"/>
  <c r="I499" i="1" s="1"/>
  <c r="H499" i="1" a="1"/>
  <c r="H499" i="1" s="1"/>
  <c r="J499" i="1" s="1"/>
  <c r="L109" i="1"/>
  <c r="F500" i="1"/>
  <c r="K499" i="1" l="1"/>
  <c r="I500" i="1" a="1"/>
  <c r="I500" i="1" s="1"/>
  <c r="H500" i="1" a="1"/>
  <c r="H500" i="1" s="1"/>
  <c r="J500" i="1" s="1"/>
  <c r="M109" i="1" a="1"/>
  <c r="M109" i="1" s="1"/>
  <c r="Q109" i="1" s="1" a="1"/>
  <c r="Q109" i="1" s="1"/>
  <c r="P110" i="1" s="1"/>
  <c r="K500" i="1" l="1"/>
  <c r="S109" i="1" a="1"/>
  <c r="S109" i="1" s="1"/>
  <c r="V109" i="1" s="1"/>
  <c r="R110" i="1" l="1" a="1"/>
  <c r="R110" i="1" s="1"/>
  <c r="T110" i="1" s="1"/>
  <c r="O110" i="1" l="1" a="1"/>
  <c r="O110" i="1" s="1"/>
  <c r="N110" i="1" a="1"/>
  <c r="N110" i="1" s="1"/>
  <c r="L110" i="1" a="1"/>
  <c r="L110" i="1" l="1"/>
  <c r="M110" i="1" l="1" a="1"/>
  <c r="M110" i="1" s="1"/>
  <c r="Q110" i="1" s="1" a="1"/>
  <c r="Q110" i="1" s="1"/>
  <c r="P111" i="1" s="1"/>
  <c r="S110" i="1" l="1" a="1"/>
  <c r="S110" i="1" s="1"/>
  <c r="V110" i="1" s="1"/>
  <c r="R111" i="1" l="1" a="1"/>
  <c r="R111" i="1" s="1"/>
  <c r="T111" i="1" s="1"/>
  <c r="O111" i="1" l="1" a="1"/>
  <c r="O111" i="1" s="1"/>
  <c r="N111" i="1" a="1"/>
  <c r="N111" i="1" s="1"/>
  <c r="L111" i="1" a="1"/>
  <c r="L111" i="1" l="1"/>
  <c r="M111" i="1" l="1" a="1"/>
  <c r="M111" i="1" s="1"/>
  <c r="Q111" i="1" s="1" a="1"/>
  <c r="Q111" i="1" s="1"/>
  <c r="P112" i="1" s="1"/>
  <c r="S111" i="1" l="1" a="1"/>
  <c r="S111" i="1" s="1"/>
  <c r="V111" i="1" s="1"/>
  <c r="R112" i="1" l="1" a="1"/>
  <c r="R112" i="1" s="1"/>
  <c r="T112" i="1" s="1"/>
  <c r="N112" i="1" l="1" a="1"/>
  <c r="N112" i="1" s="1"/>
  <c r="O112" i="1" a="1"/>
  <c r="O112" i="1" s="1"/>
  <c r="L112" i="1" a="1"/>
  <c r="L112" i="1" l="1"/>
  <c r="M112" i="1" l="1" a="1"/>
  <c r="M112" i="1" s="1"/>
  <c r="Q112" i="1" s="1" a="1"/>
  <c r="Q112" i="1" s="1"/>
  <c r="P113" i="1" s="1"/>
  <c r="S112" i="1" l="1" a="1"/>
  <c r="S112" i="1" s="1"/>
  <c r="V112" i="1" s="1"/>
  <c r="R113" i="1" l="1" a="1"/>
  <c r="R113" i="1" s="1"/>
  <c r="T113" i="1" s="1"/>
  <c r="N113" i="1" l="1" a="1"/>
  <c r="N113" i="1" s="1"/>
  <c r="O113" i="1" a="1"/>
  <c r="O113" i="1" s="1"/>
  <c r="L113" i="1" a="1"/>
  <c r="L113" i="1" l="1"/>
  <c r="M113" i="1" l="1" a="1"/>
  <c r="M113" i="1" s="1"/>
  <c r="Q113" i="1" s="1" a="1"/>
  <c r="Q113" i="1" s="1"/>
  <c r="P114" i="1" s="1"/>
  <c r="S113" i="1" l="1" a="1"/>
  <c r="S113" i="1" s="1"/>
  <c r="V113" i="1" s="1"/>
  <c r="R114" i="1" l="1" a="1"/>
  <c r="R114" i="1" s="1"/>
  <c r="T114" i="1" s="1"/>
  <c r="N114" i="1" l="1" a="1"/>
  <c r="N114" i="1" s="1"/>
  <c r="O114" i="1" a="1"/>
  <c r="O114" i="1" s="1"/>
  <c r="L114" i="1" a="1"/>
  <c r="L114" i="1" l="1"/>
  <c r="M114" i="1" l="1" a="1"/>
  <c r="M114" i="1" s="1"/>
  <c r="Q114" i="1" s="1" a="1"/>
  <c r="Q114" i="1" s="1"/>
  <c r="P115" i="1" s="1"/>
  <c r="S114" i="1" l="1" a="1"/>
  <c r="S114" i="1" s="1"/>
  <c r="V114" i="1" s="1"/>
  <c r="R115" i="1" l="1" a="1"/>
  <c r="R115" i="1" s="1"/>
  <c r="T115" i="1" s="1"/>
  <c r="N115" i="1" l="1" a="1"/>
  <c r="N115" i="1" s="1"/>
  <c r="O115" i="1" a="1"/>
  <c r="O115" i="1" s="1"/>
  <c r="L115" i="1" a="1"/>
  <c r="L115" i="1" l="1"/>
  <c r="M115" i="1" l="1" a="1"/>
  <c r="M115" i="1" s="1"/>
  <c r="Q115" i="1" s="1" a="1"/>
  <c r="Q115" i="1" s="1"/>
  <c r="P116" i="1" s="1"/>
  <c r="S115" i="1" l="1" a="1"/>
  <c r="S115" i="1" s="1"/>
  <c r="V115" i="1" s="1"/>
  <c r="R116" i="1" l="1" a="1"/>
  <c r="R116" i="1" s="1"/>
  <c r="T116" i="1" s="1"/>
  <c r="O116" i="1" l="1" a="1"/>
  <c r="O116" i="1" s="1"/>
  <c r="N116" i="1" a="1"/>
  <c r="N116" i="1" s="1"/>
  <c r="L116" i="1" a="1"/>
  <c r="L116" i="1" l="1"/>
  <c r="M116" i="1" l="1" a="1"/>
  <c r="M116" i="1" s="1"/>
  <c r="Q116" i="1" s="1" a="1"/>
  <c r="Q116" i="1" s="1"/>
  <c r="P117" i="1" s="1"/>
  <c r="S116" i="1" l="1" a="1"/>
  <c r="S116" i="1" s="1"/>
  <c r="V116" i="1" s="1"/>
  <c r="R117" i="1" l="1" a="1"/>
  <c r="R117" i="1" s="1"/>
  <c r="T117" i="1" s="1"/>
  <c r="O117" i="1" l="1" a="1"/>
  <c r="O117" i="1" s="1"/>
  <c r="N117" i="1" a="1"/>
  <c r="N117" i="1" s="1"/>
  <c r="L117" i="1" a="1"/>
  <c r="L117" i="1" l="1"/>
  <c r="M117" i="1" l="1" a="1"/>
  <c r="M117" i="1" s="1"/>
  <c r="Q117" i="1" s="1" a="1"/>
  <c r="Q117" i="1" s="1"/>
  <c r="P118" i="1" s="1"/>
  <c r="S117" i="1" l="1" a="1"/>
  <c r="S117" i="1" s="1"/>
  <c r="V117" i="1" s="1"/>
  <c r="R118" i="1" l="1" a="1"/>
  <c r="R118" i="1" s="1"/>
  <c r="T118" i="1" s="1"/>
  <c r="N118" i="1" l="1" a="1"/>
  <c r="N118" i="1" s="1"/>
  <c r="O118" i="1" a="1"/>
  <c r="O118" i="1" s="1"/>
  <c r="L118" i="1" a="1"/>
  <c r="L118" i="1" l="1"/>
  <c r="M118" i="1" l="1" a="1"/>
  <c r="M118" i="1" s="1"/>
  <c r="Q118" i="1" s="1" a="1"/>
  <c r="Q118" i="1" s="1"/>
  <c r="P119" i="1" s="1"/>
  <c r="S118" i="1" l="1" a="1"/>
  <c r="S118" i="1" s="1"/>
  <c r="V118" i="1" s="1"/>
  <c r="R119" i="1" l="1" a="1"/>
  <c r="R119" i="1" s="1"/>
  <c r="T119" i="1" s="1"/>
  <c r="O119" i="1" l="1" a="1"/>
  <c r="O119" i="1" s="1"/>
  <c r="N119" i="1" a="1"/>
  <c r="N119" i="1" s="1"/>
  <c r="L119" i="1" a="1"/>
  <c r="L119" i="1" l="1"/>
  <c r="M119" i="1" l="1" a="1"/>
  <c r="M119" i="1" s="1"/>
  <c r="Q119" i="1" s="1" a="1"/>
  <c r="Q119" i="1" s="1"/>
  <c r="P120" i="1" s="1"/>
  <c r="S119" i="1" l="1" a="1"/>
  <c r="S119" i="1" s="1"/>
  <c r="V119" i="1" s="1"/>
  <c r="R120" i="1" l="1" a="1"/>
  <c r="R120" i="1" s="1"/>
  <c r="T120" i="1" s="1"/>
  <c r="N120" i="1" l="1" a="1"/>
  <c r="N120" i="1" s="1"/>
  <c r="O120" i="1" a="1"/>
  <c r="O120" i="1" s="1"/>
  <c r="L120" i="1" a="1"/>
  <c r="L120" i="1" l="1"/>
  <c r="M120" i="1" l="1" a="1"/>
  <c r="M120" i="1" s="1"/>
  <c r="Q120" i="1" s="1" a="1"/>
  <c r="Q120" i="1" s="1"/>
  <c r="P121" i="1" s="1"/>
  <c r="S120" i="1" l="1" a="1"/>
  <c r="S120" i="1" s="1"/>
  <c r="V120" i="1" s="1"/>
  <c r="R121" i="1" l="1" a="1"/>
  <c r="R121" i="1" s="1"/>
  <c r="T121" i="1" s="1"/>
  <c r="O121" i="1" l="1" a="1"/>
  <c r="O121" i="1" s="1"/>
  <c r="N121" i="1" a="1"/>
  <c r="N121" i="1" s="1"/>
  <c r="L121" i="1" a="1"/>
  <c r="L121" i="1" l="1"/>
  <c r="M121" i="1" l="1" a="1"/>
  <c r="M121" i="1" s="1"/>
  <c r="Q121" i="1" s="1" a="1"/>
  <c r="Q121" i="1" s="1"/>
  <c r="P122" i="1" s="1"/>
  <c r="S121" i="1" l="1" a="1"/>
  <c r="S121" i="1" s="1"/>
  <c r="V121" i="1" s="1"/>
  <c r="R122" i="1" l="1" a="1"/>
  <c r="R122" i="1" s="1"/>
  <c r="T122" i="1" s="1"/>
  <c r="O122" i="1" l="1" a="1"/>
  <c r="O122" i="1" s="1"/>
  <c r="N122" i="1" a="1"/>
  <c r="N122" i="1" s="1"/>
  <c r="L122" i="1" a="1"/>
  <c r="L122" i="1" l="1"/>
  <c r="M122" i="1" l="1" a="1"/>
  <c r="M122" i="1" s="1"/>
  <c r="Q122" i="1" s="1" a="1"/>
  <c r="Q122" i="1" s="1"/>
  <c r="P123" i="1" s="1"/>
  <c r="S122" i="1" l="1" a="1"/>
  <c r="S122" i="1" s="1"/>
  <c r="V122" i="1" s="1"/>
  <c r="R123" i="1" l="1" a="1"/>
  <c r="R123" i="1" s="1"/>
  <c r="T123" i="1" s="1"/>
  <c r="O123" i="1" l="1" a="1"/>
  <c r="O123" i="1" s="1"/>
  <c r="N123" i="1" a="1"/>
  <c r="N123" i="1" s="1"/>
  <c r="L123" i="1" a="1"/>
  <c r="L123" i="1" l="1"/>
  <c r="M123" i="1" l="1" a="1"/>
  <c r="M123" i="1" s="1"/>
  <c r="Q123" i="1" s="1" a="1"/>
  <c r="Q123" i="1" s="1"/>
  <c r="P124" i="1" s="1"/>
  <c r="S123" i="1" l="1" a="1"/>
  <c r="S123" i="1" s="1"/>
  <c r="V123" i="1" s="1"/>
  <c r="R124" i="1" l="1" a="1"/>
  <c r="R124" i="1" s="1"/>
  <c r="T124" i="1" s="1"/>
  <c r="O124" i="1" l="1" a="1"/>
  <c r="O124" i="1" s="1"/>
  <c r="N124" i="1" a="1"/>
  <c r="N124" i="1" s="1"/>
  <c r="L124" i="1" a="1"/>
  <c r="L124" i="1" l="1"/>
  <c r="M124" i="1" l="1" a="1"/>
  <c r="M124" i="1" s="1"/>
  <c r="Q124" i="1" s="1" a="1"/>
  <c r="Q124" i="1" s="1"/>
  <c r="P125" i="1" s="1"/>
  <c r="S124" i="1" l="1" a="1"/>
  <c r="S124" i="1" s="1"/>
  <c r="V124" i="1" s="1"/>
  <c r="R125" i="1" l="1" a="1"/>
  <c r="R125" i="1" s="1"/>
  <c r="T125" i="1" s="1"/>
  <c r="O125" i="1" l="1" a="1"/>
  <c r="O125" i="1" s="1"/>
  <c r="N125" i="1" a="1"/>
  <c r="N125" i="1" s="1"/>
  <c r="L125" i="1" a="1"/>
  <c r="L125" i="1" l="1"/>
  <c r="M125" i="1" l="1" a="1"/>
  <c r="M125" i="1" s="1"/>
  <c r="Q125" i="1" s="1" a="1"/>
  <c r="Q125" i="1" s="1"/>
  <c r="P126" i="1" s="1"/>
  <c r="S125" i="1" l="1" a="1"/>
  <c r="S125" i="1" s="1"/>
  <c r="V125" i="1" s="1"/>
  <c r="R126" i="1" l="1" a="1"/>
  <c r="R126" i="1" s="1"/>
  <c r="T126" i="1" s="1"/>
  <c r="N126" i="1" l="1" a="1"/>
  <c r="N126" i="1" s="1"/>
  <c r="O126" i="1" a="1"/>
  <c r="O126" i="1" s="1"/>
  <c r="L126" i="1" a="1"/>
  <c r="L126" i="1" l="1"/>
  <c r="M126" i="1" l="1" a="1"/>
  <c r="M126" i="1" s="1"/>
  <c r="Q126" i="1" s="1" a="1"/>
  <c r="Q126" i="1" s="1"/>
  <c r="P127" i="1" s="1"/>
  <c r="S126" i="1" l="1" a="1"/>
  <c r="S126" i="1" s="1"/>
  <c r="V126" i="1" s="1"/>
  <c r="R127" i="1" l="1" a="1"/>
  <c r="R127" i="1" s="1"/>
  <c r="T127" i="1" s="1"/>
  <c r="O127" i="1" l="1" a="1"/>
  <c r="O127" i="1" s="1"/>
  <c r="N127" i="1" a="1"/>
  <c r="N127" i="1" s="1"/>
  <c r="L127" i="1" a="1"/>
  <c r="L127" i="1" l="1"/>
  <c r="M127" i="1" l="1" a="1"/>
  <c r="M127" i="1" s="1"/>
  <c r="Q127" i="1" s="1" a="1"/>
  <c r="Q127" i="1" s="1"/>
  <c r="P128" i="1" s="1"/>
  <c r="S127" i="1" l="1" a="1"/>
  <c r="S127" i="1" s="1"/>
  <c r="V127" i="1" s="1"/>
  <c r="R128" i="1" l="1" a="1"/>
  <c r="R128" i="1" s="1"/>
  <c r="T128" i="1" s="1"/>
  <c r="N128" i="1" l="1" a="1"/>
  <c r="N128" i="1" s="1"/>
  <c r="O128" i="1" a="1"/>
  <c r="O128" i="1" s="1"/>
  <c r="L128" i="1" a="1"/>
  <c r="L128" i="1" l="1"/>
  <c r="M128" i="1" l="1" a="1"/>
  <c r="M128" i="1" s="1"/>
  <c r="Q128" i="1" s="1" a="1"/>
  <c r="Q128" i="1" s="1"/>
  <c r="P129" i="1" s="1"/>
  <c r="S128" i="1" l="1" a="1"/>
  <c r="S128" i="1" s="1"/>
  <c r="V128" i="1" s="1"/>
  <c r="R129" i="1" l="1" a="1"/>
  <c r="R129" i="1" s="1"/>
  <c r="T129" i="1" s="1"/>
  <c r="N129" i="1" l="1" a="1"/>
  <c r="N129" i="1" s="1"/>
  <c r="O129" i="1" a="1"/>
  <c r="O129" i="1" s="1"/>
  <c r="L129" i="1" a="1"/>
  <c r="L129" i="1" l="1"/>
  <c r="M129" i="1" l="1" a="1"/>
  <c r="M129" i="1" s="1"/>
  <c r="Q129" i="1" s="1" a="1"/>
  <c r="Q129" i="1" s="1"/>
  <c r="P130" i="1" s="1"/>
  <c r="S129" i="1" l="1" a="1"/>
  <c r="S129" i="1" s="1"/>
  <c r="V129" i="1" s="1"/>
  <c r="R130" i="1" l="1" a="1"/>
  <c r="R130" i="1" s="1"/>
  <c r="T130" i="1" s="1"/>
  <c r="N130" i="1" l="1" a="1"/>
  <c r="N130" i="1" s="1"/>
  <c r="O130" i="1" a="1"/>
  <c r="O130" i="1" s="1"/>
  <c r="L130" i="1" a="1"/>
  <c r="L130" i="1" l="1"/>
  <c r="M130" i="1" l="1" a="1"/>
  <c r="M130" i="1" s="1"/>
  <c r="Q130" i="1" s="1" a="1"/>
  <c r="Q130" i="1" s="1"/>
  <c r="P131" i="1" s="1"/>
  <c r="S130" i="1" l="1" a="1"/>
  <c r="S130" i="1" s="1"/>
  <c r="V130" i="1" s="1"/>
  <c r="R131" i="1" l="1" a="1"/>
  <c r="R131" i="1" s="1"/>
  <c r="T131" i="1" s="1"/>
  <c r="N131" i="1" l="1" a="1"/>
  <c r="N131" i="1" s="1"/>
  <c r="O131" i="1" a="1"/>
  <c r="O131" i="1" s="1"/>
  <c r="L131" i="1" a="1"/>
  <c r="L131" i="1" l="1"/>
  <c r="M131" i="1" l="1" a="1"/>
  <c r="M131" i="1" s="1"/>
  <c r="Q131" i="1" s="1" a="1"/>
  <c r="Q131" i="1" s="1"/>
  <c r="P132" i="1" s="1"/>
  <c r="S131" i="1" l="1" a="1"/>
  <c r="S131" i="1" s="1"/>
  <c r="V131" i="1" s="1"/>
  <c r="R132" i="1" l="1" a="1"/>
  <c r="R132" i="1" s="1"/>
  <c r="T132" i="1" l="1"/>
  <c r="N132" i="1" a="1"/>
  <c r="N132" i="1" s="1"/>
  <c r="O132" i="1" a="1"/>
  <c r="O132" i="1" s="1"/>
  <c r="L132" i="1" a="1"/>
  <c r="L132" i="1" l="1"/>
  <c r="M132" i="1" l="1" a="1"/>
  <c r="M132" i="1" s="1"/>
  <c r="Q132" i="1" s="1" a="1"/>
  <c r="Q132" i="1" s="1"/>
  <c r="P133" i="1" s="1"/>
  <c r="S132" i="1" l="1" a="1"/>
  <c r="S132" i="1" s="1"/>
  <c r="V132" i="1" l="1"/>
  <c r="R133" i="1" a="1"/>
  <c r="R133" i="1" s="1"/>
  <c r="T133" i="1" s="1"/>
  <c r="O133" i="1" l="1" a="1"/>
  <c r="O133" i="1" s="1"/>
  <c r="N133" i="1" a="1"/>
  <c r="N133" i="1" s="1"/>
  <c r="L133" i="1" a="1"/>
  <c r="L133" i="1" l="1"/>
  <c r="M133" i="1" l="1" a="1"/>
  <c r="M133" i="1" s="1"/>
  <c r="Q133" i="1" s="1" a="1"/>
  <c r="Q133" i="1" s="1"/>
  <c r="P134" i="1" s="1"/>
  <c r="S133" i="1" l="1" a="1"/>
  <c r="S133" i="1" s="1"/>
  <c r="V133" i="1" s="1"/>
  <c r="R134" i="1" l="1" a="1"/>
  <c r="R134" i="1" s="1"/>
  <c r="T134" i="1" s="1"/>
  <c r="N134" i="1" l="1" a="1"/>
  <c r="N134" i="1" s="1"/>
  <c r="O134" i="1" a="1"/>
  <c r="O134" i="1" s="1"/>
  <c r="L134" i="1" a="1"/>
  <c r="L134" i="1" l="1"/>
  <c r="M134" i="1" l="1" a="1"/>
  <c r="M134" i="1" s="1"/>
  <c r="Q134" i="1" s="1" a="1"/>
  <c r="Q134" i="1" s="1"/>
  <c r="P135" i="1" s="1"/>
  <c r="S134" i="1" l="1" a="1"/>
  <c r="S134" i="1" s="1"/>
  <c r="V134" i="1" s="1"/>
  <c r="R135" i="1" l="1" a="1"/>
  <c r="R135" i="1" s="1"/>
  <c r="T135" i="1" s="1"/>
  <c r="O135" i="1" l="1" a="1"/>
  <c r="O135" i="1" s="1"/>
  <c r="N135" i="1" a="1"/>
  <c r="N135" i="1" s="1"/>
  <c r="L135" i="1" a="1"/>
  <c r="L135" i="1" l="1"/>
  <c r="M135" i="1" l="1" a="1"/>
  <c r="M135" i="1" s="1"/>
  <c r="Q135" i="1" s="1" a="1"/>
  <c r="Q135" i="1" s="1"/>
  <c r="P136" i="1" s="1"/>
  <c r="S135" i="1" l="1" a="1"/>
  <c r="S135" i="1" s="1"/>
  <c r="V135" i="1" s="1"/>
  <c r="R136" i="1" l="1" a="1"/>
  <c r="R136" i="1" s="1"/>
  <c r="T136" i="1" s="1"/>
  <c r="O136" i="1" l="1" a="1"/>
  <c r="O136" i="1" s="1"/>
  <c r="N136" i="1" a="1"/>
  <c r="N136" i="1" s="1"/>
  <c r="L136" i="1" a="1"/>
  <c r="L136" i="1" l="1"/>
  <c r="M136" i="1" l="1" a="1"/>
  <c r="M136" i="1" s="1"/>
  <c r="Q136" i="1" s="1" a="1"/>
  <c r="Q136" i="1" s="1"/>
  <c r="P137" i="1" s="1"/>
  <c r="S136" i="1" l="1" a="1"/>
  <c r="S136" i="1" s="1"/>
  <c r="V136" i="1" s="1"/>
  <c r="R137" i="1" l="1" a="1"/>
  <c r="R137" i="1" s="1"/>
  <c r="T137" i="1" s="1"/>
  <c r="N137" i="1" l="1" a="1"/>
  <c r="N137" i="1" s="1"/>
  <c r="O137" i="1" a="1"/>
  <c r="O137" i="1" s="1"/>
  <c r="L137" i="1" a="1"/>
  <c r="L137" i="1" l="1"/>
  <c r="M137" i="1" l="1" a="1"/>
  <c r="M137" i="1" s="1"/>
  <c r="Q137" i="1" s="1" a="1"/>
  <c r="Q137" i="1" s="1"/>
  <c r="P138" i="1" s="1"/>
  <c r="S137" i="1" l="1" a="1"/>
  <c r="S137" i="1" s="1"/>
  <c r="V137" i="1" s="1"/>
  <c r="R138" i="1" l="1" a="1"/>
  <c r="R138" i="1" s="1"/>
  <c r="T138" i="1" s="1"/>
  <c r="N138" i="1" l="1" a="1"/>
  <c r="N138" i="1" s="1"/>
  <c r="O138" i="1" a="1"/>
  <c r="O138" i="1" s="1"/>
  <c r="L138" i="1" a="1"/>
  <c r="L138" i="1" l="1"/>
  <c r="M138" i="1" l="1" a="1"/>
  <c r="M138" i="1" s="1"/>
  <c r="Q138" i="1" s="1" a="1"/>
  <c r="Q138" i="1" s="1"/>
  <c r="P139" i="1" s="1"/>
  <c r="S138" i="1" l="1" a="1"/>
  <c r="S138" i="1" s="1"/>
  <c r="V138" i="1" s="1"/>
  <c r="R139" i="1" l="1" a="1"/>
  <c r="R139" i="1" s="1"/>
  <c r="T139" i="1" s="1"/>
  <c r="O139" i="1" l="1" a="1"/>
  <c r="O139" i="1" s="1"/>
  <c r="N139" i="1" a="1"/>
  <c r="N139" i="1" s="1"/>
  <c r="L139" i="1" a="1"/>
  <c r="L139" i="1" l="1"/>
  <c r="M139" i="1" l="1" a="1"/>
  <c r="M139" i="1" s="1"/>
  <c r="Q139" i="1" s="1" a="1"/>
  <c r="Q139" i="1" s="1"/>
  <c r="P140" i="1" s="1"/>
  <c r="S139" i="1" l="1" a="1"/>
  <c r="S139" i="1" s="1"/>
  <c r="V139" i="1" s="1"/>
  <c r="R140" i="1" l="1" a="1"/>
  <c r="R140" i="1" s="1"/>
  <c r="T140" i="1" s="1"/>
  <c r="O140" i="1" l="1" a="1"/>
  <c r="O140" i="1" s="1"/>
  <c r="N140" i="1" a="1"/>
  <c r="N140" i="1" s="1"/>
  <c r="L140" i="1" a="1"/>
  <c r="L140" i="1" l="1"/>
  <c r="M140" i="1" l="1" a="1"/>
  <c r="M140" i="1" s="1"/>
  <c r="Q140" i="1" s="1" a="1"/>
  <c r="Q140" i="1" s="1"/>
  <c r="P141" i="1" s="1"/>
  <c r="S140" i="1" l="1" a="1"/>
  <c r="S140" i="1" s="1"/>
  <c r="V140" i="1" s="1"/>
  <c r="R141" i="1" l="1" a="1"/>
  <c r="R141" i="1" s="1"/>
  <c r="T141" i="1" s="1"/>
  <c r="N141" i="1" l="1" a="1"/>
  <c r="N141" i="1" s="1"/>
  <c r="O141" i="1" a="1"/>
  <c r="O141" i="1" s="1"/>
  <c r="L141" i="1" a="1"/>
  <c r="L141" i="1" l="1"/>
  <c r="M141" i="1" l="1" a="1"/>
  <c r="M141" i="1" s="1"/>
  <c r="Q141" i="1" s="1" a="1"/>
  <c r="Q141" i="1" s="1"/>
  <c r="P142" i="1" s="1"/>
  <c r="S141" i="1" l="1" a="1"/>
  <c r="S141" i="1" s="1"/>
  <c r="V141" i="1" s="1"/>
  <c r="R142" i="1" l="1" a="1"/>
  <c r="R142" i="1" s="1"/>
  <c r="T142" i="1" s="1"/>
  <c r="N142" i="1" l="1" a="1"/>
  <c r="N142" i="1" s="1"/>
  <c r="O142" i="1" a="1"/>
  <c r="O142" i="1" s="1"/>
  <c r="L142" i="1" a="1"/>
  <c r="L142" i="1" l="1"/>
  <c r="M142" i="1" l="1" a="1"/>
  <c r="M142" i="1" s="1"/>
  <c r="Q142" i="1" s="1" a="1"/>
  <c r="Q142" i="1" s="1"/>
  <c r="P143" i="1" s="1"/>
  <c r="S142" i="1" l="1" a="1"/>
  <c r="S142" i="1" s="1"/>
  <c r="V142" i="1" s="1"/>
  <c r="R143" i="1" l="1" a="1"/>
  <c r="R143" i="1" s="1"/>
  <c r="T143" i="1" s="1"/>
  <c r="O143" i="1" l="1" a="1"/>
  <c r="O143" i="1" s="1"/>
  <c r="N143" i="1" a="1"/>
  <c r="N143" i="1" s="1"/>
  <c r="L143" i="1" a="1"/>
  <c r="L143" i="1" l="1"/>
  <c r="M143" i="1" l="1" a="1"/>
  <c r="M143" i="1" s="1"/>
  <c r="Q143" i="1" s="1" a="1"/>
  <c r="Q143" i="1" s="1"/>
  <c r="P144" i="1" s="1"/>
  <c r="S143" i="1" l="1" a="1"/>
  <c r="S143" i="1" s="1"/>
  <c r="V143" i="1" s="1"/>
  <c r="R144" i="1" l="1" a="1"/>
  <c r="R144" i="1" s="1"/>
  <c r="T144" i="1" s="1"/>
  <c r="O144" i="1" l="1" a="1"/>
  <c r="O144" i="1" s="1"/>
  <c r="N144" i="1" a="1"/>
  <c r="N144" i="1" s="1"/>
  <c r="L144" i="1" a="1"/>
  <c r="L144" i="1" l="1"/>
  <c r="M144" i="1" l="1" a="1"/>
  <c r="M144" i="1" s="1"/>
  <c r="Q144" i="1" s="1" a="1"/>
  <c r="Q144" i="1" s="1"/>
  <c r="P145" i="1" s="1"/>
  <c r="S144" i="1" l="1" a="1"/>
  <c r="S144" i="1" s="1"/>
  <c r="V144" i="1" s="1"/>
  <c r="R145" i="1" l="1" a="1"/>
  <c r="R145" i="1" s="1"/>
  <c r="T145" i="1" s="1"/>
  <c r="O145" i="1" l="1" a="1"/>
  <c r="O145" i="1" s="1"/>
  <c r="N145" i="1" a="1"/>
  <c r="N145" i="1" s="1"/>
  <c r="L145" i="1" a="1"/>
  <c r="L145" i="1" l="1"/>
  <c r="M145" i="1" l="1" a="1"/>
  <c r="M145" i="1" s="1"/>
  <c r="Q145" i="1" s="1" a="1"/>
  <c r="Q145" i="1" s="1"/>
  <c r="P146" i="1" s="1"/>
  <c r="S145" i="1" l="1" a="1"/>
  <c r="S145" i="1" s="1"/>
  <c r="V145" i="1" s="1"/>
  <c r="R146" i="1" l="1" a="1"/>
  <c r="R146" i="1" s="1"/>
  <c r="T146" i="1" s="1"/>
  <c r="O146" i="1" l="1" a="1"/>
  <c r="O146" i="1" s="1"/>
  <c r="N146" i="1" a="1"/>
  <c r="N146" i="1" s="1"/>
  <c r="L146" i="1" a="1"/>
  <c r="L146" i="1" l="1"/>
  <c r="M146" i="1" l="1" a="1"/>
  <c r="M146" i="1" s="1"/>
  <c r="Q146" i="1" s="1" a="1"/>
  <c r="Q146" i="1" s="1"/>
  <c r="P147" i="1" s="1"/>
  <c r="S146" i="1" l="1" a="1"/>
  <c r="S146" i="1" s="1"/>
  <c r="V146" i="1" s="1"/>
  <c r="R147" i="1" l="1" a="1"/>
  <c r="R147" i="1" s="1"/>
  <c r="T147" i="1" s="1"/>
  <c r="N147" i="1" l="1" a="1"/>
  <c r="N147" i="1" s="1"/>
  <c r="O147" i="1" a="1"/>
  <c r="O147" i="1" s="1"/>
  <c r="L147" i="1" a="1"/>
  <c r="L147" i="1" l="1"/>
  <c r="M147" i="1" l="1" a="1"/>
  <c r="M147" i="1" s="1"/>
  <c r="Q147" i="1" s="1" a="1"/>
  <c r="Q147" i="1" s="1"/>
  <c r="P148" i="1" s="1"/>
  <c r="S147" i="1" l="1" a="1"/>
  <c r="S147" i="1" s="1"/>
  <c r="V147" i="1" s="1"/>
  <c r="R148" i="1" l="1" a="1"/>
  <c r="R148" i="1" s="1"/>
  <c r="T148" i="1" s="1"/>
  <c r="N148" i="1" l="1" a="1"/>
  <c r="N148" i="1" s="1"/>
  <c r="O148" i="1" a="1"/>
  <c r="O148" i="1" s="1"/>
  <c r="L148" i="1" a="1"/>
  <c r="L148" i="1" l="1"/>
  <c r="M148" i="1" l="1" a="1"/>
  <c r="M148" i="1" s="1"/>
  <c r="Q148" i="1" s="1" a="1"/>
  <c r="Q148" i="1" s="1"/>
  <c r="P149" i="1" s="1"/>
  <c r="S148" i="1" l="1" a="1"/>
  <c r="S148" i="1" s="1"/>
  <c r="V148" i="1" s="1"/>
  <c r="R149" i="1" l="1" a="1"/>
  <c r="R149" i="1" s="1"/>
  <c r="T149" i="1" s="1"/>
  <c r="N149" i="1" l="1" a="1"/>
  <c r="N149" i="1" s="1"/>
  <c r="O149" i="1" a="1"/>
  <c r="O149" i="1" s="1"/>
  <c r="L149" i="1" a="1"/>
  <c r="L149" i="1" l="1"/>
  <c r="M149" i="1" l="1" a="1"/>
  <c r="M149" i="1" s="1"/>
  <c r="Q149" i="1" s="1" a="1"/>
  <c r="Q149" i="1" s="1"/>
  <c r="P150" i="1" s="1"/>
  <c r="S149" i="1" l="1" a="1"/>
  <c r="S149" i="1" s="1"/>
  <c r="V149" i="1" s="1"/>
  <c r="R150" i="1" l="1" a="1"/>
  <c r="R150" i="1" s="1"/>
  <c r="T150" i="1" s="1"/>
  <c r="O150" i="1" l="1" a="1"/>
  <c r="O150" i="1" s="1"/>
  <c r="N150" i="1" a="1"/>
  <c r="N150" i="1" s="1"/>
  <c r="L150" i="1" a="1"/>
  <c r="L150" i="1" l="1"/>
  <c r="M150" i="1" l="1" a="1"/>
  <c r="M150" i="1" s="1"/>
  <c r="Q150" i="1" s="1" a="1"/>
  <c r="Q150" i="1" s="1"/>
  <c r="P151" i="1" s="1"/>
  <c r="S150" i="1" l="1" a="1"/>
  <c r="S150" i="1" s="1"/>
  <c r="V150" i="1" s="1"/>
  <c r="R151" i="1" l="1" a="1"/>
  <c r="R151" i="1" s="1"/>
  <c r="T151" i="1" s="1"/>
  <c r="O151" i="1" l="1" a="1"/>
  <c r="O151" i="1" s="1"/>
  <c r="N151" i="1" a="1"/>
  <c r="N151" i="1" s="1"/>
  <c r="L151" i="1" a="1"/>
  <c r="L151" i="1" l="1"/>
  <c r="M151" i="1" l="1" a="1"/>
  <c r="M151" i="1" s="1"/>
  <c r="Q151" i="1" s="1" a="1"/>
  <c r="Q151" i="1" s="1"/>
  <c r="P152" i="1" s="1"/>
  <c r="S151" i="1" l="1" a="1"/>
  <c r="S151" i="1" s="1"/>
  <c r="V151" i="1" s="1"/>
  <c r="R152" i="1" l="1" a="1"/>
  <c r="R152" i="1" s="1"/>
  <c r="T152" i="1" s="1"/>
  <c r="O152" i="1" l="1" a="1"/>
  <c r="O152" i="1" s="1"/>
  <c r="N152" i="1" a="1"/>
  <c r="N152" i="1" s="1"/>
  <c r="L152" i="1" a="1"/>
  <c r="L152" i="1" l="1"/>
  <c r="M152" i="1" l="1" a="1"/>
  <c r="M152" i="1" s="1"/>
  <c r="Q152" i="1" s="1" a="1"/>
  <c r="Q152" i="1" s="1"/>
  <c r="P153" i="1" s="1"/>
  <c r="S152" i="1" l="1" a="1"/>
  <c r="S152" i="1" s="1"/>
  <c r="V152" i="1" s="1"/>
  <c r="R153" i="1" l="1" a="1"/>
  <c r="R153" i="1" s="1"/>
  <c r="T153" i="1" s="1"/>
  <c r="O153" i="1" l="1" a="1"/>
  <c r="O153" i="1" s="1"/>
  <c r="N153" i="1" a="1"/>
  <c r="N153" i="1" s="1"/>
  <c r="L153" i="1" a="1"/>
  <c r="L153" i="1" l="1"/>
  <c r="M153" i="1" l="1" a="1"/>
  <c r="M153" i="1" s="1"/>
  <c r="Q153" i="1" s="1" a="1"/>
  <c r="Q153" i="1" s="1"/>
  <c r="P154" i="1" s="1"/>
  <c r="S153" i="1" l="1" a="1"/>
  <c r="S153" i="1" s="1"/>
  <c r="V153" i="1" s="1"/>
  <c r="R154" i="1" l="1" a="1"/>
  <c r="R154" i="1" s="1"/>
  <c r="T154" i="1" s="1"/>
  <c r="N154" i="1" l="1" a="1"/>
  <c r="N154" i="1" s="1"/>
  <c r="O154" i="1" a="1"/>
  <c r="O154" i="1" s="1"/>
  <c r="L154" i="1" a="1"/>
  <c r="L154" i="1" l="1"/>
  <c r="M154" i="1" l="1" a="1"/>
  <c r="M154" i="1" s="1"/>
  <c r="Q154" i="1" s="1" a="1"/>
  <c r="Q154" i="1" s="1"/>
  <c r="P155" i="1" s="1"/>
  <c r="S154" i="1" l="1" a="1"/>
  <c r="S154" i="1" s="1"/>
  <c r="V154" i="1" s="1"/>
  <c r="R155" i="1" l="1" a="1"/>
  <c r="R155" i="1" s="1"/>
  <c r="T155" i="1" s="1"/>
  <c r="N155" i="1" l="1" a="1"/>
  <c r="N155" i="1" s="1"/>
  <c r="O155" i="1" a="1"/>
  <c r="O155" i="1" s="1"/>
  <c r="L155" i="1" a="1"/>
  <c r="L155" i="1" l="1"/>
  <c r="M155" i="1" l="1" a="1"/>
  <c r="M155" i="1" s="1"/>
  <c r="Q155" i="1" s="1" a="1"/>
  <c r="Q155" i="1" s="1"/>
  <c r="P156" i="1" s="1"/>
  <c r="S155" i="1" l="1" a="1"/>
  <c r="S155" i="1" s="1"/>
  <c r="V155" i="1" s="1"/>
  <c r="R156" i="1" l="1" a="1"/>
  <c r="R156" i="1" s="1"/>
  <c r="T156" i="1" s="1"/>
  <c r="N156" i="1" l="1" a="1"/>
  <c r="N156" i="1" s="1"/>
  <c r="O156" i="1" a="1"/>
  <c r="O156" i="1" s="1"/>
  <c r="L156" i="1" a="1"/>
  <c r="L156" i="1" l="1"/>
  <c r="M156" i="1" l="1" a="1"/>
  <c r="M156" i="1" s="1"/>
  <c r="Q156" i="1" s="1" a="1"/>
  <c r="Q156" i="1" s="1"/>
  <c r="P157" i="1" s="1"/>
  <c r="S156" i="1" l="1" a="1"/>
  <c r="S156" i="1" s="1"/>
  <c r="V156" i="1" s="1"/>
  <c r="R157" i="1" l="1" a="1"/>
  <c r="R157" i="1" s="1"/>
  <c r="T157" i="1" s="1"/>
  <c r="N157" i="1" l="1" a="1"/>
  <c r="N157" i="1" s="1"/>
  <c r="O157" i="1" a="1"/>
  <c r="O157" i="1" s="1"/>
  <c r="L157" i="1" a="1"/>
  <c r="L157" i="1" l="1"/>
  <c r="M157" i="1" l="1" a="1"/>
  <c r="M157" i="1" s="1"/>
  <c r="Q157" i="1" s="1" a="1"/>
  <c r="Q157" i="1" s="1"/>
  <c r="P158" i="1" s="1"/>
  <c r="S157" i="1" l="1" a="1"/>
  <c r="S157" i="1" s="1"/>
  <c r="V157" i="1" s="1"/>
  <c r="R158" i="1" l="1" a="1"/>
  <c r="R158" i="1" s="1"/>
  <c r="T158" i="1" s="1"/>
  <c r="N158" i="1" l="1" a="1"/>
  <c r="N158" i="1" s="1"/>
  <c r="O158" i="1" a="1"/>
  <c r="O158" i="1" s="1"/>
  <c r="L158" i="1" a="1"/>
  <c r="L158" i="1" l="1"/>
  <c r="M158" i="1" l="1" a="1"/>
  <c r="M158" i="1" s="1"/>
  <c r="Q158" i="1" s="1" a="1"/>
  <c r="Q158" i="1" s="1"/>
  <c r="P159" i="1" s="1"/>
  <c r="S158" i="1" l="1" a="1"/>
  <c r="S158" i="1" s="1"/>
  <c r="V158" i="1" s="1"/>
  <c r="R159" i="1" l="1" a="1"/>
  <c r="R159" i="1" s="1"/>
  <c r="T159" i="1" s="1"/>
  <c r="N159" i="1" l="1" a="1"/>
  <c r="N159" i="1" s="1"/>
  <c r="O159" i="1" a="1"/>
  <c r="O159" i="1" s="1"/>
  <c r="L159" i="1" a="1"/>
  <c r="L159" i="1" l="1"/>
  <c r="M159" i="1" l="1" a="1"/>
  <c r="M159" i="1" s="1"/>
  <c r="Q159" i="1" s="1" a="1"/>
  <c r="Q159" i="1" s="1"/>
  <c r="P160" i="1" s="1"/>
  <c r="S159" i="1" l="1" a="1"/>
  <c r="S159" i="1" s="1"/>
  <c r="V159" i="1" s="1"/>
  <c r="R160" i="1" l="1" a="1"/>
  <c r="R160" i="1" s="1"/>
  <c r="T160" i="1" s="1"/>
  <c r="N160" i="1" l="1" a="1"/>
  <c r="N160" i="1" s="1"/>
  <c r="O160" i="1" a="1"/>
  <c r="O160" i="1" s="1"/>
  <c r="L160" i="1" a="1"/>
  <c r="L160" i="1" l="1"/>
  <c r="M160" i="1" l="1" a="1"/>
  <c r="M160" i="1" s="1"/>
  <c r="Q160" i="1" s="1" a="1"/>
  <c r="Q160" i="1" s="1"/>
  <c r="P161" i="1" s="1"/>
  <c r="S160" i="1" l="1" a="1"/>
  <c r="S160" i="1" s="1"/>
  <c r="V160" i="1" s="1"/>
  <c r="R161" i="1" l="1" a="1"/>
  <c r="R161" i="1" s="1"/>
  <c r="T161" i="1" s="1"/>
  <c r="O161" i="1" l="1" a="1"/>
  <c r="O161" i="1" s="1"/>
  <c r="N161" i="1" a="1"/>
  <c r="N161" i="1" s="1"/>
  <c r="L161" i="1" a="1"/>
  <c r="L161" i="1" l="1"/>
  <c r="M161" i="1" l="1" a="1"/>
  <c r="M161" i="1" s="1"/>
  <c r="Q161" i="1" s="1" a="1"/>
  <c r="Q161" i="1" s="1"/>
  <c r="P162" i="1" s="1"/>
  <c r="S161" i="1" l="1" a="1"/>
  <c r="S161" i="1" s="1"/>
  <c r="V161" i="1" s="1"/>
  <c r="R162" i="1" l="1" a="1"/>
  <c r="R162" i="1" s="1"/>
  <c r="T162" i="1" s="1"/>
  <c r="O162" i="1" l="1" a="1"/>
  <c r="O162" i="1" s="1"/>
  <c r="N162" i="1" a="1"/>
  <c r="N162" i="1" s="1"/>
  <c r="L162" i="1" a="1"/>
  <c r="L162" i="1" l="1"/>
  <c r="M162" i="1" l="1" a="1"/>
  <c r="M162" i="1" s="1"/>
  <c r="Q162" i="1" s="1" a="1"/>
  <c r="Q162" i="1" s="1"/>
  <c r="P163" i="1" s="1"/>
  <c r="S162" i="1" l="1" a="1"/>
  <c r="S162" i="1" s="1"/>
  <c r="V162" i="1" s="1"/>
  <c r="R163" i="1" l="1" a="1"/>
  <c r="R163" i="1" s="1"/>
  <c r="T163" i="1" s="1"/>
  <c r="O163" i="1" l="1" a="1"/>
  <c r="O163" i="1" s="1"/>
  <c r="N163" i="1" a="1"/>
  <c r="N163" i="1" s="1"/>
  <c r="L163" i="1" a="1"/>
  <c r="L163" i="1" l="1"/>
  <c r="M163" i="1" l="1" a="1"/>
  <c r="M163" i="1" s="1"/>
  <c r="Q163" i="1" s="1" a="1"/>
  <c r="Q163" i="1" s="1"/>
  <c r="P164" i="1" s="1"/>
  <c r="S163" i="1" l="1" a="1"/>
  <c r="S163" i="1" s="1"/>
  <c r="V163" i="1" s="1"/>
  <c r="R164" i="1" l="1" a="1"/>
  <c r="R164" i="1" s="1"/>
  <c r="T164" i="1" s="1"/>
  <c r="N164" i="1" l="1" a="1"/>
  <c r="N164" i="1" s="1"/>
  <c r="O164" i="1" a="1"/>
  <c r="O164" i="1" s="1"/>
  <c r="L164" i="1" a="1"/>
  <c r="L164" i="1" l="1"/>
  <c r="M164" i="1" l="1" a="1"/>
  <c r="M164" i="1" s="1"/>
  <c r="Q164" i="1" s="1" a="1"/>
  <c r="Q164" i="1" s="1"/>
  <c r="P165" i="1" s="1"/>
  <c r="S164" i="1" l="1" a="1"/>
  <c r="S164" i="1" s="1"/>
  <c r="V164" i="1" s="1"/>
  <c r="R165" i="1" l="1" a="1"/>
  <c r="R165" i="1" s="1"/>
  <c r="T165" i="1" s="1"/>
  <c r="O165" i="1" l="1" a="1"/>
  <c r="O165" i="1" s="1"/>
  <c r="N165" i="1" a="1"/>
  <c r="N165" i="1" s="1"/>
  <c r="L165" i="1" a="1"/>
  <c r="L165" i="1" l="1"/>
  <c r="M165" i="1" l="1" a="1"/>
  <c r="M165" i="1" s="1"/>
  <c r="Q165" i="1" s="1" a="1"/>
  <c r="Q165" i="1" s="1"/>
  <c r="P166" i="1" s="1"/>
  <c r="S165" i="1" l="1" a="1"/>
  <c r="S165" i="1" s="1"/>
  <c r="V165" i="1" s="1"/>
  <c r="R166" i="1" l="1" a="1"/>
  <c r="R166" i="1" s="1"/>
  <c r="T166" i="1" s="1"/>
  <c r="N166" i="1" l="1" a="1"/>
  <c r="N166" i="1" s="1"/>
  <c r="O166" i="1" a="1"/>
  <c r="O166" i="1" s="1"/>
  <c r="L166" i="1" a="1"/>
  <c r="L166" i="1" l="1"/>
  <c r="M166" i="1" l="1" a="1"/>
  <c r="M166" i="1" s="1"/>
  <c r="Q166" i="1" s="1" a="1"/>
  <c r="Q166" i="1" s="1"/>
  <c r="P167" i="1" s="1"/>
  <c r="S166" i="1" l="1" a="1"/>
  <c r="S166" i="1" s="1"/>
  <c r="V166" i="1" s="1"/>
  <c r="R167" i="1" l="1" a="1"/>
  <c r="R167" i="1" s="1"/>
  <c r="T167" i="1" s="1"/>
  <c r="O167" i="1" l="1" a="1"/>
  <c r="O167" i="1" s="1"/>
  <c r="N167" i="1" a="1"/>
  <c r="N167" i="1" s="1"/>
  <c r="L167" i="1" a="1"/>
  <c r="L167" i="1" l="1"/>
  <c r="M167" i="1" l="1" a="1"/>
  <c r="M167" i="1" s="1"/>
  <c r="Q167" i="1" s="1" a="1"/>
  <c r="Q167" i="1" s="1"/>
  <c r="P168" i="1" s="1"/>
  <c r="S167" i="1" l="1" a="1"/>
  <c r="S167" i="1" s="1"/>
  <c r="V167" i="1" s="1"/>
  <c r="R168" i="1" l="1" a="1"/>
  <c r="R168" i="1" s="1"/>
  <c r="T168" i="1" s="1"/>
  <c r="N168" i="1" l="1" a="1"/>
  <c r="N168" i="1" s="1"/>
  <c r="O168" i="1" a="1"/>
  <c r="O168" i="1" s="1"/>
  <c r="L168" i="1" a="1"/>
  <c r="L168" i="1" l="1"/>
  <c r="M168" i="1" l="1" a="1"/>
  <c r="M168" i="1" s="1"/>
  <c r="Q168" i="1" s="1" a="1"/>
  <c r="Q168" i="1" s="1"/>
  <c r="P169" i="1" s="1"/>
  <c r="S168" i="1" l="1" a="1"/>
  <c r="S168" i="1" s="1"/>
  <c r="V168" i="1" s="1"/>
  <c r="R169" i="1" l="1" a="1"/>
  <c r="R169" i="1" s="1"/>
  <c r="T169" i="1" s="1"/>
  <c r="N169" i="1" l="1" a="1"/>
  <c r="N169" i="1" s="1"/>
  <c r="O169" i="1" a="1"/>
  <c r="O169" i="1" s="1"/>
  <c r="L169" i="1" a="1"/>
  <c r="L169" i="1" l="1"/>
  <c r="M169" i="1" l="1" a="1"/>
  <c r="M169" i="1" s="1"/>
  <c r="Q169" i="1" s="1" a="1"/>
  <c r="Q169" i="1" s="1"/>
  <c r="P170" i="1" s="1"/>
  <c r="S169" i="1" l="1" a="1"/>
  <c r="S169" i="1" s="1"/>
  <c r="V169" i="1" s="1"/>
  <c r="R170" i="1" l="1" a="1"/>
  <c r="R170" i="1" s="1"/>
  <c r="T170" i="1" s="1"/>
  <c r="N170" i="1" l="1" a="1"/>
  <c r="N170" i="1" s="1"/>
  <c r="O170" i="1" a="1"/>
  <c r="O170" i="1" s="1"/>
  <c r="L170" i="1" a="1"/>
  <c r="L170" i="1" l="1"/>
  <c r="M170" i="1" l="1" a="1"/>
  <c r="M170" i="1" s="1"/>
  <c r="Q170" i="1" s="1" a="1"/>
  <c r="Q170" i="1" s="1"/>
  <c r="P171" i="1" s="1"/>
  <c r="S170" i="1" l="1" a="1"/>
  <c r="S170" i="1" s="1"/>
  <c r="V170" i="1" s="1"/>
  <c r="R171" i="1" l="1" a="1"/>
  <c r="R171" i="1" s="1"/>
  <c r="T171" i="1" s="1"/>
  <c r="N171" i="1" l="1" a="1"/>
  <c r="N171" i="1" s="1"/>
  <c r="O171" i="1" a="1"/>
  <c r="O171" i="1" s="1"/>
  <c r="L171" i="1" a="1"/>
  <c r="L171" i="1" l="1"/>
  <c r="M171" i="1" l="1" a="1"/>
  <c r="M171" i="1" s="1"/>
  <c r="Q171" i="1" s="1" a="1"/>
  <c r="Q171" i="1" s="1"/>
  <c r="P172" i="1" s="1"/>
  <c r="S171" i="1" l="1" a="1"/>
  <c r="S171" i="1" s="1"/>
  <c r="V171" i="1" s="1"/>
  <c r="R172" i="1" l="1" a="1"/>
  <c r="R172" i="1" s="1"/>
  <c r="T172" i="1" s="1"/>
  <c r="N172" i="1" l="1" a="1"/>
  <c r="N172" i="1" s="1"/>
  <c r="O172" i="1" a="1"/>
  <c r="O172" i="1" s="1"/>
  <c r="L172" i="1" a="1"/>
  <c r="L172" i="1" l="1"/>
  <c r="M172" i="1" l="1" a="1"/>
  <c r="M172" i="1" s="1"/>
  <c r="Q172" i="1" s="1" a="1"/>
  <c r="Q172" i="1" s="1"/>
  <c r="P173" i="1" s="1"/>
  <c r="S172" i="1" l="1" a="1"/>
  <c r="S172" i="1" s="1"/>
  <c r="V172" i="1" s="1"/>
  <c r="R173" i="1" l="1" a="1"/>
  <c r="R173" i="1" s="1"/>
  <c r="T173" i="1" s="1"/>
  <c r="N173" i="1" l="1" a="1"/>
  <c r="N173" i="1" s="1"/>
  <c r="O173" i="1" a="1"/>
  <c r="O173" i="1" s="1"/>
  <c r="L173" i="1" a="1"/>
  <c r="L173" i="1" l="1"/>
  <c r="M173" i="1" l="1" a="1"/>
  <c r="M173" i="1" s="1"/>
  <c r="Q173" i="1" s="1" a="1"/>
  <c r="Q173" i="1" s="1"/>
  <c r="P174" i="1" s="1"/>
  <c r="S173" i="1" l="1" a="1"/>
  <c r="S173" i="1" s="1"/>
  <c r="V173" i="1" s="1"/>
  <c r="R174" i="1" l="1" a="1"/>
  <c r="R174" i="1" s="1"/>
  <c r="T174" i="1" s="1"/>
  <c r="N174" i="1" l="1" a="1"/>
  <c r="N174" i="1" s="1"/>
  <c r="O174" i="1" a="1"/>
  <c r="O174" i="1" s="1"/>
  <c r="L174" i="1" a="1"/>
  <c r="L174" i="1" l="1"/>
  <c r="M174" i="1" l="1" a="1"/>
  <c r="M174" i="1" s="1"/>
  <c r="Q174" i="1" s="1" a="1"/>
  <c r="Q174" i="1" s="1"/>
  <c r="P175" i="1" s="1"/>
  <c r="S174" i="1" l="1" a="1"/>
  <c r="S174" i="1" s="1"/>
  <c r="V174" i="1" s="1"/>
  <c r="R175" i="1" l="1" a="1"/>
  <c r="R175" i="1" s="1"/>
  <c r="T175" i="1" s="1"/>
  <c r="N175" i="1" l="1" a="1"/>
  <c r="N175" i="1" s="1"/>
  <c r="O175" i="1" a="1"/>
  <c r="O175" i="1" s="1"/>
  <c r="L175" i="1" a="1"/>
  <c r="L175" i="1" l="1"/>
  <c r="M175" i="1" l="1" a="1"/>
  <c r="M175" i="1" s="1"/>
  <c r="Q175" i="1" s="1" a="1"/>
  <c r="Q175" i="1" s="1"/>
  <c r="P176" i="1" s="1"/>
  <c r="S175" i="1" l="1" a="1"/>
  <c r="S175" i="1" s="1"/>
  <c r="V175" i="1" s="1"/>
  <c r="R176" i="1" l="1" a="1"/>
  <c r="R176" i="1" s="1"/>
  <c r="T176" i="1" s="1"/>
  <c r="O176" i="1" l="1" a="1"/>
  <c r="O176" i="1" s="1"/>
  <c r="N176" i="1" a="1"/>
  <c r="N176" i="1" s="1"/>
  <c r="L176" i="1" a="1"/>
  <c r="L176" i="1" l="1"/>
  <c r="M176" i="1" l="1" a="1"/>
  <c r="M176" i="1" s="1"/>
  <c r="Q176" i="1" s="1" a="1"/>
  <c r="Q176" i="1" s="1"/>
  <c r="P177" i="1" s="1"/>
  <c r="S176" i="1" l="1" a="1"/>
  <c r="S176" i="1" s="1"/>
  <c r="V176" i="1" s="1"/>
  <c r="R177" i="1" l="1" a="1"/>
  <c r="R177" i="1" s="1"/>
  <c r="T177" i="1" s="1"/>
  <c r="N177" i="1" l="1" a="1"/>
  <c r="N177" i="1" s="1"/>
  <c r="O177" i="1" a="1"/>
  <c r="O177" i="1" s="1"/>
  <c r="L177" i="1" a="1"/>
  <c r="L177" i="1" l="1"/>
  <c r="M177" i="1" l="1" a="1"/>
  <c r="M177" i="1" s="1"/>
  <c r="Q177" i="1" s="1" a="1"/>
  <c r="Q177" i="1" s="1"/>
  <c r="P178" i="1" s="1"/>
  <c r="S177" i="1" l="1" a="1"/>
  <c r="S177" i="1" s="1"/>
  <c r="V177" i="1" s="1"/>
  <c r="R178" i="1" l="1" a="1"/>
  <c r="R178" i="1" s="1"/>
  <c r="T178" i="1" s="1"/>
  <c r="N178" i="1" l="1" a="1"/>
  <c r="N178" i="1" s="1"/>
  <c r="O178" i="1" a="1"/>
  <c r="O178" i="1" s="1"/>
  <c r="L178" i="1" a="1"/>
  <c r="L178" i="1" l="1"/>
  <c r="M178" i="1" l="1" a="1"/>
  <c r="M178" i="1" s="1"/>
  <c r="Q178" i="1" s="1" a="1"/>
  <c r="Q178" i="1" s="1"/>
  <c r="P179" i="1" s="1"/>
  <c r="S178" i="1" l="1" a="1"/>
  <c r="S178" i="1" s="1"/>
  <c r="V178" i="1" s="1"/>
  <c r="R179" i="1" l="1" a="1"/>
  <c r="R179" i="1" s="1"/>
  <c r="T179" i="1" s="1"/>
  <c r="N179" i="1" l="1" a="1"/>
  <c r="N179" i="1" s="1"/>
  <c r="O179" i="1" a="1"/>
  <c r="O179" i="1" s="1"/>
  <c r="L179" i="1" a="1"/>
  <c r="L179" i="1" l="1"/>
  <c r="M179" i="1" l="1" a="1"/>
  <c r="M179" i="1" s="1"/>
  <c r="Q179" i="1" s="1" a="1"/>
  <c r="Q179" i="1" s="1"/>
  <c r="P180" i="1" s="1"/>
  <c r="S179" i="1" l="1" a="1"/>
  <c r="S179" i="1" s="1"/>
  <c r="V179" i="1" s="1"/>
  <c r="R180" i="1" l="1" a="1"/>
  <c r="R180" i="1" s="1"/>
  <c r="T180" i="1" s="1"/>
  <c r="O180" i="1" l="1" a="1"/>
  <c r="O180" i="1" s="1"/>
  <c r="N180" i="1" a="1"/>
  <c r="N180" i="1" s="1"/>
  <c r="L180" i="1" a="1"/>
  <c r="L180" i="1" l="1"/>
  <c r="M180" i="1" l="1" a="1"/>
  <c r="M180" i="1" s="1"/>
  <c r="Q180" i="1" s="1" a="1"/>
  <c r="Q180" i="1" s="1"/>
  <c r="P181" i="1" s="1"/>
  <c r="S180" i="1" l="1" a="1"/>
  <c r="S180" i="1" s="1"/>
  <c r="V180" i="1" s="1"/>
  <c r="R181" i="1" l="1" a="1"/>
  <c r="R181" i="1" s="1"/>
  <c r="T181" i="1" s="1"/>
  <c r="N181" i="1" l="1" a="1"/>
  <c r="N181" i="1" s="1"/>
  <c r="O181" i="1" a="1"/>
  <c r="O181" i="1" s="1"/>
  <c r="L181" i="1" a="1"/>
  <c r="L181" i="1" l="1"/>
  <c r="M181" i="1" l="1" a="1"/>
  <c r="M181" i="1" s="1"/>
  <c r="Q181" i="1" s="1" a="1"/>
  <c r="Q181" i="1" s="1"/>
  <c r="P182" i="1" s="1"/>
  <c r="S181" i="1" l="1" a="1"/>
  <c r="S181" i="1" s="1"/>
  <c r="V181" i="1" s="1"/>
  <c r="R182" i="1" l="1" a="1"/>
  <c r="R182" i="1" s="1"/>
  <c r="T182" i="1" s="1"/>
  <c r="N182" i="1" l="1" a="1"/>
  <c r="N182" i="1" s="1"/>
  <c r="O182" i="1" a="1"/>
  <c r="O182" i="1" s="1"/>
  <c r="L182" i="1" a="1"/>
  <c r="L182" i="1" l="1"/>
  <c r="M182" i="1" l="1" a="1"/>
  <c r="M182" i="1" s="1"/>
  <c r="Q182" i="1" s="1" a="1"/>
  <c r="Q182" i="1" s="1"/>
  <c r="P183" i="1" s="1"/>
  <c r="S182" i="1" l="1" a="1"/>
  <c r="S182" i="1" s="1"/>
  <c r="V182" i="1" s="1"/>
  <c r="R183" i="1" l="1" a="1"/>
  <c r="R183" i="1" s="1"/>
  <c r="T183" i="1" s="1"/>
  <c r="N183" i="1" l="1" a="1"/>
  <c r="N183" i="1" s="1"/>
  <c r="O183" i="1" a="1"/>
  <c r="O183" i="1" s="1"/>
  <c r="L183" i="1" a="1"/>
  <c r="L183" i="1" l="1"/>
  <c r="M183" i="1" l="1" a="1"/>
  <c r="M183" i="1" s="1"/>
  <c r="Q183" i="1" s="1" a="1"/>
  <c r="Q183" i="1" s="1"/>
  <c r="P184" i="1" s="1"/>
  <c r="S183" i="1" l="1" a="1"/>
  <c r="S183" i="1" s="1"/>
  <c r="V183" i="1" s="1"/>
  <c r="R184" i="1" l="1" a="1"/>
  <c r="R184" i="1" s="1"/>
  <c r="T184" i="1" s="1"/>
  <c r="N184" i="1" l="1" a="1"/>
  <c r="N184" i="1" s="1"/>
  <c r="O184" i="1" a="1"/>
  <c r="O184" i="1" s="1"/>
  <c r="L184" i="1" a="1"/>
  <c r="L184" i="1" l="1"/>
  <c r="M184" i="1" l="1" a="1"/>
  <c r="M184" i="1" s="1"/>
  <c r="Q184" i="1" s="1" a="1"/>
  <c r="Q184" i="1" s="1"/>
  <c r="P185" i="1" s="1"/>
  <c r="S184" i="1" l="1" a="1"/>
  <c r="S184" i="1" s="1"/>
  <c r="V184" i="1" s="1"/>
  <c r="R185" i="1" l="1" a="1"/>
  <c r="R185" i="1" s="1"/>
  <c r="T185" i="1" s="1"/>
  <c r="N185" i="1" l="1" a="1"/>
  <c r="N185" i="1" s="1"/>
  <c r="O185" i="1" a="1"/>
  <c r="O185" i="1" s="1"/>
  <c r="L185" i="1" a="1"/>
  <c r="L185" i="1" l="1"/>
  <c r="M185" i="1" l="1" a="1"/>
  <c r="M185" i="1" s="1"/>
  <c r="Q185" i="1" s="1" a="1"/>
  <c r="Q185" i="1" s="1"/>
  <c r="P186" i="1" s="1"/>
  <c r="S185" i="1" l="1" a="1"/>
  <c r="S185" i="1" s="1"/>
  <c r="V185" i="1" s="1"/>
  <c r="R186" i="1" l="1" a="1"/>
  <c r="R186" i="1" s="1"/>
  <c r="T186" i="1" s="1"/>
  <c r="O186" i="1" l="1" a="1"/>
  <c r="O186" i="1" s="1"/>
  <c r="N186" i="1" a="1"/>
  <c r="N186" i="1" s="1"/>
  <c r="L186" i="1" a="1"/>
  <c r="L186" i="1" l="1"/>
  <c r="M186" i="1" l="1" a="1"/>
  <c r="M186" i="1" s="1"/>
  <c r="Q186" i="1" s="1" a="1"/>
  <c r="Q186" i="1" s="1"/>
  <c r="P187" i="1" s="1"/>
  <c r="S186" i="1" l="1" a="1"/>
  <c r="S186" i="1" s="1"/>
  <c r="V186" i="1" s="1"/>
  <c r="R187" i="1" l="1" a="1"/>
  <c r="R187" i="1" s="1"/>
  <c r="T187" i="1" s="1"/>
  <c r="N187" i="1" l="1" a="1"/>
  <c r="N187" i="1" s="1"/>
  <c r="O187" i="1" a="1"/>
  <c r="O187" i="1" s="1"/>
  <c r="L187" i="1" a="1"/>
  <c r="L187" i="1" l="1"/>
  <c r="M187" i="1" l="1" a="1"/>
  <c r="M187" i="1" s="1"/>
  <c r="Q187" i="1" s="1" a="1"/>
  <c r="Q187" i="1" s="1"/>
  <c r="P188" i="1" s="1"/>
  <c r="S187" i="1" l="1" a="1"/>
  <c r="S187" i="1" s="1"/>
  <c r="V187" i="1" s="1"/>
  <c r="R188" i="1" l="1" a="1"/>
  <c r="R188" i="1" s="1"/>
  <c r="T188" i="1" s="1"/>
  <c r="O188" i="1" l="1" a="1"/>
  <c r="O188" i="1" s="1"/>
  <c r="N188" i="1" a="1"/>
  <c r="N188" i="1" s="1"/>
  <c r="L188" i="1" a="1"/>
  <c r="L188" i="1" l="1"/>
  <c r="M188" i="1" l="1" a="1"/>
  <c r="M188" i="1" s="1"/>
  <c r="Q188" i="1" s="1" a="1"/>
  <c r="Q188" i="1" s="1"/>
  <c r="P189" i="1" s="1"/>
  <c r="S188" i="1" l="1" a="1"/>
  <c r="S188" i="1" s="1"/>
  <c r="V188" i="1" s="1"/>
  <c r="R189" i="1" l="1" a="1"/>
  <c r="R189" i="1" s="1"/>
  <c r="T189" i="1" s="1"/>
  <c r="N189" i="1" l="1" a="1"/>
  <c r="N189" i="1" s="1"/>
  <c r="O189" i="1" a="1"/>
  <c r="O189" i="1" s="1"/>
  <c r="L189" i="1" a="1"/>
  <c r="L189" i="1" l="1"/>
  <c r="M189" i="1" l="1" a="1"/>
  <c r="M189" i="1" s="1"/>
  <c r="Q189" i="1" s="1" a="1"/>
  <c r="Q189" i="1" s="1"/>
  <c r="P190" i="1" s="1"/>
  <c r="S189" i="1" l="1" a="1"/>
  <c r="S189" i="1" s="1"/>
  <c r="V189" i="1" s="1"/>
  <c r="R190" i="1" l="1" a="1"/>
  <c r="R190" i="1" s="1"/>
  <c r="T190" i="1" s="1"/>
  <c r="O190" i="1" l="1" a="1"/>
  <c r="O190" i="1" s="1"/>
  <c r="N190" i="1" a="1"/>
  <c r="N190" i="1" s="1"/>
  <c r="L190" i="1" a="1"/>
  <c r="L190" i="1" l="1"/>
  <c r="M190" i="1" l="1" a="1"/>
  <c r="M190" i="1" s="1"/>
  <c r="Q190" i="1" s="1" a="1"/>
  <c r="Q190" i="1" s="1"/>
  <c r="P191" i="1" s="1"/>
  <c r="S190" i="1" l="1" a="1"/>
  <c r="S190" i="1" s="1"/>
  <c r="V190" i="1" s="1"/>
  <c r="R191" i="1" l="1" a="1"/>
  <c r="R191" i="1" s="1"/>
  <c r="T191" i="1" s="1"/>
  <c r="O191" i="1" l="1" a="1"/>
  <c r="O191" i="1" s="1"/>
  <c r="N191" i="1" a="1"/>
  <c r="N191" i="1" s="1"/>
  <c r="L191" i="1" a="1"/>
  <c r="L191" i="1" l="1"/>
  <c r="M191" i="1" l="1" a="1"/>
  <c r="M191" i="1" s="1"/>
  <c r="Q191" i="1" s="1" a="1"/>
  <c r="Q191" i="1" s="1"/>
  <c r="P192" i="1" s="1"/>
  <c r="S191" i="1" l="1" a="1"/>
  <c r="S191" i="1" s="1"/>
  <c r="V191" i="1" s="1"/>
  <c r="R192" i="1" l="1" a="1"/>
  <c r="R192" i="1" s="1"/>
  <c r="T192" i="1" s="1"/>
  <c r="O192" i="1" l="1" a="1"/>
  <c r="O192" i="1" s="1"/>
  <c r="N192" i="1" a="1"/>
  <c r="N192" i="1" s="1"/>
  <c r="L192" i="1" a="1"/>
  <c r="L192" i="1" l="1"/>
  <c r="M192" i="1" l="1" a="1"/>
  <c r="M192" i="1" s="1"/>
  <c r="Q192" i="1" s="1" a="1"/>
  <c r="Q192" i="1" s="1"/>
  <c r="P193" i="1" s="1"/>
  <c r="S192" i="1" l="1" a="1"/>
  <c r="S192" i="1" s="1"/>
  <c r="V192" i="1" s="1"/>
  <c r="R193" i="1" l="1" a="1"/>
  <c r="R193" i="1" s="1"/>
  <c r="T193" i="1" s="1"/>
  <c r="O193" i="1" l="1" a="1"/>
  <c r="O193" i="1" s="1"/>
  <c r="N193" i="1" a="1"/>
  <c r="N193" i="1" s="1"/>
  <c r="L193" i="1" a="1"/>
  <c r="L193" i="1" l="1"/>
  <c r="M193" i="1" l="1" a="1"/>
  <c r="M193" i="1" s="1"/>
  <c r="Q193" i="1" s="1" a="1"/>
  <c r="Q193" i="1" s="1"/>
  <c r="P194" i="1" s="1"/>
  <c r="S193" i="1" l="1" a="1"/>
  <c r="S193" i="1" s="1"/>
  <c r="V193" i="1" s="1"/>
  <c r="R194" i="1" l="1" a="1"/>
  <c r="R194" i="1" s="1"/>
  <c r="T194" i="1" s="1"/>
  <c r="O194" i="1" l="1" a="1"/>
  <c r="O194" i="1" s="1"/>
  <c r="N194" i="1" a="1"/>
  <c r="N194" i="1" s="1"/>
  <c r="L194" i="1" a="1"/>
  <c r="L194" i="1" l="1"/>
  <c r="M194" i="1" l="1" a="1"/>
  <c r="M194" i="1" s="1"/>
  <c r="Q194" i="1" s="1" a="1"/>
  <c r="Q194" i="1" s="1"/>
  <c r="P195" i="1" s="1"/>
  <c r="S194" i="1" l="1" a="1"/>
  <c r="S194" i="1" s="1"/>
  <c r="V194" i="1" s="1"/>
  <c r="R195" i="1" l="1" a="1"/>
  <c r="R195" i="1" s="1"/>
  <c r="T195" i="1" s="1"/>
  <c r="N195" i="1" l="1" a="1"/>
  <c r="N195" i="1" s="1"/>
  <c r="O195" i="1" a="1"/>
  <c r="O195" i="1" s="1"/>
  <c r="L195" i="1" a="1"/>
  <c r="L195" i="1" l="1"/>
  <c r="M195" i="1" l="1" a="1"/>
  <c r="M195" i="1" s="1"/>
  <c r="Q195" i="1" s="1" a="1"/>
  <c r="Q195" i="1" s="1"/>
  <c r="P196" i="1" s="1"/>
  <c r="S195" i="1" l="1" a="1"/>
  <c r="S195" i="1" s="1"/>
  <c r="V195" i="1" s="1"/>
  <c r="R196" i="1" l="1" a="1"/>
  <c r="R196" i="1" s="1"/>
  <c r="T196" i="1" s="1"/>
  <c r="N196" i="1" l="1" a="1"/>
  <c r="N196" i="1" s="1"/>
  <c r="O196" i="1" a="1"/>
  <c r="O196" i="1" s="1"/>
  <c r="L196" i="1" a="1"/>
  <c r="L196" i="1" l="1"/>
  <c r="M196" i="1" l="1" a="1"/>
  <c r="M196" i="1" s="1"/>
  <c r="Q196" i="1" s="1" a="1"/>
  <c r="Q196" i="1" s="1"/>
  <c r="P197" i="1" s="1"/>
  <c r="S196" i="1" l="1" a="1"/>
  <c r="S196" i="1" s="1"/>
  <c r="V196" i="1" s="1"/>
  <c r="R197" i="1" l="1" a="1"/>
  <c r="R197" i="1" s="1"/>
  <c r="T197" i="1" s="1"/>
  <c r="N197" i="1" l="1" a="1"/>
  <c r="N197" i="1" s="1"/>
  <c r="O197" i="1" a="1"/>
  <c r="O197" i="1" s="1"/>
  <c r="L197" i="1" a="1"/>
  <c r="L197" i="1" l="1"/>
  <c r="M197" i="1" l="1" a="1"/>
  <c r="M197" i="1" s="1"/>
  <c r="Q197" i="1" s="1" a="1"/>
  <c r="Q197" i="1" s="1"/>
  <c r="P198" i="1" s="1"/>
  <c r="S197" i="1" l="1" a="1"/>
  <c r="S197" i="1" s="1"/>
  <c r="V197" i="1" s="1"/>
  <c r="R198" i="1" l="1" a="1"/>
  <c r="R198" i="1" s="1"/>
  <c r="T198" i="1" s="1"/>
  <c r="N198" i="1" l="1" a="1"/>
  <c r="N198" i="1" s="1"/>
  <c r="O198" i="1" a="1"/>
  <c r="O198" i="1" s="1"/>
  <c r="L198" i="1" a="1"/>
  <c r="L198" i="1" l="1"/>
  <c r="M198" i="1" l="1" a="1"/>
  <c r="M198" i="1" s="1"/>
  <c r="Q198" i="1" s="1" a="1"/>
  <c r="Q198" i="1" s="1"/>
  <c r="P199" i="1" s="1"/>
  <c r="S198" i="1" l="1" a="1"/>
  <c r="S198" i="1" s="1"/>
  <c r="V198" i="1" s="1"/>
  <c r="R199" i="1" l="1" a="1"/>
  <c r="R199" i="1" s="1"/>
  <c r="T199" i="1" s="1"/>
  <c r="O199" i="1" l="1" a="1"/>
  <c r="O199" i="1" s="1"/>
  <c r="N199" i="1" a="1"/>
  <c r="N199" i="1" s="1"/>
  <c r="L199" i="1" a="1"/>
  <c r="L199" i="1" l="1"/>
  <c r="M199" i="1" l="1" a="1"/>
  <c r="M199" i="1" s="1"/>
  <c r="Q199" i="1" s="1" a="1"/>
  <c r="Q199" i="1" s="1"/>
  <c r="P200" i="1" s="1"/>
  <c r="S199" i="1" l="1" a="1"/>
  <c r="S199" i="1" s="1"/>
  <c r="V199" i="1" s="1"/>
  <c r="R200" i="1" l="1" a="1"/>
  <c r="R200" i="1" s="1"/>
  <c r="T200" i="1" s="1"/>
  <c r="N200" i="1" l="1" a="1"/>
  <c r="N200" i="1" s="1"/>
  <c r="O200" i="1" a="1"/>
  <c r="O200" i="1" s="1"/>
  <c r="L200" i="1" a="1"/>
  <c r="L200" i="1" l="1"/>
  <c r="M200" i="1" l="1" a="1"/>
  <c r="M200" i="1" s="1"/>
  <c r="Q200" i="1" s="1" a="1"/>
  <c r="Q200" i="1" s="1"/>
  <c r="P201" i="1" s="1"/>
  <c r="S200" i="1" l="1" a="1"/>
  <c r="S200" i="1" s="1"/>
  <c r="V200" i="1" s="1"/>
  <c r="R201" i="1" l="1" a="1"/>
  <c r="R201" i="1" s="1"/>
  <c r="T201" i="1" s="1"/>
  <c r="O201" i="1" l="1" a="1"/>
  <c r="O201" i="1" s="1"/>
  <c r="N201" i="1" a="1"/>
  <c r="N201" i="1" s="1"/>
  <c r="L201" i="1" a="1"/>
  <c r="L201" i="1" l="1"/>
  <c r="M201" i="1" l="1" a="1"/>
  <c r="M201" i="1" s="1"/>
  <c r="Q201" i="1" s="1" a="1"/>
  <c r="Q201" i="1" s="1"/>
  <c r="P202" i="1" s="1"/>
  <c r="S201" i="1" l="1" a="1"/>
  <c r="S201" i="1" s="1"/>
  <c r="V201" i="1" s="1"/>
  <c r="R202" i="1" l="1" a="1"/>
  <c r="R202" i="1" s="1"/>
  <c r="T202" i="1" s="1"/>
  <c r="N202" i="1" l="1" a="1"/>
  <c r="N202" i="1" s="1"/>
  <c r="O202" i="1" a="1"/>
  <c r="O202" i="1" s="1"/>
  <c r="L202" i="1" a="1"/>
  <c r="L202" i="1" l="1"/>
  <c r="M202" i="1" l="1" a="1"/>
  <c r="M202" i="1" s="1"/>
  <c r="Q202" i="1" s="1" a="1"/>
  <c r="Q202" i="1" s="1"/>
  <c r="P203" i="1" s="1"/>
  <c r="S202" i="1" l="1" a="1"/>
  <c r="S202" i="1" s="1"/>
  <c r="V202" i="1" s="1"/>
  <c r="R203" i="1" l="1" a="1"/>
  <c r="R203" i="1" s="1"/>
  <c r="T203" i="1" s="1"/>
  <c r="N203" i="1" l="1" a="1"/>
  <c r="N203" i="1" s="1"/>
  <c r="O203" i="1" a="1"/>
  <c r="O203" i="1" s="1"/>
  <c r="L203" i="1" a="1"/>
  <c r="L203" i="1" l="1"/>
  <c r="M203" i="1" l="1" a="1"/>
  <c r="M203" i="1" s="1"/>
  <c r="Q203" i="1" s="1" a="1"/>
  <c r="Q203" i="1" s="1"/>
  <c r="P204" i="1" s="1"/>
  <c r="S203" i="1" l="1" a="1"/>
  <c r="S203" i="1" s="1"/>
  <c r="V203" i="1" s="1"/>
  <c r="R204" i="1" l="1" a="1"/>
  <c r="R204" i="1" s="1"/>
  <c r="T204" i="1" s="1"/>
  <c r="N204" i="1" l="1" a="1"/>
  <c r="N204" i="1" s="1"/>
  <c r="O204" i="1" a="1"/>
  <c r="O204" i="1" s="1"/>
  <c r="L204" i="1" a="1"/>
  <c r="L204" i="1" l="1"/>
  <c r="M204" i="1" l="1" a="1"/>
  <c r="M204" i="1" s="1"/>
  <c r="Q204" i="1" s="1" a="1"/>
  <c r="Q204" i="1" s="1"/>
  <c r="P205" i="1" s="1"/>
  <c r="S204" i="1" l="1" a="1"/>
  <c r="S204" i="1" s="1"/>
  <c r="V204" i="1" s="1"/>
  <c r="R205" i="1" l="1" a="1"/>
  <c r="R205" i="1" s="1"/>
  <c r="T205" i="1" s="1"/>
  <c r="N205" i="1" l="1" a="1"/>
  <c r="N205" i="1" s="1"/>
  <c r="O205" i="1" a="1"/>
  <c r="O205" i="1" s="1"/>
  <c r="L205" i="1" a="1"/>
  <c r="L205" i="1" l="1"/>
  <c r="M205" i="1" l="1" a="1"/>
  <c r="M205" i="1" s="1"/>
  <c r="Q205" i="1" s="1" a="1"/>
  <c r="Q205" i="1" s="1"/>
  <c r="P206" i="1" s="1"/>
  <c r="S205" i="1" l="1" a="1"/>
  <c r="S205" i="1" s="1"/>
  <c r="V205" i="1" s="1"/>
  <c r="R206" i="1" l="1" a="1"/>
  <c r="R206" i="1" s="1"/>
  <c r="T206" i="1" s="1"/>
  <c r="N206" i="1" l="1" a="1"/>
  <c r="N206" i="1" s="1"/>
  <c r="O206" i="1" a="1"/>
  <c r="O206" i="1" s="1"/>
  <c r="L206" i="1" a="1"/>
  <c r="L206" i="1" l="1"/>
  <c r="M206" i="1" l="1" a="1"/>
  <c r="M206" i="1" s="1"/>
  <c r="Q206" i="1" s="1" a="1"/>
  <c r="Q206" i="1" s="1"/>
  <c r="P207" i="1" s="1"/>
  <c r="S206" i="1" l="1" a="1"/>
  <c r="S206" i="1" s="1"/>
  <c r="V206" i="1" s="1"/>
  <c r="R207" i="1" l="1" a="1"/>
  <c r="R207" i="1" s="1"/>
  <c r="T207" i="1" s="1"/>
  <c r="O207" i="1" l="1" a="1"/>
  <c r="O207" i="1" s="1"/>
  <c r="N207" i="1" a="1"/>
  <c r="N207" i="1" s="1"/>
  <c r="L207" i="1" a="1"/>
  <c r="L207" i="1" l="1"/>
  <c r="M207" i="1" l="1" a="1"/>
  <c r="M207" i="1" s="1"/>
  <c r="Q207" i="1" s="1" a="1"/>
  <c r="Q207" i="1" s="1"/>
  <c r="P208" i="1" s="1"/>
  <c r="S207" i="1" l="1" a="1"/>
  <c r="S207" i="1" s="1"/>
  <c r="V207" i="1" s="1"/>
  <c r="R208" i="1" l="1" a="1"/>
  <c r="R208" i="1" s="1"/>
  <c r="T208" i="1" s="1"/>
  <c r="O208" i="1" l="1" a="1"/>
  <c r="O208" i="1" s="1"/>
  <c r="N208" i="1" a="1"/>
  <c r="N208" i="1" s="1"/>
  <c r="L208" i="1" a="1"/>
  <c r="L208" i="1" l="1"/>
  <c r="M208" i="1" l="1" a="1"/>
  <c r="M208" i="1" s="1"/>
  <c r="Q208" i="1" s="1" a="1"/>
  <c r="Q208" i="1" s="1"/>
  <c r="P209" i="1" s="1"/>
  <c r="S208" i="1" l="1" a="1"/>
  <c r="S208" i="1" s="1"/>
  <c r="V208" i="1" s="1"/>
  <c r="R209" i="1" l="1" a="1"/>
  <c r="R209" i="1" s="1"/>
  <c r="T209" i="1" s="1"/>
  <c r="N209" i="1" l="1" a="1"/>
  <c r="N209" i="1" s="1"/>
  <c r="O209" i="1" a="1"/>
  <c r="O209" i="1" s="1"/>
  <c r="L209" i="1" a="1"/>
  <c r="L209" i="1" l="1"/>
  <c r="M209" i="1" l="1" a="1"/>
  <c r="M209" i="1" s="1"/>
  <c r="Q209" i="1" s="1" a="1"/>
  <c r="Q209" i="1" s="1"/>
  <c r="P210" i="1" s="1"/>
  <c r="S209" i="1" l="1" a="1"/>
  <c r="S209" i="1" s="1"/>
  <c r="V209" i="1" s="1"/>
  <c r="R210" i="1" l="1" a="1"/>
  <c r="R210" i="1" s="1"/>
  <c r="T210" i="1" s="1"/>
  <c r="N210" i="1" l="1" a="1"/>
  <c r="N210" i="1" s="1"/>
  <c r="O210" i="1" a="1"/>
  <c r="O210" i="1" s="1"/>
  <c r="L210" i="1" a="1"/>
  <c r="L210" i="1" l="1"/>
  <c r="M210" i="1" l="1" a="1"/>
  <c r="M210" i="1" s="1"/>
  <c r="Q210" i="1" s="1" a="1"/>
  <c r="Q210" i="1" s="1"/>
  <c r="P211" i="1" s="1"/>
  <c r="S210" i="1" l="1" a="1"/>
  <c r="S210" i="1" s="1"/>
  <c r="V210" i="1" s="1"/>
  <c r="R211" i="1" l="1" a="1"/>
  <c r="R211" i="1" s="1"/>
  <c r="T211" i="1" s="1"/>
  <c r="O211" i="1" l="1" a="1"/>
  <c r="O211" i="1" s="1"/>
  <c r="N211" i="1" a="1"/>
  <c r="N211" i="1" s="1"/>
  <c r="L211" i="1" a="1"/>
  <c r="L211" i="1" l="1"/>
  <c r="M211" i="1" l="1" a="1"/>
  <c r="M211" i="1" s="1"/>
  <c r="Q211" i="1" s="1" a="1"/>
  <c r="Q211" i="1" s="1"/>
  <c r="P212" i="1" s="1"/>
  <c r="S211" i="1" l="1" a="1"/>
  <c r="S211" i="1" s="1"/>
  <c r="V211" i="1" s="1"/>
  <c r="R212" i="1" l="1" a="1"/>
  <c r="R212" i="1" s="1"/>
  <c r="T212" i="1" s="1"/>
  <c r="N212" i="1" l="1" a="1"/>
  <c r="N212" i="1" s="1"/>
  <c r="O212" i="1" a="1"/>
  <c r="O212" i="1" s="1"/>
  <c r="L212" i="1" a="1"/>
  <c r="L212" i="1" l="1"/>
  <c r="M212" i="1" l="1" a="1"/>
  <c r="M212" i="1" s="1"/>
  <c r="Q212" i="1" s="1" a="1"/>
  <c r="Q212" i="1" s="1"/>
  <c r="P213" i="1" s="1"/>
  <c r="S212" i="1" l="1" a="1"/>
  <c r="S212" i="1" s="1"/>
  <c r="V212" i="1" s="1"/>
  <c r="R213" i="1" l="1" a="1"/>
  <c r="R213" i="1" s="1"/>
  <c r="T213" i="1" s="1"/>
  <c r="N213" i="1" l="1" a="1"/>
  <c r="N213" i="1" s="1"/>
  <c r="O213" i="1" a="1"/>
  <c r="O213" i="1" s="1"/>
  <c r="L213" i="1" a="1"/>
  <c r="L213" i="1" l="1"/>
  <c r="M213" i="1" l="1" a="1"/>
  <c r="M213" i="1" s="1"/>
  <c r="Q213" i="1" s="1" a="1"/>
  <c r="Q213" i="1" s="1"/>
  <c r="P214" i="1" s="1"/>
  <c r="S213" i="1" l="1" a="1"/>
  <c r="S213" i="1" s="1"/>
  <c r="V213" i="1" s="1"/>
  <c r="R214" i="1" l="1" a="1"/>
  <c r="R214" i="1" s="1"/>
  <c r="T214" i="1" s="1"/>
  <c r="N214" i="1" l="1" a="1"/>
  <c r="N214" i="1" s="1"/>
  <c r="O214" i="1" a="1"/>
  <c r="O214" i="1" s="1"/>
  <c r="L214" i="1" a="1"/>
  <c r="L214" i="1" l="1"/>
  <c r="M214" i="1" l="1" a="1"/>
  <c r="M214" i="1" s="1"/>
  <c r="Q214" i="1" s="1" a="1"/>
  <c r="Q214" i="1" s="1"/>
  <c r="P215" i="1" s="1"/>
  <c r="S214" i="1" l="1" a="1"/>
  <c r="S214" i="1" s="1"/>
  <c r="V214" i="1" s="1"/>
  <c r="R215" i="1" l="1" a="1"/>
  <c r="R215" i="1" s="1"/>
  <c r="T215" i="1" s="1"/>
  <c r="O215" i="1" l="1" a="1"/>
  <c r="O215" i="1" s="1"/>
  <c r="N215" i="1" a="1"/>
  <c r="N215" i="1" s="1"/>
  <c r="L215" i="1" a="1"/>
  <c r="L215" i="1" l="1"/>
  <c r="M215" i="1" l="1" a="1"/>
  <c r="M215" i="1" s="1"/>
  <c r="Q215" i="1" s="1" a="1"/>
  <c r="Q215" i="1" s="1"/>
  <c r="P216" i="1" s="1"/>
  <c r="S215" i="1" l="1" a="1"/>
  <c r="S215" i="1" s="1"/>
  <c r="V215" i="1" s="1"/>
  <c r="R216" i="1" l="1" a="1"/>
  <c r="R216" i="1" s="1"/>
  <c r="T216" i="1" s="1"/>
  <c r="O216" i="1" l="1" a="1"/>
  <c r="O216" i="1" s="1"/>
  <c r="N216" i="1" a="1"/>
  <c r="N216" i="1" s="1"/>
  <c r="L216" i="1" a="1"/>
  <c r="L216" i="1" l="1"/>
  <c r="M216" i="1" l="1" a="1"/>
  <c r="M216" i="1" s="1"/>
  <c r="Q216" i="1" s="1" a="1"/>
  <c r="Q216" i="1" s="1"/>
  <c r="P217" i="1" s="1"/>
  <c r="S216" i="1" l="1" a="1"/>
  <c r="S216" i="1" s="1"/>
  <c r="V216" i="1" s="1"/>
  <c r="R217" i="1" l="1" a="1"/>
  <c r="R217" i="1" s="1"/>
  <c r="T217" i="1" s="1"/>
  <c r="O217" i="1" l="1" a="1"/>
  <c r="O217" i="1" s="1"/>
  <c r="N217" i="1" a="1"/>
  <c r="N217" i="1" s="1"/>
  <c r="L217" i="1" a="1"/>
  <c r="L217" i="1" l="1"/>
  <c r="M217" i="1" l="1" a="1"/>
  <c r="M217" i="1" s="1"/>
  <c r="Q217" i="1" s="1" a="1"/>
  <c r="Q217" i="1" s="1"/>
  <c r="P218" i="1" s="1"/>
  <c r="S217" i="1" l="1" a="1"/>
  <c r="S217" i="1" s="1"/>
  <c r="V217" i="1" s="1"/>
  <c r="R218" i="1" l="1" a="1"/>
  <c r="R218" i="1" s="1"/>
  <c r="T218" i="1" s="1"/>
  <c r="N218" i="1" l="1" a="1"/>
  <c r="N218" i="1" s="1"/>
  <c r="O218" i="1" a="1"/>
  <c r="O218" i="1" s="1"/>
  <c r="L218" i="1" a="1"/>
  <c r="L218" i="1" l="1"/>
  <c r="M218" i="1" l="1" a="1"/>
  <c r="M218" i="1" s="1"/>
  <c r="Q218" i="1" s="1" a="1"/>
  <c r="Q218" i="1" s="1"/>
  <c r="P219" i="1" s="1"/>
  <c r="S218" i="1" l="1" a="1"/>
  <c r="S218" i="1" s="1"/>
  <c r="V218" i="1" s="1"/>
  <c r="R219" i="1" l="1" a="1"/>
  <c r="R219" i="1" s="1"/>
  <c r="T219" i="1" s="1"/>
  <c r="N219" i="1" l="1" a="1"/>
  <c r="N219" i="1" s="1"/>
  <c r="O219" i="1" a="1"/>
  <c r="O219" i="1" s="1"/>
  <c r="L219" i="1" a="1"/>
  <c r="L219" i="1" l="1"/>
  <c r="M219" i="1" l="1" a="1"/>
  <c r="M219" i="1" s="1"/>
  <c r="Q219" i="1" s="1" a="1"/>
  <c r="Q219" i="1" s="1"/>
  <c r="P220" i="1" s="1"/>
  <c r="S219" i="1" l="1" a="1"/>
  <c r="S219" i="1" s="1"/>
  <c r="V219" i="1" s="1"/>
  <c r="R220" i="1" l="1" a="1"/>
  <c r="R220" i="1" s="1"/>
  <c r="T220" i="1" s="1"/>
  <c r="N220" i="1" l="1" a="1"/>
  <c r="N220" i="1" s="1"/>
  <c r="O220" i="1" a="1"/>
  <c r="O220" i="1" s="1"/>
  <c r="L220" i="1" a="1"/>
  <c r="L220" i="1" l="1"/>
  <c r="M220" i="1" l="1" a="1"/>
  <c r="M220" i="1" s="1"/>
  <c r="Q220" i="1" s="1" a="1"/>
  <c r="Q220" i="1" s="1"/>
  <c r="P221" i="1" s="1"/>
  <c r="S220" i="1" l="1" a="1"/>
  <c r="S220" i="1" s="1"/>
  <c r="V220" i="1" s="1"/>
  <c r="R221" i="1" l="1" a="1"/>
  <c r="R221" i="1" s="1"/>
  <c r="T221" i="1" s="1"/>
  <c r="N221" i="1" l="1" a="1"/>
  <c r="N221" i="1" s="1"/>
  <c r="O221" i="1" a="1"/>
  <c r="O221" i="1" s="1"/>
  <c r="L221" i="1" a="1"/>
  <c r="L221" i="1" l="1"/>
  <c r="M221" i="1" l="1" a="1"/>
  <c r="M221" i="1" s="1"/>
  <c r="Q221" i="1" s="1" a="1"/>
  <c r="Q221" i="1" s="1"/>
  <c r="P222" i="1" s="1"/>
  <c r="S221" i="1" l="1" a="1"/>
  <c r="S221" i="1" s="1"/>
  <c r="V221" i="1" s="1"/>
  <c r="R222" i="1" l="1" a="1"/>
  <c r="R222" i="1" s="1"/>
  <c r="T222" i="1" s="1"/>
  <c r="N222" i="1" l="1" a="1"/>
  <c r="N222" i="1" s="1"/>
  <c r="O222" i="1" a="1"/>
  <c r="O222" i="1" s="1"/>
  <c r="L222" i="1" a="1"/>
  <c r="L222" i="1" l="1"/>
  <c r="M222" i="1" l="1" a="1"/>
  <c r="M222" i="1" s="1"/>
  <c r="Q222" i="1" s="1" a="1"/>
  <c r="Q222" i="1" s="1"/>
  <c r="P223" i="1" s="1"/>
  <c r="S222" i="1" l="1" a="1"/>
  <c r="S222" i="1" s="1"/>
  <c r="V222" i="1" s="1"/>
  <c r="R223" i="1" l="1" a="1"/>
  <c r="R223" i="1" s="1"/>
  <c r="T223" i="1" s="1"/>
  <c r="N223" i="1" l="1" a="1"/>
  <c r="N223" i="1" s="1"/>
  <c r="O223" i="1" a="1"/>
  <c r="O223" i="1" s="1"/>
  <c r="L223" i="1" a="1"/>
  <c r="L223" i="1" l="1"/>
  <c r="M223" i="1" l="1" a="1"/>
  <c r="M223" i="1" s="1"/>
  <c r="Q223" i="1" s="1" a="1"/>
  <c r="Q223" i="1" s="1"/>
  <c r="P224" i="1" s="1"/>
  <c r="S223" i="1" l="1" a="1"/>
  <c r="S223" i="1" s="1"/>
  <c r="V223" i="1" s="1"/>
  <c r="R224" i="1" l="1" a="1"/>
  <c r="R224" i="1" s="1"/>
  <c r="T224" i="1" s="1"/>
  <c r="N224" i="1" l="1" a="1"/>
  <c r="N224" i="1" s="1"/>
  <c r="O224" i="1" a="1"/>
  <c r="O224" i="1" s="1"/>
  <c r="L224" i="1" a="1"/>
  <c r="L224" i="1" l="1"/>
  <c r="M224" i="1" l="1" a="1"/>
  <c r="M224" i="1" s="1"/>
  <c r="Q224" i="1" s="1" a="1"/>
  <c r="Q224" i="1" s="1"/>
  <c r="P225" i="1" s="1"/>
  <c r="S224" i="1" l="1" a="1"/>
  <c r="S224" i="1" s="1"/>
  <c r="V224" i="1" s="1"/>
  <c r="R225" i="1" l="1" a="1"/>
  <c r="R225" i="1" s="1"/>
  <c r="T225" i="1" s="1"/>
  <c r="N225" i="1" l="1" a="1"/>
  <c r="N225" i="1" s="1"/>
  <c r="O225" i="1" a="1"/>
  <c r="O225" i="1" s="1"/>
  <c r="L225" i="1" a="1"/>
  <c r="L225" i="1" l="1"/>
  <c r="M225" i="1" l="1" a="1"/>
  <c r="M225" i="1" s="1"/>
  <c r="Q225" i="1" s="1" a="1"/>
  <c r="Q225" i="1" s="1"/>
  <c r="P226" i="1" s="1"/>
  <c r="S225" i="1" l="1" a="1"/>
  <c r="S225" i="1" s="1"/>
  <c r="V225" i="1" s="1"/>
  <c r="R226" i="1" l="1" a="1"/>
  <c r="R226" i="1" s="1"/>
  <c r="T226" i="1" s="1"/>
  <c r="O226" i="1" l="1" a="1"/>
  <c r="O226" i="1" s="1"/>
  <c r="N226" i="1" a="1"/>
  <c r="N226" i="1" s="1"/>
  <c r="L226" i="1" a="1"/>
  <c r="L226" i="1" l="1"/>
  <c r="M226" i="1" l="1" a="1"/>
  <c r="M226" i="1" s="1"/>
  <c r="Q226" i="1" s="1" a="1"/>
  <c r="Q226" i="1" s="1"/>
  <c r="P227" i="1" s="1"/>
  <c r="S226" i="1" l="1" a="1"/>
  <c r="S226" i="1" s="1"/>
  <c r="V226" i="1" s="1"/>
  <c r="R227" i="1" l="1" a="1"/>
  <c r="R227" i="1" s="1"/>
  <c r="T227" i="1" s="1"/>
  <c r="O227" i="1" l="1" a="1"/>
  <c r="O227" i="1" s="1"/>
  <c r="N227" i="1" a="1"/>
  <c r="N227" i="1" s="1"/>
  <c r="L227" i="1" a="1"/>
  <c r="L227" i="1" l="1"/>
  <c r="M227" i="1" l="1" a="1"/>
  <c r="M227" i="1" s="1"/>
  <c r="Q227" i="1" s="1" a="1"/>
  <c r="Q227" i="1" s="1"/>
  <c r="P228" i="1" s="1"/>
  <c r="S227" i="1" l="1" a="1"/>
  <c r="S227" i="1" s="1"/>
  <c r="V227" i="1" s="1"/>
  <c r="R228" i="1" l="1" a="1"/>
  <c r="R228" i="1" s="1"/>
  <c r="T228" i="1" l="1"/>
  <c r="E6" i="3" s="1"/>
  <c r="E5" i="3"/>
  <c r="N228" i="1" a="1"/>
  <c r="N228" i="1" s="1"/>
  <c r="O228" i="1" a="1"/>
  <c r="O228" i="1" s="1"/>
  <c r="L228" i="1" a="1"/>
  <c r="L228" i="1" l="1"/>
  <c r="M228" i="1" l="1" a="1"/>
  <c r="M228" i="1" s="1"/>
  <c r="Q228" i="1" s="1" a="1"/>
  <c r="Q228" i="1" s="1"/>
  <c r="P229" i="1" s="1"/>
  <c r="S228" i="1" l="1" a="1"/>
  <c r="S228" i="1" s="1"/>
  <c r="V228" i="1" l="1"/>
  <c r="E7" i="3" s="1" a="1"/>
  <c r="E7" i="3" s="1"/>
  <c r="E4" i="3"/>
  <c r="R229" i="1" a="1"/>
  <c r="R229" i="1" s="1"/>
  <c r="T229" i="1" s="1"/>
  <c r="N229" i="1" l="1" a="1"/>
  <c r="N229" i="1" s="1"/>
  <c r="O229" i="1" a="1"/>
  <c r="O229" i="1" s="1"/>
  <c r="L229" i="1" a="1"/>
  <c r="L229" i="1" l="1"/>
  <c r="M229" i="1" l="1" a="1"/>
  <c r="M229" i="1" s="1"/>
  <c r="Q229" i="1" s="1" a="1"/>
  <c r="Q229" i="1" s="1"/>
  <c r="P230" i="1" s="1"/>
  <c r="S229" i="1" l="1" a="1"/>
  <c r="S229" i="1" s="1"/>
  <c r="V229" i="1" s="1"/>
  <c r="R230" i="1" l="1" a="1"/>
  <c r="R230" i="1" s="1"/>
  <c r="T230" i="1" s="1"/>
  <c r="O230" i="1" l="1" a="1"/>
  <c r="O230" i="1" s="1"/>
  <c r="N230" i="1" a="1"/>
  <c r="N230" i="1" s="1"/>
  <c r="L230" i="1" a="1"/>
  <c r="L230" i="1" l="1"/>
  <c r="M230" i="1" l="1" a="1"/>
  <c r="M230" i="1" s="1"/>
  <c r="Q230" i="1" s="1" a="1"/>
  <c r="Q230" i="1" s="1"/>
  <c r="P231" i="1" s="1"/>
  <c r="S230" i="1" l="1" a="1"/>
  <c r="S230" i="1" s="1"/>
  <c r="V230" i="1" s="1"/>
  <c r="R231" i="1" l="1" a="1"/>
  <c r="R231" i="1" s="1"/>
  <c r="T231" i="1" s="1"/>
  <c r="O231" i="1" l="1" a="1"/>
  <c r="O231" i="1" s="1"/>
  <c r="N231" i="1" a="1"/>
  <c r="N231" i="1" s="1"/>
  <c r="L231" i="1" a="1"/>
  <c r="L231" i="1" l="1"/>
  <c r="M231" i="1" l="1" a="1"/>
  <c r="M231" i="1" s="1"/>
  <c r="Q231" i="1" s="1" a="1"/>
  <c r="Q231" i="1" s="1"/>
  <c r="P232" i="1" s="1"/>
  <c r="S231" i="1" l="1" a="1"/>
  <c r="S231" i="1" s="1"/>
  <c r="V231" i="1" s="1"/>
  <c r="R232" i="1" l="1" a="1"/>
  <c r="R232" i="1" s="1"/>
  <c r="T232" i="1" s="1"/>
  <c r="N232" i="1" l="1" a="1"/>
  <c r="N232" i="1" s="1"/>
  <c r="O232" i="1" a="1"/>
  <c r="O232" i="1" s="1"/>
  <c r="L232" i="1" a="1"/>
  <c r="L232" i="1" l="1"/>
  <c r="M232" i="1" l="1" a="1"/>
  <c r="M232" i="1" s="1"/>
  <c r="Q232" i="1" s="1" a="1"/>
  <c r="Q232" i="1" s="1"/>
  <c r="P233" i="1" s="1"/>
  <c r="S232" i="1" l="1" a="1"/>
  <c r="S232" i="1" s="1"/>
  <c r="V232" i="1" s="1"/>
  <c r="R233" i="1" l="1" a="1"/>
  <c r="R233" i="1" s="1"/>
  <c r="T233" i="1" s="1"/>
  <c r="O233" i="1" l="1" a="1"/>
  <c r="O233" i="1" s="1"/>
  <c r="N233" i="1" a="1"/>
  <c r="N233" i="1" s="1"/>
  <c r="L233" i="1" a="1"/>
  <c r="L233" i="1" l="1"/>
  <c r="M233" i="1" l="1" a="1"/>
  <c r="M233" i="1" s="1"/>
  <c r="Q233" i="1" s="1" a="1"/>
  <c r="Q233" i="1" s="1"/>
  <c r="P234" i="1" s="1"/>
  <c r="S233" i="1" l="1" a="1"/>
  <c r="S233" i="1" s="1"/>
  <c r="V233" i="1" s="1"/>
  <c r="R234" i="1" l="1" a="1"/>
  <c r="R234" i="1" s="1"/>
  <c r="T234" i="1" s="1"/>
  <c r="N234" i="1" l="1" a="1"/>
  <c r="N234" i="1" s="1"/>
  <c r="O234" i="1" a="1"/>
  <c r="O234" i="1" s="1"/>
  <c r="L234" i="1" a="1"/>
  <c r="L234" i="1" l="1"/>
  <c r="M234" i="1" l="1" a="1"/>
  <c r="M234" i="1" s="1"/>
  <c r="Q234" i="1" s="1" a="1"/>
  <c r="Q234" i="1" s="1"/>
  <c r="P235" i="1" s="1"/>
  <c r="S234" i="1" l="1" a="1"/>
  <c r="S234" i="1" s="1"/>
  <c r="V234" i="1" s="1"/>
  <c r="R235" i="1" l="1" a="1"/>
  <c r="R235" i="1" s="1"/>
  <c r="T235" i="1" s="1"/>
  <c r="N235" i="1" l="1" a="1"/>
  <c r="N235" i="1" s="1"/>
  <c r="O235" i="1" a="1"/>
  <c r="O235" i="1" s="1"/>
  <c r="L235" i="1" a="1"/>
  <c r="L235" i="1" l="1"/>
  <c r="M235" i="1" l="1" a="1"/>
  <c r="M235" i="1" s="1"/>
  <c r="Q235" i="1" s="1" a="1"/>
  <c r="Q235" i="1" s="1"/>
  <c r="P236" i="1" s="1"/>
  <c r="S235" i="1" l="1" a="1"/>
  <c r="S235" i="1" s="1"/>
  <c r="V235" i="1" s="1"/>
  <c r="R236" i="1" l="1" a="1"/>
  <c r="R236" i="1" s="1"/>
  <c r="T236" i="1" s="1"/>
  <c r="N236" i="1" l="1" a="1"/>
  <c r="N236" i="1" s="1"/>
  <c r="O236" i="1" a="1"/>
  <c r="O236" i="1" s="1"/>
  <c r="L236" i="1" a="1"/>
  <c r="L236" i="1" l="1"/>
  <c r="M236" i="1" l="1" a="1"/>
  <c r="M236" i="1" s="1"/>
  <c r="Q236" i="1" s="1" a="1"/>
  <c r="Q236" i="1" s="1"/>
  <c r="P237" i="1" s="1"/>
  <c r="S236" i="1" l="1" a="1"/>
  <c r="S236" i="1" s="1"/>
  <c r="V236" i="1" s="1"/>
  <c r="R237" i="1" l="1" a="1"/>
  <c r="R237" i="1" s="1"/>
  <c r="T237" i="1" s="1"/>
  <c r="N237" i="1" l="1" a="1"/>
  <c r="N237" i="1" s="1"/>
  <c r="O237" i="1" a="1"/>
  <c r="O237" i="1" s="1"/>
  <c r="L237" i="1" a="1"/>
  <c r="L237" i="1" l="1"/>
  <c r="M237" i="1" l="1" a="1"/>
  <c r="M237" i="1" s="1"/>
  <c r="Q237" i="1" s="1" a="1"/>
  <c r="Q237" i="1" s="1"/>
  <c r="P238" i="1" s="1"/>
  <c r="S237" i="1" l="1" a="1"/>
  <c r="S237" i="1" s="1"/>
  <c r="V237" i="1" s="1"/>
  <c r="R238" i="1" l="1" a="1"/>
  <c r="R238" i="1" s="1"/>
  <c r="T238" i="1" s="1"/>
  <c r="N238" i="1" l="1" a="1"/>
  <c r="N238" i="1" s="1"/>
  <c r="O238" i="1" a="1"/>
  <c r="O238" i="1" s="1"/>
  <c r="L238" i="1" a="1"/>
  <c r="L238" i="1" l="1"/>
  <c r="M238" i="1" l="1" a="1"/>
  <c r="M238" i="1" s="1"/>
  <c r="Q238" i="1" s="1" a="1"/>
  <c r="Q238" i="1" s="1"/>
  <c r="P239" i="1" s="1"/>
  <c r="S238" i="1" l="1" a="1"/>
  <c r="S238" i="1" s="1"/>
  <c r="V238" i="1" s="1"/>
  <c r="R239" i="1" l="1" a="1"/>
  <c r="R239" i="1" s="1"/>
  <c r="T239" i="1" s="1"/>
  <c r="N239" i="1" l="1" a="1"/>
  <c r="N239" i="1" s="1"/>
  <c r="O239" i="1" a="1"/>
  <c r="O239" i="1" s="1"/>
  <c r="L239" i="1" a="1"/>
  <c r="L239" i="1" l="1"/>
  <c r="M239" i="1" l="1" a="1"/>
  <c r="M239" i="1" s="1"/>
  <c r="Q239" i="1" s="1" a="1"/>
  <c r="Q239" i="1" s="1"/>
  <c r="P240" i="1" s="1"/>
  <c r="S239" i="1" l="1" a="1"/>
  <c r="S239" i="1" s="1"/>
  <c r="V239" i="1" s="1"/>
  <c r="R240" i="1" l="1" a="1"/>
  <c r="R240" i="1" s="1"/>
  <c r="T240" i="1" s="1"/>
  <c r="N240" i="1" l="1" a="1"/>
  <c r="N240" i="1" s="1"/>
  <c r="O240" i="1" a="1"/>
  <c r="O240" i="1" s="1"/>
  <c r="L240" i="1" a="1"/>
  <c r="L240" i="1" l="1"/>
  <c r="M240" i="1" l="1" a="1"/>
  <c r="M240" i="1" s="1"/>
  <c r="Q240" i="1" s="1" a="1"/>
  <c r="Q240" i="1" s="1"/>
  <c r="P241" i="1" s="1"/>
  <c r="S240" i="1" l="1" a="1"/>
  <c r="S240" i="1" s="1"/>
  <c r="V240" i="1" s="1"/>
  <c r="R241" i="1" l="1" a="1"/>
  <c r="R241" i="1" s="1"/>
  <c r="T241" i="1" s="1"/>
  <c r="N241" i="1" l="1" a="1"/>
  <c r="N241" i="1" s="1"/>
  <c r="O241" i="1" a="1"/>
  <c r="O241" i="1" s="1"/>
  <c r="L241" i="1" a="1"/>
  <c r="L241" i="1" l="1"/>
  <c r="M241" i="1" l="1" a="1"/>
  <c r="M241" i="1" s="1"/>
  <c r="Q241" i="1" s="1" a="1"/>
  <c r="Q241" i="1" s="1"/>
  <c r="P242" i="1" s="1"/>
  <c r="S241" i="1" l="1" a="1"/>
  <c r="S241" i="1" s="1"/>
  <c r="V241" i="1" s="1"/>
  <c r="R242" i="1" l="1" a="1"/>
  <c r="R242" i="1" s="1"/>
  <c r="T242" i="1" s="1"/>
  <c r="O242" i="1" l="1" a="1"/>
  <c r="O242" i="1" s="1"/>
  <c r="N242" i="1" a="1"/>
  <c r="N242" i="1" s="1"/>
  <c r="L242" i="1" a="1"/>
  <c r="L242" i="1" l="1"/>
  <c r="M242" i="1" l="1" a="1"/>
  <c r="M242" i="1" s="1"/>
  <c r="Q242" i="1" s="1" a="1"/>
  <c r="Q242" i="1" s="1"/>
  <c r="P243" i="1" s="1"/>
  <c r="S242" i="1" l="1" a="1"/>
  <c r="S242" i="1" s="1"/>
  <c r="V242" i="1" s="1"/>
  <c r="R243" i="1" l="1" a="1"/>
  <c r="R243" i="1" s="1"/>
  <c r="T243" i="1" s="1"/>
  <c r="O243" i="1" l="1" a="1"/>
  <c r="O243" i="1" s="1"/>
  <c r="N243" i="1" a="1"/>
  <c r="N243" i="1" s="1"/>
  <c r="L243" i="1" a="1"/>
  <c r="L243" i="1" l="1"/>
  <c r="M243" i="1" l="1" a="1"/>
  <c r="M243" i="1" s="1"/>
  <c r="Q243" i="1" s="1" a="1"/>
  <c r="Q243" i="1" s="1"/>
  <c r="P244" i="1" s="1"/>
  <c r="S243" i="1" l="1" a="1"/>
  <c r="S243" i="1" s="1"/>
  <c r="V243" i="1" s="1"/>
  <c r="R244" i="1" l="1" a="1"/>
  <c r="R244" i="1" s="1"/>
  <c r="T244" i="1" s="1"/>
  <c r="O244" i="1" l="1" a="1"/>
  <c r="O244" i="1" s="1"/>
  <c r="N244" i="1" a="1"/>
  <c r="N244" i="1" s="1"/>
  <c r="L244" i="1" a="1"/>
  <c r="L244" i="1" l="1"/>
  <c r="M244" i="1" l="1" a="1"/>
  <c r="M244" i="1" s="1"/>
  <c r="Q244" i="1" s="1" a="1"/>
  <c r="Q244" i="1" s="1"/>
  <c r="P245" i="1" s="1"/>
  <c r="S244" i="1" l="1" a="1"/>
  <c r="S244" i="1" s="1"/>
  <c r="V244" i="1" s="1"/>
  <c r="R245" i="1" l="1" a="1"/>
  <c r="R245" i="1" s="1"/>
  <c r="T245" i="1" s="1"/>
  <c r="O245" i="1" l="1" a="1"/>
  <c r="O245" i="1" s="1"/>
  <c r="N245" i="1" a="1"/>
  <c r="N245" i="1" s="1"/>
  <c r="L245" i="1" a="1"/>
  <c r="L245" i="1" l="1"/>
  <c r="M245" i="1" l="1" a="1"/>
  <c r="M245" i="1" s="1"/>
  <c r="Q245" i="1" s="1" a="1"/>
  <c r="Q245" i="1" s="1"/>
  <c r="P246" i="1" s="1"/>
  <c r="S245" i="1" l="1" a="1"/>
  <c r="S245" i="1" s="1"/>
  <c r="V245" i="1" s="1"/>
  <c r="R246" i="1" l="1" a="1"/>
  <c r="R246" i="1" s="1"/>
  <c r="T246" i="1" s="1"/>
  <c r="N246" i="1" l="1" a="1"/>
  <c r="N246" i="1" s="1"/>
  <c r="O246" i="1" a="1"/>
  <c r="O246" i="1" s="1"/>
  <c r="L246" i="1" a="1"/>
  <c r="L246" i="1" l="1"/>
  <c r="M246" i="1" l="1" a="1"/>
  <c r="M246" i="1" s="1"/>
  <c r="Q246" i="1" s="1" a="1"/>
  <c r="Q246" i="1" s="1"/>
  <c r="P247" i="1" s="1"/>
  <c r="S246" i="1" l="1" a="1"/>
  <c r="S246" i="1" s="1"/>
  <c r="V246" i="1" s="1"/>
  <c r="R247" i="1" l="1" a="1"/>
  <c r="R247" i="1" s="1"/>
  <c r="T247" i="1" s="1"/>
  <c r="N247" i="1" l="1" a="1"/>
  <c r="N247" i="1" s="1"/>
  <c r="O247" i="1" a="1"/>
  <c r="O247" i="1" s="1"/>
  <c r="L247" i="1" a="1"/>
  <c r="L247" i="1" l="1"/>
  <c r="M247" i="1" l="1" a="1"/>
  <c r="M247" i="1" s="1"/>
  <c r="Q247" i="1" s="1" a="1"/>
  <c r="Q247" i="1" s="1"/>
  <c r="P248" i="1" s="1"/>
  <c r="S247" i="1" l="1" a="1"/>
  <c r="S247" i="1" s="1"/>
  <c r="V247" i="1" s="1"/>
  <c r="R248" i="1" l="1" a="1"/>
  <c r="R248" i="1" s="1"/>
  <c r="T248" i="1" s="1"/>
  <c r="N248" i="1" l="1" a="1"/>
  <c r="N248" i="1" s="1"/>
  <c r="O248" i="1" a="1"/>
  <c r="O248" i="1" s="1"/>
  <c r="L248" i="1" a="1"/>
  <c r="L248" i="1" l="1"/>
  <c r="M248" i="1" l="1" a="1"/>
  <c r="M248" i="1" s="1"/>
  <c r="Q248" i="1" s="1" a="1"/>
  <c r="Q248" i="1" s="1"/>
  <c r="P249" i="1" s="1"/>
  <c r="S248" i="1" l="1" a="1"/>
  <c r="S248" i="1" s="1"/>
  <c r="V248" i="1" s="1"/>
  <c r="R249" i="1" l="1" a="1"/>
  <c r="R249" i="1" s="1"/>
  <c r="T249" i="1" s="1"/>
  <c r="N249" i="1" l="1" a="1"/>
  <c r="N249" i="1" s="1"/>
  <c r="O249" i="1" a="1"/>
  <c r="O249" i="1" s="1"/>
  <c r="L249" i="1" a="1"/>
  <c r="L249" i="1" l="1"/>
  <c r="M249" i="1" l="1" a="1"/>
  <c r="M249" i="1" s="1"/>
  <c r="Q249" i="1" s="1" a="1"/>
  <c r="Q249" i="1" s="1"/>
  <c r="P250" i="1" s="1"/>
  <c r="S249" i="1" l="1" a="1"/>
  <c r="S249" i="1" s="1"/>
  <c r="V249" i="1" s="1"/>
  <c r="R250" i="1" l="1" a="1"/>
  <c r="R250" i="1" s="1"/>
  <c r="T250" i="1" s="1"/>
  <c r="O250" i="1" l="1" a="1"/>
  <c r="O250" i="1" s="1"/>
  <c r="N250" i="1" a="1"/>
  <c r="N250" i="1" s="1"/>
  <c r="L250" i="1" a="1"/>
  <c r="L250" i="1" l="1"/>
  <c r="M250" i="1" l="1" a="1"/>
  <c r="M250" i="1" s="1"/>
  <c r="Q250" i="1" s="1" a="1"/>
  <c r="Q250" i="1" s="1"/>
  <c r="P251" i="1" s="1"/>
  <c r="S250" i="1" l="1" a="1"/>
  <c r="S250" i="1" s="1"/>
  <c r="V250" i="1" s="1"/>
  <c r="R251" i="1" l="1" a="1"/>
  <c r="R251" i="1" s="1"/>
  <c r="T251" i="1" s="1"/>
  <c r="N251" i="1" l="1" a="1"/>
  <c r="N251" i="1" s="1"/>
  <c r="O251" i="1" a="1"/>
  <c r="O251" i="1" s="1"/>
  <c r="L251" i="1" a="1"/>
  <c r="L251" i="1" l="1"/>
  <c r="M251" i="1" l="1" a="1"/>
  <c r="M251" i="1" s="1"/>
  <c r="Q251" i="1" s="1" a="1"/>
  <c r="Q251" i="1" s="1"/>
  <c r="P252" i="1" s="1"/>
  <c r="S251" i="1" l="1" a="1"/>
  <c r="S251" i="1" s="1"/>
  <c r="V251" i="1" s="1"/>
  <c r="R252" i="1" l="1" a="1"/>
  <c r="R252" i="1" s="1"/>
  <c r="T252" i="1" s="1"/>
  <c r="N252" i="1" l="1" a="1"/>
  <c r="N252" i="1" s="1"/>
  <c r="O252" i="1" a="1"/>
  <c r="O252" i="1" s="1"/>
  <c r="L252" i="1" a="1"/>
  <c r="L252" i="1" l="1"/>
  <c r="M252" i="1" l="1" a="1"/>
  <c r="M252" i="1" s="1"/>
  <c r="Q252" i="1" s="1" a="1"/>
  <c r="Q252" i="1" s="1"/>
  <c r="P253" i="1" s="1"/>
  <c r="S252" i="1" l="1" a="1"/>
  <c r="S252" i="1" s="1"/>
  <c r="V252" i="1" s="1"/>
  <c r="R253" i="1" l="1" a="1"/>
  <c r="R253" i="1" s="1"/>
  <c r="T253" i="1" s="1"/>
  <c r="O253" i="1" l="1" a="1"/>
  <c r="O253" i="1" s="1"/>
  <c r="N253" i="1" a="1"/>
  <c r="N253" i="1" s="1"/>
  <c r="L253" i="1" a="1"/>
  <c r="L253" i="1" l="1"/>
  <c r="M253" i="1" l="1" a="1"/>
  <c r="M253" i="1" s="1"/>
  <c r="Q253" i="1" s="1" a="1"/>
  <c r="Q253" i="1" s="1"/>
  <c r="P254" i="1" s="1"/>
  <c r="S253" i="1" l="1" a="1"/>
  <c r="S253" i="1" s="1"/>
  <c r="V253" i="1" s="1"/>
  <c r="R254" i="1" l="1" a="1"/>
  <c r="R254" i="1" s="1"/>
  <c r="T254" i="1" s="1"/>
  <c r="N254" i="1" l="1" a="1"/>
  <c r="N254" i="1" s="1"/>
  <c r="O254" i="1" a="1"/>
  <c r="O254" i="1" s="1"/>
  <c r="L254" i="1" a="1"/>
  <c r="L254" i="1" l="1"/>
  <c r="M254" i="1" l="1" a="1"/>
  <c r="M254" i="1" s="1"/>
  <c r="Q254" i="1" s="1" a="1"/>
  <c r="Q254" i="1" s="1"/>
  <c r="P255" i="1" s="1"/>
  <c r="S254" i="1" l="1" a="1"/>
  <c r="S254" i="1" s="1"/>
  <c r="V254" i="1" s="1"/>
  <c r="R255" i="1" l="1" a="1"/>
  <c r="R255" i="1" s="1"/>
  <c r="T255" i="1" s="1"/>
  <c r="O255" i="1" l="1" a="1"/>
  <c r="O255" i="1" s="1"/>
  <c r="N255" i="1" a="1"/>
  <c r="N255" i="1" s="1"/>
  <c r="L255" i="1" a="1"/>
  <c r="L255" i="1" l="1"/>
  <c r="M255" i="1" l="1" a="1"/>
  <c r="M255" i="1" s="1"/>
  <c r="Q255" i="1" s="1" a="1"/>
  <c r="Q255" i="1" s="1"/>
  <c r="P256" i="1" s="1"/>
  <c r="S255" i="1" l="1" a="1"/>
  <c r="S255" i="1" s="1"/>
  <c r="V255" i="1" s="1"/>
  <c r="R256" i="1" l="1" a="1"/>
  <c r="R256" i="1" s="1"/>
  <c r="T256" i="1" s="1"/>
  <c r="O256" i="1" l="1" a="1"/>
  <c r="O256" i="1" s="1"/>
  <c r="N256" i="1" a="1"/>
  <c r="N256" i="1" s="1"/>
  <c r="L256" i="1" a="1"/>
  <c r="L256" i="1" l="1"/>
  <c r="M256" i="1" l="1" a="1"/>
  <c r="M256" i="1" s="1"/>
  <c r="Q256" i="1" s="1" a="1"/>
  <c r="Q256" i="1" s="1"/>
  <c r="P257" i="1" s="1"/>
  <c r="S256" i="1" l="1" a="1"/>
  <c r="S256" i="1" s="1"/>
  <c r="V256" i="1" s="1"/>
  <c r="R257" i="1" l="1" a="1"/>
  <c r="R257" i="1" s="1"/>
  <c r="T257" i="1" s="1"/>
  <c r="O257" i="1" l="1" a="1"/>
  <c r="O257" i="1" s="1"/>
  <c r="N257" i="1" a="1"/>
  <c r="N257" i="1" s="1"/>
  <c r="L257" i="1" a="1"/>
  <c r="L257" i="1" l="1"/>
  <c r="M257" i="1" l="1" a="1"/>
  <c r="M257" i="1" s="1"/>
  <c r="Q257" i="1" s="1" a="1"/>
  <c r="Q257" i="1" s="1"/>
  <c r="P258" i="1" s="1"/>
  <c r="S257" i="1" l="1" a="1"/>
  <c r="S257" i="1" s="1"/>
  <c r="V257" i="1" s="1"/>
  <c r="R258" i="1" l="1" a="1"/>
  <c r="R258" i="1" s="1"/>
  <c r="T258" i="1" s="1"/>
  <c r="N258" i="1" l="1" a="1"/>
  <c r="N258" i="1" s="1"/>
  <c r="O258" i="1" a="1"/>
  <c r="O258" i="1" s="1"/>
  <c r="L258" i="1" a="1"/>
  <c r="L258" i="1" l="1"/>
  <c r="M258" i="1" l="1" a="1"/>
  <c r="M258" i="1" s="1"/>
  <c r="Q258" i="1" s="1" a="1"/>
  <c r="Q258" i="1" s="1"/>
  <c r="P259" i="1" s="1"/>
  <c r="S258" i="1" l="1" a="1"/>
  <c r="S258" i="1" s="1"/>
  <c r="V258" i="1" s="1"/>
  <c r="R259" i="1" l="1" a="1"/>
  <c r="R259" i="1" s="1"/>
  <c r="T259" i="1" s="1"/>
  <c r="N259" i="1" l="1" a="1"/>
  <c r="N259" i="1" s="1"/>
  <c r="O259" i="1" a="1"/>
  <c r="O259" i="1" s="1"/>
  <c r="L259" i="1" a="1"/>
  <c r="L259" i="1" l="1"/>
  <c r="M259" i="1" l="1" a="1"/>
  <c r="M259" i="1" s="1"/>
  <c r="Q259" i="1" s="1" a="1"/>
  <c r="Q259" i="1" s="1"/>
  <c r="P260" i="1" s="1"/>
  <c r="S259" i="1" l="1" a="1"/>
  <c r="S259" i="1" s="1"/>
  <c r="V259" i="1" s="1"/>
  <c r="R260" i="1" l="1" a="1"/>
  <c r="R260" i="1" s="1"/>
  <c r="T260" i="1" s="1"/>
  <c r="N260" i="1" l="1" a="1"/>
  <c r="N260" i="1" s="1"/>
  <c r="O260" i="1" a="1"/>
  <c r="O260" i="1" s="1"/>
  <c r="L260" i="1" a="1"/>
  <c r="L260" i="1" l="1"/>
  <c r="M260" i="1" l="1" a="1"/>
  <c r="M260" i="1" s="1"/>
  <c r="Q260" i="1" s="1" a="1"/>
  <c r="Q260" i="1" s="1"/>
  <c r="P261" i="1" s="1"/>
  <c r="S260" i="1" l="1" a="1"/>
  <c r="S260" i="1" s="1"/>
  <c r="V260" i="1" s="1"/>
  <c r="R261" i="1" l="1" a="1"/>
  <c r="R261" i="1" s="1"/>
  <c r="T261" i="1" s="1"/>
  <c r="O261" i="1" l="1" a="1"/>
  <c r="O261" i="1" s="1"/>
  <c r="N261" i="1" a="1"/>
  <c r="N261" i="1" s="1"/>
  <c r="L261" i="1" a="1"/>
  <c r="L261" i="1" l="1"/>
  <c r="M261" i="1" l="1" a="1"/>
  <c r="M261" i="1" s="1"/>
  <c r="Q261" i="1" s="1" a="1"/>
  <c r="Q261" i="1" s="1"/>
  <c r="P262" i="1" s="1"/>
  <c r="S261" i="1" l="1" a="1"/>
  <c r="S261" i="1" s="1"/>
  <c r="V261" i="1" s="1"/>
  <c r="R262" i="1" l="1" a="1"/>
  <c r="R262" i="1" s="1"/>
  <c r="T262" i="1" s="1"/>
  <c r="N262" i="1" l="1" a="1"/>
  <c r="N262" i="1" s="1"/>
  <c r="O262" i="1" a="1"/>
  <c r="O262" i="1" s="1"/>
  <c r="L262" i="1" a="1"/>
  <c r="L262" i="1" l="1"/>
  <c r="M262" i="1" l="1" a="1"/>
  <c r="M262" i="1" s="1"/>
  <c r="Q262" i="1" s="1" a="1"/>
  <c r="Q262" i="1" s="1"/>
  <c r="P263" i="1" s="1"/>
  <c r="S262" i="1" l="1" a="1"/>
  <c r="S262" i="1" s="1"/>
  <c r="V262" i="1" s="1"/>
  <c r="R263" i="1" l="1" a="1"/>
  <c r="R263" i="1" s="1"/>
  <c r="T263" i="1" s="1"/>
  <c r="O263" i="1" l="1" a="1"/>
  <c r="O263" i="1" s="1"/>
  <c r="N263" i="1" a="1"/>
  <c r="N263" i="1" s="1"/>
  <c r="L263" i="1" a="1"/>
  <c r="L263" i="1" l="1"/>
  <c r="M263" i="1" l="1" a="1"/>
  <c r="M263" i="1" s="1"/>
  <c r="Q263" i="1" s="1" a="1"/>
  <c r="Q263" i="1" s="1"/>
  <c r="P264" i="1" s="1"/>
  <c r="S263" i="1" l="1" a="1"/>
  <c r="S263" i="1" s="1"/>
  <c r="V263" i="1" s="1"/>
  <c r="R264" i="1" l="1" a="1"/>
  <c r="R264" i="1" s="1"/>
  <c r="T264" i="1" s="1"/>
  <c r="N264" i="1" l="1" a="1"/>
  <c r="N264" i="1" s="1"/>
  <c r="O264" i="1" a="1"/>
  <c r="O264" i="1" s="1"/>
  <c r="L264" i="1" a="1"/>
  <c r="L264" i="1" l="1"/>
  <c r="M264" i="1" l="1" a="1"/>
  <c r="M264" i="1" s="1"/>
  <c r="Q264" i="1" s="1" a="1"/>
  <c r="Q264" i="1" s="1"/>
  <c r="P265" i="1" s="1"/>
  <c r="S264" i="1" l="1" a="1"/>
  <c r="S264" i="1" s="1"/>
  <c r="V264" i="1" s="1"/>
  <c r="R265" i="1" l="1" a="1"/>
  <c r="R265" i="1" s="1"/>
  <c r="T265" i="1" s="1"/>
  <c r="N265" i="1" l="1" a="1"/>
  <c r="N265" i="1" s="1"/>
  <c r="O265" i="1" a="1"/>
  <c r="O265" i="1" s="1"/>
  <c r="L265" i="1" a="1"/>
  <c r="L265" i="1" l="1"/>
  <c r="M265" i="1" l="1" a="1"/>
  <c r="M265" i="1" s="1"/>
  <c r="Q265" i="1" s="1" a="1"/>
  <c r="Q265" i="1" s="1"/>
  <c r="P266" i="1" s="1"/>
  <c r="S265" i="1" l="1" a="1"/>
  <c r="S265" i="1" s="1"/>
  <c r="V265" i="1" s="1"/>
  <c r="R266" i="1" l="1" a="1"/>
  <c r="R266" i="1" s="1"/>
  <c r="T266" i="1" s="1"/>
  <c r="N266" i="1" l="1" a="1"/>
  <c r="N266" i="1" s="1"/>
  <c r="O266" i="1" a="1"/>
  <c r="O266" i="1" s="1"/>
  <c r="L266" i="1" a="1"/>
  <c r="L266" i="1" l="1"/>
  <c r="M266" i="1" l="1" a="1"/>
  <c r="M266" i="1" s="1"/>
  <c r="Q266" i="1" s="1" a="1"/>
  <c r="Q266" i="1" s="1"/>
  <c r="P267" i="1" s="1"/>
  <c r="S266" i="1" l="1" a="1"/>
  <c r="S266" i="1" s="1"/>
  <c r="V266" i="1" s="1"/>
  <c r="R267" i="1" l="1" a="1"/>
  <c r="R267" i="1" s="1"/>
  <c r="T267" i="1" s="1"/>
  <c r="N267" i="1" l="1" a="1"/>
  <c r="N267" i="1" s="1"/>
  <c r="O267" i="1" a="1"/>
  <c r="O267" i="1" s="1"/>
  <c r="L267" i="1" a="1"/>
  <c r="L267" i="1" l="1"/>
  <c r="M267" i="1" l="1" a="1"/>
  <c r="M267" i="1" s="1"/>
  <c r="Q267" i="1" s="1" a="1"/>
  <c r="Q267" i="1" s="1"/>
  <c r="P268" i="1" s="1"/>
  <c r="S267" i="1" l="1" a="1"/>
  <c r="S267" i="1" s="1"/>
  <c r="V267" i="1" s="1"/>
  <c r="R268" i="1" l="1" a="1"/>
  <c r="R268" i="1" s="1"/>
  <c r="T268" i="1" s="1"/>
  <c r="O268" i="1" l="1" a="1"/>
  <c r="O268" i="1" s="1"/>
  <c r="N268" i="1" a="1"/>
  <c r="N268" i="1" s="1"/>
  <c r="L268" i="1" a="1"/>
  <c r="L268" i="1" l="1"/>
  <c r="M268" i="1" l="1" a="1"/>
  <c r="M268" i="1" s="1"/>
  <c r="Q268" i="1" s="1" a="1"/>
  <c r="Q268" i="1" s="1"/>
  <c r="P269" i="1" s="1"/>
  <c r="S268" i="1" l="1" a="1"/>
  <c r="S268" i="1" s="1"/>
  <c r="V268" i="1" s="1"/>
  <c r="R269" i="1" l="1" a="1"/>
  <c r="R269" i="1" s="1"/>
  <c r="T269" i="1" s="1"/>
  <c r="N269" i="1" l="1" a="1"/>
  <c r="N269" i="1" s="1"/>
  <c r="O269" i="1" a="1"/>
  <c r="O269" i="1" s="1"/>
  <c r="L269" i="1" a="1"/>
  <c r="L269" i="1" l="1"/>
  <c r="M269" i="1" l="1" a="1"/>
  <c r="M269" i="1" s="1"/>
  <c r="Q269" i="1" s="1" a="1"/>
  <c r="Q269" i="1" s="1"/>
  <c r="P270" i="1" s="1"/>
  <c r="S269" i="1" l="1" a="1"/>
  <c r="S269" i="1" s="1"/>
  <c r="V269" i="1" s="1"/>
  <c r="R270" i="1" l="1" a="1"/>
  <c r="R270" i="1" s="1"/>
  <c r="T270" i="1" s="1"/>
  <c r="O270" i="1" l="1" a="1"/>
  <c r="O270" i="1" s="1"/>
  <c r="N270" i="1" a="1"/>
  <c r="N270" i="1" s="1"/>
  <c r="L270" i="1" a="1"/>
  <c r="L270" i="1" l="1"/>
  <c r="M270" i="1" l="1" a="1"/>
  <c r="M270" i="1" s="1"/>
  <c r="Q270" i="1" s="1" a="1"/>
  <c r="Q270" i="1" s="1"/>
  <c r="P271" i="1" s="1"/>
  <c r="S270" i="1" l="1" a="1"/>
  <c r="S270" i="1" s="1"/>
  <c r="V270" i="1" s="1"/>
  <c r="R271" i="1" l="1" a="1"/>
  <c r="R271" i="1" s="1"/>
  <c r="T271" i="1" s="1"/>
  <c r="O271" i="1" l="1" a="1"/>
  <c r="O271" i="1" s="1"/>
  <c r="N271" i="1" a="1"/>
  <c r="N271" i="1" s="1"/>
  <c r="L271" i="1" a="1"/>
  <c r="L271" i="1" l="1"/>
  <c r="M271" i="1" l="1" a="1"/>
  <c r="M271" i="1" s="1"/>
  <c r="Q271" i="1" s="1" a="1"/>
  <c r="Q271" i="1" s="1"/>
  <c r="P272" i="1" s="1"/>
  <c r="S271" i="1" l="1" a="1"/>
  <c r="S271" i="1" s="1"/>
  <c r="V271" i="1" s="1"/>
  <c r="R272" i="1" l="1" a="1"/>
  <c r="R272" i="1" s="1"/>
  <c r="T272" i="1" s="1"/>
  <c r="N272" i="1" l="1" a="1"/>
  <c r="N272" i="1" s="1"/>
  <c r="O272" i="1" a="1"/>
  <c r="O272" i="1" s="1"/>
  <c r="L272" i="1" a="1"/>
  <c r="L272" i="1" l="1"/>
  <c r="M272" i="1" l="1" a="1"/>
  <c r="M272" i="1" s="1"/>
  <c r="Q272" i="1" s="1" a="1"/>
  <c r="Q272" i="1" s="1"/>
  <c r="P273" i="1" s="1"/>
  <c r="S272" i="1" l="1" a="1"/>
  <c r="S272" i="1" s="1"/>
  <c r="V272" i="1" s="1"/>
  <c r="R273" i="1" l="1" a="1"/>
  <c r="R273" i="1" s="1"/>
  <c r="T273" i="1" s="1"/>
  <c r="O273" i="1" l="1" a="1"/>
  <c r="O273" i="1" s="1"/>
  <c r="N273" i="1" a="1"/>
  <c r="N273" i="1" s="1"/>
  <c r="L273" i="1" a="1"/>
  <c r="L273" i="1" l="1"/>
  <c r="M273" i="1" l="1" a="1"/>
  <c r="M273" i="1" s="1"/>
  <c r="Q273" i="1" s="1" a="1"/>
  <c r="Q273" i="1" s="1"/>
  <c r="P274" i="1" s="1"/>
  <c r="S273" i="1" l="1" a="1"/>
  <c r="S273" i="1" s="1"/>
  <c r="V273" i="1" s="1"/>
  <c r="R274" i="1" l="1" a="1"/>
  <c r="R274" i="1" s="1"/>
  <c r="T274" i="1" s="1"/>
  <c r="N274" i="1" l="1" a="1"/>
  <c r="N274" i="1" s="1"/>
  <c r="O274" i="1" a="1"/>
  <c r="O274" i="1" s="1"/>
  <c r="L274" i="1" a="1"/>
  <c r="L274" i="1" l="1"/>
  <c r="M274" i="1" l="1" a="1"/>
  <c r="M274" i="1" s="1"/>
  <c r="Q274" i="1" s="1" a="1"/>
  <c r="Q274" i="1" s="1"/>
  <c r="P275" i="1" s="1"/>
  <c r="S274" i="1" l="1" a="1"/>
  <c r="S274" i="1" s="1"/>
  <c r="V274" i="1" s="1"/>
  <c r="R275" i="1" l="1" a="1"/>
  <c r="R275" i="1" s="1"/>
  <c r="T275" i="1" s="1"/>
  <c r="N275" i="1" l="1" a="1"/>
  <c r="N275" i="1" s="1"/>
  <c r="O275" i="1" a="1"/>
  <c r="O275" i="1" s="1"/>
  <c r="L275" i="1" a="1"/>
  <c r="L275" i="1" l="1"/>
  <c r="M275" i="1" l="1" a="1"/>
  <c r="M275" i="1" s="1"/>
  <c r="Q275" i="1" s="1" a="1"/>
  <c r="Q275" i="1" s="1"/>
  <c r="P276" i="1" s="1"/>
  <c r="S275" i="1" l="1" a="1"/>
  <c r="S275" i="1" s="1"/>
  <c r="V275" i="1" s="1"/>
  <c r="R276" i="1" l="1" a="1"/>
  <c r="R276" i="1" s="1"/>
  <c r="T276" i="1" s="1"/>
  <c r="N276" i="1" l="1" a="1"/>
  <c r="N276" i="1" s="1"/>
  <c r="O276" i="1" a="1"/>
  <c r="O276" i="1" s="1"/>
  <c r="L276" i="1" a="1"/>
  <c r="L276" i="1" l="1"/>
  <c r="M276" i="1" l="1" a="1"/>
  <c r="M276" i="1" s="1"/>
  <c r="Q276" i="1" s="1" a="1"/>
  <c r="Q276" i="1" s="1"/>
  <c r="P277" i="1" s="1"/>
  <c r="S276" i="1" l="1" a="1"/>
  <c r="S276" i="1" s="1"/>
  <c r="V276" i="1" s="1"/>
  <c r="R277" i="1" l="1" a="1"/>
  <c r="R277" i="1" s="1"/>
  <c r="T277" i="1" s="1"/>
  <c r="N277" i="1" l="1" a="1"/>
  <c r="N277" i="1" s="1"/>
  <c r="O277" i="1" a="1"/>
  <c r="O277" i="1" s="1"/>
  <c r="L277" i="1" a="1"/>
  <c r="L277" i="1" l="1"/>
  <c r="M277" i="1" l="1" a="1"/>
  <c r="M277" i="1" s="1"/>
  <c r="Q277" i="1" s="1" a="1"/>
  <c r="Q277" i="1" s="1"/>
  <c r="P278" i="1" s="1"/>
  <c r="S277" i="1" l="1" a="1"/>
  <c r="S277" i="1" s="1"/>
  <c r="V277" i="1" s="1"/>
  <c r="R278" i="1" l="1" a="1"/>
  <c r="R278" i="1" s="1"/>
  <c r="T278" i="1" s="1"/>
  <c r="O278" i="1" l="1" a="1"/>
  <c r="O278" i="1" s="1"/>
  <c r="N278" i="1" a="1"/>
  <c r="N278" i="1" s="1"/>
  <c r="L278" i="1" a="1"/>
  <c r="L278" i="1" l="1"/>
  <c r="M278" i="1" l="1" a="1"/>
  <c r="M278" i="1" s="1"/>
  <c r="Q278" i="1" s="1" a="1"/>
  <c r="Q278" i="1" s="1"/>
  <c r="P279" i="1" s="1"/>
  <c r="S278" i="1" l="1" a="1"/>
  <c r="S278" i="1" s="1"/>
  <c r="V278" i="1" s="1"/>
  <c r="R279" i="1" l="1" a="1"/>
  <c r="R279" i="1" s="1"/>
  <c r="T279" i="1" s="1"/>
  <c r="O279" i="1" l="1" a="1"/>
  <c r="O279" i="1" s="1"/>
  <c r="N279" i="1" a="1"/>
  <c r="N279" i="1" s="1"/>
  <c r="L279" i="1" a="1"/>
  <c r="L279" i="1" l="1"/>
  <c r="M279" i="1" l="1" a="1"/>
  <c r="M279" i="1" s="1"/>
  <c r="Q279" i="1" s="1" a="1"/>
  <c r="Q279" i="1" s="1"/>
  <c r="P280" i="1" s="1"/>
  <c r="S279" i="1" l="1" a="1"/>
  <c r="S279" i="1" s="1"/>
  <c r="V279" i="1" s="1"/>
  <c r="R280" i="1" l="1" a="1"/>
  <c r="R280" i="1" s="1"/>
  <c r="T280" i="1" s="1"/>
  <c r="N280" i="1" l="1" a="1"/>
  <c r="N280" i="1" s="1"/>
  <c r="O280" i="1" a="1"/>
  <c r="O280" i="1" s="1"/>
  <c r="L280" i="1" a="1"/>
  <c r="L280" i="1" l="1"/>
  <c r="M280" i="1" l="1" a="1"/>
  <c r="M280" i="1" s="1"/>
  <c r="Q280" i="1" s="1" a="1"/>
  <c r="Q280" i="1" s="1"/>
  <c r="P281" i="1" s="1"/>
  <c r="S280" i="1" l="1" a="1"/>
  <c r="S280" i="1" s="1"/>
  <c r="V280" i="1" s="1"/>
  <c r="R281" i="1" l="1" a="1"/>
  <c r="R281" i="1" s="1"/>
  <c r="T281" i="1" s="1"/>
  <c r="O281" i="1" l="1" a="1"/>
  <c r="O281" i="1" s="1"/>
  <c r="N281" i="1" a="1"/>
  <c r="N281" i="1" s="1"/>
  <c r="L281" i="1" a="1"/>
  <c r="L281" i="1" l="1"/>
  <c r="M281" i="1" l="1" a="1"/>
  <c r="M281" i="1" s="1"/>
  <c r="Q281" i="1" s="1" a="1"/>
  <c r="Q281" i="1" s="1"/>
  <c r="P282" i="1" s="1"/>
  <c r="S281" i="1" l="1" a="1"/>
  <c r="S281" i="1" s="1"/>
  <c r="V281" i="1" s="1"/>
  <c r="R282" i="1" l="1" a="1"/>
  <c r="R282" i="1" s="1"/>
  <c r="T282" i="1" s="1"/>
  <c r="O282" i="1" l="1" a="1"/>
  <c r="O282" i="1" s="1"/>
  <c r="N282" i="1" a="1"/>
  <c r="N282" i="1" s="1"/>
  <c r="L282" i="1" a="1"/>
  <c r="L282" i="1" l="1"/>
  <c r="M282" i="1" l="1" a="1"/>
  <c r="M282" i="1" s="1"/>
  <c r="Q282" i="1" s="1" a="1"/>
  <c r="Q282" i="1" s="1"/>
  <c r="P283" i="1" s="1"/>
  <c r="S282" i="1" l="1" a="1"/>
  <c r="S282" i="1" s="1"/>
  <c r="V282" i="1" s="1"/>
  <c r="R283" i="1" l="1" a="1"/>
  <c r="R283" i="1" s="1"/>
  <c r="T283" i="1" s="1"/>
  <c r="N283" i="1" l="1" a="1"/>
  <c r="N283" i="1" s="1"/>
  <c r="O283" i="1" a="1"/>
  <c r="O283" i="1" s="1"/>
  <c r="L283" i="1" a="1"/>
  <c r="L283" i="1" l="1"/>
  <c r="M283" i="1" l="1" a="1"/>
  <c r="M283" i="1" s="1"/>
  <c r="Q283" i="1" s="1" a="1"/>
  <c r="Q283" i="1" s="1"/>
  <c r="P284" i="1" s="1"/>
  <c r="S283" i="1" l="1" a="1"/>
  <c r="S283" i="1" s="1"/>
  <c r="V283" i="1" s="1"/>
  <c r="R284" i="1" l="1" a="1"/>
  <c r="R284" i="1" s="1"/>
  <c r="T284" i="1" s="1"/>
  <c r="N284" i="1" l="1" a="1"/>
  <c r="N284" i="1" s="1"/>
  <c r="O284" i="1" a="1"/>
  <c r="O284" i="1" s="1"/>
  <c r="L284" i="1" a="1"/>
  <c r="L284" i="1" l="1"/>
  <c r="M284" i="1" l="1" a="1"/>
  <c r="M284" i="1" s="1"/>
  <c r="Q284" i="1" s="1" a="1"/>
  <c r="Q284" i="1" s="1"/>
  <c r="P285" i="1" s="1"/>
  <c r="S284" i="1" l="1" a="1"/>
  <c r="S284" i="1" s="1"/>
  <c r="V284" i="1" s="1"/>
  <c r="R285" i="1" l="1" a="1"/>
  <c r="R285" i="1" s="1"/>
  <c r="T285" i="1" s="1"/>
  <c r="N285" i="1" l="1" a="1"/>
  <c r="N285" i="1" s="1"/>
  <c r="O285" i="1" a="1"/>
  <c r="O285" i="1" s="1"/>
  <c r="L285" i="1" a="1"/>
  <c r="L285" i="1" l="1"/>
  <c r="M285" i="1" l="1" a="1"/>
  <c r="M285" i="1" s="1"/>
  <c r="Q285" i="1" s="1" a="1"/>
  <c r="Q285" i="1" s="1"/>
  <c r="P286" i="1" s="1"/>
  <c r="S285" i="1" l="1" a="1"/>
  <c r="S285" i="1" s="1"/>
  <c r="V285" i="1" s="1"/>
  <c r="R286" i="1" l="1" a="1"/>
  <c r="R286" i="1" s="1"/>
  <c r="T286" i="1" s="1"/>
  <c r="N286" i="1" l="1" a="1"/>
  <c r="N286" i="1" s="1"/>
  <c r="O286" i="1" a="1"/>
  <c r="O286" i="1" s="1"/>
  <c r="L286" i="1" a="1"/>
  <c r="L286" i="1" l="1"/>
  <c r="M286" i="1" l="1" a="1"/>
  <c r="M286" i="1" s="1"/>
  <c r="Q286" i="1" s="1" a="1"/>
  <c r="Q286" i="1" s="1"/>
  <c r="P287" i="1" s="1"/>
  <c r="S286" i="1" l="1" a="1"/>
  <c r="S286" i="1" s="1"/>
  <c r="V286" i="1" s="1"/>
  <c r="R287" i="1" l="1" a="1"/>
  <c r="R287" i="1" s="1"/>
  <c r="T287" i="1" s="1"/>
  <c r="N287" i="1" l="1" a="1"/>
  <c r="N287" i="1" s="1"/>
  <c r="O287" i="1" a="1"/>
  <c r="O287" i="1" s="1"/>
  <c r="L287" i="1" a="1"/>
  <c r="L287" i="1" l="1"/>
  <c r="M287" i="1" l="1" a="1"/>
  <c r="M287" i="1" s="1"/>
  <c r="Q287" i="1" s="1" a="1"/>
  <c r="Q287" i="1" s="1"/>
  <c r="P288" i="1" s="1"/>
  <c r="S287" i="1" l="1" a="1"/>
  <c r="S287" i="1" s="1"/>
  <c r="V287" i="1" s="1"/>
  <c r="R288" i="1" l="1" a="1"/>
  <c r="R288" i="1" s="1"/>
  <c r="T288" i="1" s="1"/>
  <c r="O288" i="1" l="1" a="1"/>
  <c r="O288" i="1" s="1"/>
  <c r="N288" i="1" a="1"/>
  <c r="N288" i="1" s="1"/>
  <c r="L288" i="1" a="1"/>
  <c r="L288" i="1" l="1"/>
  <c r="M288" i="1" l="1" a="1"/>
  <c r="M288" i="1" s="1"/>
  <c r="Q288" i="1" s="1" a="1"/>
  <c r="Q288" i="1" s="1"/>
  <c r="P289" i="1" s="1"/>
  <c r="S288" i="1" l="1" a="1"/>
  <c r="S288" i="1" s="1"/>
  <c r="V288" i="1" s="1"/>
  <c r="R289" i="1" l="1" a="1"/>
  <c r="R289" i="1" s="1"/>
  <c r="T289" i="1" s="1"/>
  <c r="O289" i="1" l="1" a="1"/>
  <c r="O289" i="1" s="1"/>
  <c r="N289" i="1" a="1"/>
  <c r="N289" i="1" s="1"/>
  <c r="L289" i="1" a="1"/>
  <c r="L289" i="1" l="1"/>
  <c r="M289" i="1" l="1" a="1"/>
  <c r="M289" i="1" s="1"/>
  <c r="Q289" i="1" s="1" a="1"/>
  <c r="Q289" i="1" s="1"/>
  <c r="P290" i="1" s="1"/>
  <c r="S289" i="1" l="1" a="1"/>
  <c r="S289" i="1" s="1"/>
  <c r="V289" i="1" s="1"/>
  <c r="R290" i="1" l="1" a="1"/>
  <c r="R290" i="1" s="1"/>
  <c r="T290" i="1" s="1"/>
  <c r="N290" i="1" l="1" a="1"/>
  <c r="N290" i="1" s="1"/>
  <c r="O290" i="1" a="1"/>
  <c r="O290" i="1" s="1"/>
  <c r="L290" i="1" a="1"/>
  <c r="L290" i="1" l="1"/>
  <c r="M290" i="1" l="1" a="1"/>
  <c r="M290" i="1" s="1"/>
  <c r="Q290" i="1" s="1" a="1"/>
  <c r="Q290" i="1" s="1"/>
  <c r="P291" i="1" s="1"/>
  <c r="S290" i="1" l="1" a="1"/>
  <c r="S290" i="1" s="1"/>
  <c r="V290" i="1" s="1"/>
  <c r="R291" i="1" l="1" a="1"/>
  <c r="R291" i="1" s="1"/>
  <c r="T291" i="1" s="1"/>
  <c r="N291" i="1" l="1" a="1"/>
  <c r="N291" i="1" s="1"/>
  <c r="O291" i="1" a="1"/>
  <c r="O291" i="1" s="1"/>
  <c r="L291" i="1" a="1"/>
  <c r="L291" i="1" l="1"/>
  <c r="M291" i="1" l="1" a="1"/>
  <c r="M291" i="1" s="1"/>
  <c r="Q291" i="1" s="1" a="1"/>
  <c r="Q291" i="1" s="1"/>
  <c r="P292" i="1" s="1"/>
  <c r="S291" i="1" l="1" a="1"/>
  <c r="S291" i="1" s="1"/>
  <c r="V291" i="1" s="1"/>
  <c r="R292" i="1" l="1" a="1"/>
  <c r="R292" i="1" s="1"/>
  <c r="T292" i="1" s="1"/>
  <c r="O292" i="1" l="1" a="1"/>
  <c r="O292" i="1" s="1"/>
  <c r="N292" i="1" a="1"/>
  <c r="N292" i="1" s="1"/>
  <c r="L292" i="1" a="1"/>
  <c r="L292" i="1" l="1"/>
  <c r="M292" i="1" l="1" a="1"/>
  <c r="M292" i="1" s="1"/>
  <c r="Q292" i="1" s="1" a="1"/>
  <c r="Q292" i="1" s="1"/>
  <c r="P293" i="1" s="1"/>
  <c r="S292" i="1" l="1" a="1"/>
  <c r="S292" i="1" s="1"/>
  <c r="V292" i="1" s="1"/>
  <c r="R293" i="1" l="1" a="1"/>
  <c r="R293" i="1" s="1"/>
  <c r="T293" i="1" s="1"/>
  <c r="N293" i="1" l="1" a="1"/>
  <c r="N293" i="1" s="1"/>
  <c r="O293" i="1" a="1"/>
  <c r="O293" i="1" s="1"/>
  <c r="L293" i="1" a="1"/>
  <c r="L293" i="1" l="1"/>
  <c r="M293" i="1" l="1" a="1"/>
  <c r="M293" i="1" s="1"/>
  <c r="Q293" i="1" s="1" a="1"/>
  <c r="Q293" i="1" s="1"/>
  <c r="P294" i="1" s="1"/>
  <c r="S293" i="1" l="1" a="1"/>
  <c r="S293" i="1" s="1"/>
  <c r="V293" i="1" s="1"/>
  <c r="R294" i="1" l="1" a="1"/>
  <c r="R294" i="1" s="1"/>
  <c r="T294" i="1" s="1"/>
  <c r="N294" i="1" l="1" a="1"/>
  <c r="N294" i="1" s="1"/>
  <c r="O294" i="1" a="1"/>
  <c r="O294" i="1" s="1"/>
  <c r="L294" i="1" a="1"/>
  <c r="L294" i="1" l="1"/>
  <c r="M294" i="1" l="1" a="1"/>
  <c r="M294" i="1" s="1"/>
  <c r="Q294" i="1" s="1" a="1"/>
  <c r="Q294" i="1" s="1"/>
  <c r="P295" i="1" s="1"/>
  <c r="S294" i="1" l="1" a="1"/>
  <c r="S294" i="1" s="1"/>
  <c r="V294" i="1" s="1"/>
  <c r="R295" i="1" l="1" a="1"/>
  <c r="R295" i="1" s="1"/>
  <c r="T295" i="1" s="1"/>
  <c r="O295" i="1" l="1" a="1"/>
  <c r="O295" i="1" s="1"/>
  <c r="N295" i="1" a="1"/>
  <c r="N295" i="1" s="1"/>
  <c r="L295" i="1" a="1"/>
  <c r="L295" i="1" l="1"/>
  <c r="M295" i="1" l="1" a="1"/>
  <c r="M295" i="1" s="1"/>
  <c r="Q295" i="1" s="1" a="1"/>
  <c r="Q295" i="1" s="1"/>
  <c r="P296" i="1" s="1"/>
  <c r="S295" i="1" l="1" a="1"/>
  <c r="S295" i="1" s="1"/>
  <c r="V295" i="1" s="1"/>
  <c r="R296" i="1" l="1" a="1"/>
  <c r="R296" i="1" s="1"/>
  <c r="T296" i="1" s="1"/>
  <c r="N296" i="1" l="1" a="1"/>
  <c r="N296" i="1" s="1"/>
  <c r="O296" i="1" a="1"/>
  <c r="O296" i="1" s="1"/>
  <c r="L296" i="1" a="1"/>
  <c r="L296" i="1" l="1"/>
  <c r="M296" i="1" l="1" a="1"/>
  <c r="M296" i="1" s="1"/>
  <c r="Q296" i="1" s="1" a="1"/>
  <c r="Q296" i="1" s="1"/>
  <c r="P297" i="1" s="1"/>
  <c r="S296" i="1" l="1" a="1"/>
  <c r="S296" i="1" s="1"/>
  <c r="V296" i="1" s="1"/>
  <c r="R297" i="1" l="1" a="1"/>
  <c r="R297" i="1" s="1"/>
  <c r="T297" i="1" s="1"/>
  <c r="O297" i="1" l="1" a="1"/>
  <c r="O297" i="1" s="1"/>
  <c r="N297" i="1" a="1"/>
  <c r="N297" i="1" s="1"/>
  <c r="L297" i="1" a="1"/>
  <c r="L297" i="1" l="1"/>
  <c r="M297" i="1" l="1" a="1"/>
  <c r="M297" i="1" s="1"/>
  <c r="Q297" i="1" s="1" a="1"/>
  <c r="Q297" i="1" s="1"/>
  <c r="P298" i="1" s="1"/>
  <c r="S297" i="1" l="1" a="1"/>
  <c r="S297" i="1" s="1"/>
  <c r="V297" i="1" s="1"/>
  <c r="R298" i="1" l="1" a="1"/>
  <c r="R298" i="1" s="1"/>
  <c r="T298" i="1" s="1"/>
  <c r="N298" i="1" l="1" a="1"/>
  <c r="N298" i="1" s="1"/>
  <c r="O298" i="1" a="1"/>
  <c r="O298" i="1" s="1"/>
  <c r="L298" i="1" a="1"/>
  <c r="L298" i="1" l="1"/>
  <c r="M298" i="1" l="1" a="1"/>
  <c r="M298" i="1" s="1"/>
  <c r="Q298" i="1" s="1" a="1"/>
  <c r="Q298" i="1" s="1"/>
  <c r="P299" i="1" s="1"/>
  <c r="S298" i="1" l="1" a="1"/>
  <c r="S298" i="1" s="1"/>
  <c r="V298" i="1" s="1"/>
  <c r="R299" i="1" l="1" a="1"/>
  <c r="R299" i="1" s="1"/>
  <c r="T299" i="1" s="1"/>
  <c r="O299" i="1" l="1" a="1"/>
  <c r="O299" i="1" s="1"/>
  <c r="N299" i="1" a="1"/>
  <c r="N299" i="1" s="1"/>
  <c r="L299" i="1" a="1"/>
  <c r="L299" i="1" l="1"/>
  <c r="M299" i="1" l="1" a="1"/>
  <c r="M299" i="1" s="1"/>
  <c r="Q299" i="1" s="1" a="1"/>
  <c r="Q299" i="1" s="1"/>
  <c r="P300" i="1" s="1"/>
  <c r="S299" i="1" l="1" a="1"/>
  <c r="S299" i="1" s="1"/>
  <c r="V299" i="1" s="1"/>
  <c r="R300" i="1" l="1" a="1"/>
  <c r="R300" i="1" s="1"/>
  <c r="T300" i="1" s="1"/>
  <c r="N300" i="1" l="1" a="1"/>
  <c r="N300" i="1" s="1"/>
  <c r="O300" i="1" a="1"/>
  <c r="O300" i="1" s="1"/>
  <c r="L300" i="1" a="1"/>
  <c r="L300" i="1" l="1"/>
  <c r="M300" i="1" l="1" a="1"/>
  <c r="M300" i="1" s="1"/>
  <c r="Q300" i="1" s="1" a="1"/>
  <c r="Q300" i="1" s="1"/>
  <c r="P301" i="1" s="1"/>
  <c r="S300" i="1" l="1" a="1"/>
  <c r="S300" i="1" s="1"/>
  <c r="V300" i="1" s="1"/>
  <c r="R301" i="1" l="1" a="1"/>
  <c r="R301" i="1" s="1"/>
  <c r="T301" i="1" s="1"/>
  <c r="N301" i="1" l="1" a="1"/>
  <c r="N301" i="1" s="1"/>
  <c r="O301" i="1" a="1"/>
  <c r="O301" i="1" s="1"/>
  <c r="L301" i="1" a="1"/>
  <c r="L301" i="1" l="1"/>
  <c r="M301" i="1" l="1" a="1"/>
  <c r="M301" i="1" s="1"/>
  <c r="Q301" i="1" s="1" a="1"/>
  <c r="Q301" i="1" s="1"/>
  <c r="P302" i="1" s="1"/>
  <c r="S301" i="1" l="1" a="1"/>
  <c r="S301" i="1" s="1"/>
  <c r="V301" i="1" s="1"/>
  <c r="R302" i="1" l="1" a="1"/>
  <c r="R302" i="1" s="1"/>
  <c r="T302" i="1" s="1"/>
  <c r="N302" i="1" l="1" a="1"/>
  <c r="N302" i="1" s="1"/>
  <c r="O302" i="1" a="1"/>
  <c r="O302" i="1" s="1"/>
  <c r="L302" i="1" a="1"/>
  <c r="L302" i="1" l="1"/>
  <c r="M302" i="1" l="1" a="1"/>
  <c r="M302" i="1" s="1"/>
  <c r="Q302" i="1" s="1" a="1"/>
  <c r="Q302" i="1" s="1"/>
  <c r="P303" i="1" s="1"/>
  <c r="S302" i="1" l="1" a="1"/>
  <c r="S302" i="1" s="1"/>
  <c r="V302" i="1" s="1"/>
  <c r="R303" i="1" l="1" a="1"/>
  <c r="R303" i="1" s="1"/>
  <c r="T303" i="1" s="1"/>
  <c r="N303" i="1" l="1" a="1"/>
  <c r="N303" i="1" s="1"/>
  <c r="O303" i="1" a="1"/>
  <c r="O303" i="1" s="1"/>
  <c r="L303" i="1" a="1"/>
  <c r="L303" i="1" l="1"/>
  <c r="M303" i="1" l="1" a="1"/>
  <c r="M303" i="1" s="1"/>
  <c r="Q303" i="1" s="1" a="1"/>
  <c r="Q303" i="1" s="1"/>
  <c r="P304" i="1" s="1"/>
  <c r="S303" i="1" l="1" a="1"/>
  <c r="S303" i="1" s="1"/>
  <c r="V303" i="1" s="1"/>
  <c r="R304" i="1" l="1" a="1"/>
  <c r="R304" i="1" s="1"/>
  <c r="T304" i="1" s="1"/>
  <c r="O304" i="1" l="1" a="1"/>
  <c r="O304" i="1" s="1"/>
  <c r="N304" i="1" a="1"/>
  <c r="N304" i="1" s="1"/>
  <c r="L304" i="1" a="1"/>
  <c r="L304" i="1" l="1"/>
  <c r="M304" i="1" l="1" a="1"/>
  <c r="M304" i="1" s="1"/>
  <c r="Q304" i="1" s="1" a="1"/>
  <c r="Q304" i="1" s="1"/>
  <c r="P305" i="1" s="1"/>
  <c r="S304" i="1" l="1" a="1"/>
  <c r="S304" i="1" s="1"/>
  <c r="V304" i="1" s="1"/>
  <c r="R305" i="1" l="1" a="1"/>
  <c r="R305" i="1" s="1"/>
  <c r="T305" i="1" s="1"/>
  <c r="O305" i="1" l="1" a="1"/>
  <c r="O305" i="1" s="1"/>
  <c r="N305" i="1" a="1"/>
  <c r="N305" i="1" s="1"/>
  <c r="L305" i="1" a="1"/>
  <c r="L305" i="1" l="1"/>
  <c r="M305" i="1" l="1" a="1"/>
  <c r="M305" i="1" s="1"/>
  <c r="Q305" i="1" s="1" a="1"/>
  <c r="Q305" i="1" s="1"/>
  <c r="P306" i="1" s="1"/>
  <c r="S305" i="1" l="1" a="1"/>
  <c r="S305" i="1" s="1"/>
  <c r="V305" i="1" s="1"/>
  <c r="R306" i="1" l="1" a="1"/>
  <c r="R306" i="1" s="1"/>
  <c r="T306" i="1" s="1"/>
  <c r="O306" i="1" l="1" a="1"/>
  <c r="O306" i="1" s="1"/>
  <c r="N306" i="1" a="1"/>
  <c r="N306" i="1" s="1"/>
  <c r="L306" i="1" a="1"/>
  <c r="L306" i="1" l="1"/>
  <c r="M306" i="1" l="1" a="1"/>
  <c r="M306" i="1" s="1"/>
  <c r="Q306" i="1" s="1" a="1"/>
  <c r="Q306" i="1" s="1"/>
  <c r="P307" i="1" s="1"/>
  <c r="S306" i="1" l="1" a="1"/>
  <c r="S306" i="1" s="1"/>
  <c r="V306" i="1" s="1"/>
  <c r="R307" i="1" l="1" a="1"/>
  <c r="R307" i="1" s="1"/>
  <c r="T307" i="1" s="1"/>
  <c r="N307" i="1" l="1" a="1"/>
  <c r="N307" i="1" s="1"/>
  <c r="O307" i="1" a="1"/>
  <c r="O307" i="1" s="1"/>
  <c r="L307" i="1" a="1"/>
  <c r="L307" i="1" l="1"/>
  <c r="M307" i="1" l="1" a="1"/>
  <c r="M307" i="1" s="1"/>
  <c r="Q307" i="1" s="1" a="1"/>
  <c r="Q307" i="1" s="1"/>
  <c r="P308" i="1" s="1"/>
  <c r="S307" i="1" l="1" a="1"/>
  <c r="S307" i="1" s="1"/>
  <c r="V307" i="1" s="1"/>
  <c r="R308" i="1" l="1" a="1"/>
  <c r="R308" i="1" s="1"/>
  <c r="T308" i="1" s="1"/>
  <c r="O308" i="1" l="1" a="1"/>
  <c r="O308" i="1" s="1"/>
  <c r="N308" i="1" a="1"/>
  <c r="N308" i="1" s="1"/>
  <c r="L308" i="1" a="1"/>
  <c r="L308" i="1" l="1"/>
  <c r="M308" i="1" l="1" a="1"/>
  <c r="M308" i="1" s="1"/>
  <c r="Q308" i="1" s="1" a="1"/>
  <c r="Q308" i="1" s="1"/>
  <c r="P309" i="1" s="1"/>
  <c r="S308" i="1" l="1" a="1"/>
  <c r="S308" i="1" s="1"/>
  <c r="V308" i="1" s="1"/>
  <c r="R309" i="1" l="1" a="1"/>
  <c r="R309" i="1" s="1"/>
  <c r="T309" i="1" s="1"/>
  <c r="N309" i="1" l="1" a="1"/>
  <c r="N309" i="1" s="1"/>
  <c r="O309" i="1" a="1"/>
  <c r="O309" i="1" s="1"/>
  <c r="L309" i="1" a="1"/>
  <c r="L309" i="1" l="1"/>
  <c r="M309" i="1" l="1" a="1"/>
  <c r="M309" i="1" s="1"/>
  <c r="Q309" i="1" s="1" a="1"/>
  <c r="Q309" i="1" s="1"/>
  <c r="P310" i="1" s="1"/>
  <c r="S309" i="1" l="1" a="1"/>
  <c r="S309" i="1" s="1"/>
  <c r="V309" i="1" s="1"/>
  <c r="R310" i="1" l="1" a="1"/>
  <c r="R310" i="1" s="1"/>
  <c r="T310" i="1" s="1"/>
  <c r="O310" i="1" l="1" a="1"/>
  <c r="O310" i="1" s="1"/>
  <c r="N310" i="1" a="1"/>
  <c r="N310" i="1" s="1"/>
  <c r="L310" i="1" a="1"/>
  <c r="L310" i="1" l="1"/>
  <c r="M310" i="1" l="1" a="1"/>
  <c r="M310" i="1" s="1"/>
  <c r="Q310" i="1" s="1" a="1"/>
  <c r="Q310" i="1" s="1"/>
  <c r="P311" i="1" s="1"/>
  <c r="S310" i="1" l="1" a="1"/>
  <c r="S310" i="1" s="1"/>
  <c r="V310" i="1" s="1"/>
  <c r="R311" i="1" l="1" a="1"/>
  <c r="R311" i="1" s="1"/>
  <c r="T311" i="1" s="1"/>
  <c r="N311" i="1" l="1" a="1"/>
  <c r="N311" i="1" s="1"/>
  <c r="O311" i="1" a="1"/>
  <c r="O311" i="1" s="1"/>
  <c r="L311" i="1" a="1"/>
  <c r="L311" i="1" l="1"/>
  <c r="M311" i="1" l="1" a="1"/>
  <c r="M311" i="1" s="1"/>
  <c r="Q311" i="1" s="1" a="1"/>
  <c r="Q311" i="1" s="1"/>
  <c r="P312" i="1" s="1"/>
  <c r="S311" i="1" l="1" a="1"/>
  <c r="S311" i="1" s="1"/>
  <c r="V311" i="1" s="1"/>
  <c r="R312" i="1" l="1" a="1"/>
  <c r="R312" i="1" s="1"/>
  <c r="T312" i="1" s="1"/>
  <c r="O312" i="1" l="1" a="1"/>
  <c r="O312" i="1" s="1"/>
  <c r="N312" i="1" a="1"/>
  <c r="N312" i="1" s="1"/>
  <c r="L312" i="1" a="1"/>
  <c r="L312" i="1" l="1"/>
  <c r="M312" i="1" l="1" a="1"/>
  <c r="M312" i="1" s="1"/>
  <c r="Q312" i="1" s="1" a="1"/>
  <c r="Q312" i="1" s="1"/>
  <c r="P313" i="1" s="1"/>
  <c r="S312" i="1" l="1" a="1"/>
  <c r="S312" i="1" s="1"/>
  <c r="V312" i="1" s="1"/>
  <c r="R313" i="1" l="1" a="1"/>
  <c r="R313" i="1" s="1"/>
  <c r="T313" i="1" s="1"/>
  <c r="N313" i="1" l="1" a="1"/>
  <c r="N313" i="1" s="1"/>
  <c r="O313" i="1" a="1"/>
  <c r="O313" i="1" s="1"/>
  <c r="L313" i="1" a="1"/>
  <c r="L313" i="1" l="1"/>
  <c r="M313" i="1" l="1" a="1"/>
  <c r="M313" i="1" s="1"/>
  <c r="Q313" i="1" s="1" a="1"/>
  <c r="Q313" i="1" s="1"/>
  <c r="P314" i="1" s="1"/>
  <c r="S313" i="1" l="1" a="1"/>
  <c r="S313" i="1" s="1"/>
  <c r="V313" i="1" s="1"/>
  <c r="R314" i="1" l="1" a="1"/>
  <c r="R314" i="1" s="1"/>
  <c r="T314" i="1" s="1"/>
  <c r="N314" i="1" l="1" a="1"/>
  <c r="N314" i="1" s="1"/>
  <c r="O314" i="1" a="1"/>
  <c r="O314" i="1" s="1"/>
  <c r="L314" i="1" a="1"/>
  <c r="L314" i="1" l="1"/>
  <c r="M314" i="1" l="1" a="1"/>
  <c r="M314" i="1" s="1"/>
  <c r="Q314" i="1" s="1" a="1"/>
  <c r="Q314" i="1" s="1"/>
  <c r="P315" i="1" s="1"/>
  <c r="S314" i="1" l="1" a="1"/>
  <c r="S314" i="1" s="1"/>
  <c r="V314" i="1" s="1"/>
  <c r="R315" i="1" l="1" a="1"/>
  <c r="R315" i="1" s="1"/>
  <c r="T315" i="1" s="1"/>
  <c r="N315" i="1" l="1" a="1"/>
  <c r="N315" i="1" s="1"/>
  <c r="O315" i="1" a="1"/>
  <c r="O315" i="1" s="1"/>
  <c r="L315" i="1" a="1"/>
  <c r="L315" i="1" l="1"/>
  <c r="M315" i="1" l="1" a="1"/>
  <c r="M315" i="1" s="1"/>
  <c r="Q315" i="1" s="1" a="1"/>
  <c r="Q315" i="1" s="1"/>
  <c r="P316" i="1" s="1"/>
  <c r="S315" i="1" l="1" a="1"/>
  <c r="S315" i="1" s="1"/>
  <c r="V315" i="1" s="1"/>
  <c r="R316" i="1" l="1" a="1"/>
  <c r="R316" i="1" s="1"/>
  <c r="T316" i="1" s="1"/>
  <c r="N316" i="1" l="1" a="1"/>
  <c r="N316" i="1" s="1"/>
  <c r="O316" i="1" a="1"/>
  <c r="O316" i="1" s="1"/>
  <c r="L316" i="1" a="1"/>
  <c r="L316" i="1" l="1"/>
  <c r="M316" i="1" l="1" a="1"/>
  <c r="M316" i="1" s="1"/>
  <c r="Q316" i="1" s="1" a="1"/>
  <c r="Q316" i="1" s="1"/>
  <c r="P317" i="1" s="1"/>
  <c r="S316" i="1" l="1" a="1"/>
  <c r="S316" i="1" s="1"/>
  <c r="V316" i="1" s="1"/>
  <c r="R317" i="1" l="1" a="1"/>
  <c r="R317" i="1" s="1"/>
  <c r="T317" i="1" s="1"/>
  <c r="N317" i="1" l="1" a="1"/>
  <c r="N317" i="1" s="1"/>
  <c r="O317" i="1" a="1"/>
  <c r="O317" i="1" s="1"/>
  <c r="L317" i="1" a="1"/>
  <c r="L317" i="1" l="1"/>
  <c r="M317" i="1" l="1" a="1"/>
  <c r="M317" i="1" s="1"/>
  <c r="Q317" i="1" s="1" a="1"/>
  <c r="Q317" i="1" s="1"/>
  <c r="P318" i="1" s="1"/>
  <c r="S317" i="1" l="1" a="1"/>
  <c r="S317" i="1" s="1"/>
  <c r="V317" i="1" s="1"/>
  <c r="R318" i="1" l="1" a="1"/>
  <c r="R318" i="1" s="1"/>
  <c r="T318" i="1" s="1"/>
  <c r="O318" i="1" l="1" a="1"/>
  <c r="O318" i="1" s="1"/>
  <c r="N318" i="1" a="1"/>
  <c r="N318" i="1" s="1"/>
  <c r="L318" i="1" a="1"/>
  <c r="L318" i="1" l="1"/>
  <c r="M318" i="1" l="1" a="1"/>
  <c r="M318" i="1" s="1"/>
  <c r="Q318" i="1" s="1" a="1"/>
  <c r="Q318" i="1" s="1"/>
  <c r="P319" i="1" s="1"/>
  <c r="S318" i="1" l="1" a="1"/>
  <c r="S318" i="1" s="1"/>
  <c r="V318" i="1" s="1"/>
  <c r="R319" i="1" l="1" a="1"/>
  <c r="R319" i="1" s="1"/>
  <c r="T319" i="1" s="1"/>
  <c r="N319" i="1" l="1" a="1"/>
  <c r="N319" i="1" s="1"/>
  <c r="O319" i="1" a="1"/>
  <c r="O319" i="1" s="1"/>
  <c r="L319" i="1" a="1"/>
  <c r="L319" i="1" l="1"/>
  <c r="M319" i="1" l="1" a="1"/>
  <c r="M319" i="1" s="1"/>
  <c r="Q319" i="1" s="1" a="1"/>
  <c r="Q319" i="1" s="1"/>
  <c r="P320" i="1" s="1"/>
  <c r="S319" i="1" l="1" a="1"/>
  <c r="S319" i="1" s="1"/>
  <c r="V319" i="1" s="1"/>
  <c r="R320" i="1" l="1" a="1"/>
  <c r="R320" i="1" s="1"/>
  <c r="T320" i="1" s="1"/>
  <c r="O320" i="1" l="1" a="1"/>
  <c r="O320" i="1" s="1"/>
  <c r="N320" i="1" a="1"/>
  <c r="N320" i="1" s="1"/>
  <c r="L320" i="1" a="1"/>
  <c r="L320" i="1" l="1"/>
  <c r="M320" i="1" l="1" a="1"/>
  <c r="M320" i="1" s="1"/>
  <c r="Q320" i="1" s="1" a="1"/>
  <c r="Q320" i="1" s="1"/>
  <c r="P321" i="1" s="1"/>
  <c r="S320" i="1" l="1" a="1"/>
  <c r="S320" i="1" s="1"/>
  <c r="V320" i="1" s="1"/>
  <c r="R321" i="1" l="1" a="1"/>
  <c r="R321" i="1" s="1"/>
  <c r="T321" i="1" s="1"/>
  <c r="N321" i="1" l="1" a="1"/>
  <c r="N321" i="1" s="1"/>
  <c r="O321" i="1" a="1"/>
  <c r="O321" i="1" s="1"/>
  <c r="L321" i="1" a="1"/>
  <c r="L321" i="1" l="1"/>
  <c r="M321" i="1" l="1" a="1"/>
  <c r="M321" i="1" s="1"/>
  <c r="Q321" i="1" s="1" a="1"/>
  <c r="Q321" i="1" s="1"/>
  <c r="P322" i="1" s="1"/>
  <c r="S321" i="1" l="1" a="1"/>
  <c r="S321" i="1" s="1"/>
  <c r="V321" i="1" s="1"/>
  <c r="R322" i="1" l="1" a="1"/>
  <c r="R322" i="1" s="1"/>
  <c r="T322" i="1" s="1"/>
  <c r="N322" i="1" l="1" a="1"/>
  <c r="N322" i="1" s="1"/>
  <c r="O322" i="1" a="1"/>
  <c r="O322" i="1" s="1"/>
  <c r="L322" i="1" a="1"/>
  <c r="L322" i="1" l="1"/>
  <c r="M322" i="1" l="1" a="1"/>
  <c r="M322" i="1" s="1"/>
  <c r="Q322" i="1" s="1" a="1"/>
  <c r="Q322" i="1" s="1"/>
  <c r="P323" i="1" s="1"/>
  <c r="S322" i="1" l="1" a="1"/>
  <c r="S322" i="1" s="1"/>
  <c r="V322" i="1" s="1"/>
  <c r="R323" i="1" l="1" a="1"/>
  <c r="R323" i="1" s="1"/>
  <c r="T323" i="1" s="1"/>
  <c r="N323" i="1" l="1" a="1"/>
  <c r="N323" i="1" s="1"/>
  <c r="O323" i="1" a="1"/>
  <c r="O323" i="1" s="1"/>
  <c r="L323" i="1" a="1"/>
  <c r="L323" i="1" l="1"/>
  <c r="M323" i="1" l="1" a="1"/>
  <c r="M323" i="1" s="1"/>
  <c r="Q323" i="1" s="1" a="1"/>
  <c r="Q323" i="1" s="1"/>
  <c r="P324" i="1" s="1"/>
  <c r="S323" i="1" l="1" a="1"/>
  <c r="S323" i="1" s="1"/>
  <c r="V323" i="1" s="1"/>
  <c r="R324" i="1" l="1" a="1"/>
  <c r="R324" i="1" s="1"/>
  <c r="T324" i="1" s="1"/>
  <c r="O324" i="1" l="1" a="1"/>
  <c r="O324" i="1" s="1"/>
  <c r="N324" i="1" a="1"/>
  <c r="N324" i="1" s="1"/>
  <c r="L324" i="1" a="1"/>
  <c r="L324" i="1" l="1"/>
  <c r="M324" i="1" l="1" a="1"/>
  <c r="M324" i="1" s="1"/>
  <c r="Q324" i="1" s="1" a="1"/>
  <c r="Q324" i="1" s="1"/>
  <c r="P325" i="1" s="1"/>
  <c r="S324" i="1" l="1" a="1"/>
  <c r="S324" i="1" s="1"/>
  <c r="V324" i="1" s="1"/>
  <c r="R325" i="1" l="1" a="1"/>
  <c r="R325" i="1" s="1"/>
  <c r="T325" i="1" s="1"/>
  <c r="N325" i="1" l="1" a="1"/>
  <c r="N325" i="1" s="1"/>
  <c r="O325" i="1" a="1"/>
  <c r="O325" i="1" s="1"/>
  <c r="L325" i="1" a="1"/>
  <c r="L325" i="1" l="1"/>
  <c r="M325" i="1" l="1" a="1"/>
  <c r="M325" i="1" s="1"/>
  <c r="Q325" i="1" s="1" a="1"/>
  <c r="Q325" i="1" s="1"/>
  <c r="P326" i="1" s="1"/>
  <c r="S325" i="1" l="1" a="1"/>
  <c r="S325" i="1" s="1"/>
  <c r="V325" i="1" s="1"/>
  <c r="R326" i="1" l="1" a="1"/>
  <c r="R326" i="1" s="1"/>
  <c r="T326" i="1" s="1"/>
  <c r="N326" i="1" l="1" a="1"/>
  <c r="N326" i="1" s="1"/>
  <c r="O326" i="1" a="1"/>
  <c r="O326" i="1" s="1"/>
  <c r="L326" i="1" a="1"/>
  <c r="L326" i="1" l="1"/>
  <c r="M326" i="1" l="1" a="1"/>
  <c r="M326" i="1" s="1"/>
  <c r="Q326" i="1" s="1" a="1"/>
  <c r="Q326" i="1" s="1"/>
  <c r="P327" i="1" s="1"/>
  <c r="S326" i="1" l="1" a="1"/>
  <c r="S326" i="1" s="1"/>
  <c r="V326" i="1" s="1"/>
  <c r="R327" i="1" l="1" a="1"/>
  <c r="R327" i="1" s="1"/>
  <c r="T327" i="1" s="1"/>
  <c r="N327" i="1" l="1" a="1"/>
  <c r="N327" i="1" s="1"/>
  <c r="O327" i="1" a="1"/>
  <c r="O327" i="1" s="1"/>
  <c r="L327" i="1" a="1"/>
  <c r="L327" i="1" l="1"/>
  <c r="M327" i="1" l="1" a="1"/>
  <c r="M327" i="1" s="1"/>
  <c r="Q327" i="1" s="1" a="1"/>
  <c r="Q327" i="1" s="1"/>
  <c r="P328" i="1" s="1"/>
  <c r="S327" i="1" l="1" a="1"/>
  <c r="S327" i="1" s="1"/>
  <c r="V327" i="1" s="1"/>
  <c r="R328" i="1" l="1" a="1"/>
  <c r="R328" i="1" s="1"/>
  <c r="T328" i="1" s="1"/>
  <c r="N328" i="1" l="1" a="1"/>
  <c r="N328" i="1" s="1"/>
  <c r="O328" i="1" a="1"/>
  <c r="O328" i="1" s="1"/>
  <c r="L328" i="1" a="1"/>
  <c r="L328" i="1" l="1"/>
  <c r="M328" i="1" l="1" a="1"/>
  <c r="M328" i="1" s="1"/>
  <c r="Q328" i="1" s="1" a="1"/>
  <c r="Q328" i="1" s="1"/>
  <c r="P329" i="1" s="1"/>
  <c r="S328" i="1" l="1" a="1"/>
  <c r="S328" i="1" s="1"/>
  <c r="V328" i="1" s="1"/>
  <c r="R329" i="1" l="1" a="1"/>
  <c r="R329" i="1" s="1"/>
  <c r="T329" i="1" s="1"/>
  <c r="O329" i="1" l="1" a="1"/>
  <c r="O329" i="1" s="1"/>
  <c r="N329" i="1" a="1"/>
  <c r="N329" i="1" s="1"/>
  <c r="L329" i="1" a="1"/>
  <c r="L329" i="1" l="1"/>
  <c r="M329" i="1" l="1" a="1"/>
  <c r="M329" i="1" s="1"/>
  <c r="Q329" i="1" s="1" a="1"/>
  <c r="Q329" i="1" s="1"/>
  <c r="P330" i="1" s="1"/>
  <c r="S329" i="1" l="1" a="1"/>
  <c r="S329" i="1" s="1"/>
  <c r="V329" i="1" s="1"/>
  <c r="R330" i="1" l="1" a="1"/>
  <c r="R330" i="1" s="1"/>
  <c r="T330" i="1" s="1"/>
  <c r="O330" i="1" l="1" a="1"/>
  <c r="O330" i="1" s="1"/>
  <c r="N330" i="1" a="1"/>
  <c r="N330" i="1" s="1"/>
  <c r="L330" i="1" a="1"/>
  <c r="L330" i="1" l="1"/>
  <c r="M330" i="1" l="1" a="1"/>
  <c r="M330" i="1" s="1"/>
  <c r="Q330" i="1" s="1" a="1"/>
  <c r="Q330" i="1" s="1"/>
  <c r="P331" i="1" s="1"/>
  <c r="S330" i="1" l="1" a="1"/>
  <c r="S330" i="1" s="1"/>
  <c r="V330" i="1" s="1"/>
  <c r="R331" i="1" l="1" a="1"/>
  <c r="R331" i="1" s="1"/>
  <c r="T331" i="1" s="1"/>
  <c r="O331" i="1" l="1" a="1"/>
  <c r="O331" i="1" s="1"/>
  <c r="N331" i="1" a="1"/>
  <c r="N331" i="1" s="1"/>
  <c r="L331" i="1" a="1"/>
  <c r="L331" i="1" l="1"/>
  <c r="M331" i="1" l="1" a="1"/>
  <c r="M331" i="1" s="1"/>
  <c r="Q331" i="1" s="1" a="1"/>
  <c r="Q331" i="1" s="1"/>
  <c r="P332" i="1" s="1"/>
  <c r="S331" i="1" l="1" a="1"/>
  <c r="S331" i="1" s="1"/>
  <c r="V331" i="1" s="1"/>
  <c r="R332" i="1" l="1" a="1"/>
  <c r="R332" i="1" s="1"/>
  <c r="T332" i="1" s="1"/>
  <c r="N332" i="1" l="1" a="1"/>
  <c r="N332" i="1" s="1"/>
  <c r="O332" i="1" a="1"/>
  <c r="O332" i="1" s="1"/>
  <c r="L332" i="1" a="1"/>
  <c r="L332" i="1" l="1"/>
  <c r="M332" i="1" l="1" a="1"/>
  <c r="M332" i="1" s="1"/>
  <c r="Q332" i="1" s="1" a="1"/>
  <c r="Q332" i="1" s="1"/>
  <c r="P333" i="1" s="1"/>
  <c r="S332" i="1" l="1" a="1"/>
  <c r="S332" i="1" s="1"/>
  <c r="V332" i="1" s="1"/>
  <c r="R333" i="1" l="1" a="1"/>
  <c r="R333" i="1" s="1"/>
  <c r="T333" i="1" s="1"/>
  <c r="O333" i="1" l="1" a="1"/>
  <c r="O333" i="1" s="1"/>
  <c r="N333" i="1" a="1"/>
  <c r="N333" i="1" s="1"/>
  <c r="L333" i="1" a="1"/>
  <c r="L333" i="1" l="1"/>
  <c r="M333" i="1" l="1" a="1"/>
  <c r="M333" i="1" s="1"/>
  <c r="Q333" i="1" s="1" a="1"/>
  <c r="Q333" i="1" s="1"/>
  <c r="P334" i="1" s="1"/>
  <c r="S333" i="1" l="1" a="1"/>
  <c r="S333" i="1" s="1"/>
  <c r="V333" i="1" s="1"/>
  <c r="R334" i="1" l="1" a="1"/>
  <c r="R334" i="1" s="1"/>
  <c r="T334" i="1" s="1"/>
  <c r="N334" i="1" l="1" a="1"/>
  <c r="N334" i="1" s="1"/>
  <c r="O334" i="1" a="1"/>
  <c r="O334" i="1" s="1"/>
  <c r="L334" i="1" a="1"/>
  <c r="L334" i="1" l="1"/>
  <c r="M334" i="1" l="1" a="1"/>
  <c r="M334" i="1" s="1"/>
  <c r="Q334" i="1" s="1" a="1"/>
  <c r="Q334" i="1" s="1"/>
  <c r="P335" i="1" s="1"/>
  <c r="S334" i="1" l="1" a="1"/>
  <c r="S334" i="1" s="1"/>
  <c r="V334" i="1" s="1"/>
  <c r="R335" i="1" l="1" a="1"/>
  <c r="R335" i="1" s="1"/>
  <c r="T335" i="1" s="1"/>
  <c r="N335" i="1" l="1" a="1"/>
  <c r="N335" i="1" s="1"/>
  <c r="O335" i="1" a="1"/>
  <c r="O335" i="1" s="1"/>
  <c r="L335" i="1" a="1"/>
  <c r="L335" i="1" l="1"/>
  <c r="M335" i="1" l="1" a="1"/>
  <c r="M335" i="1" s="1"/>
  <c r="Q335" i="1" s="1" a="1"/>
  <c r="Q335" i="1" s="1"/>
  <c r="P336" i="1" s="1"/>
  <c r="S335" i="1" l="1" a="1"/>
  <c r="S335" i="1" s="1"/>
  <c r="V335" i="1" s="1"/>
  <c r="R336" i="1" l="1" a="1"/>
  <c r="R336" i="1" s="1"/>
  <c r="T336" i="1" s="1"/>
  <c r="N336" i="1" l="1" a="1"/>
  <c r="N336" i="1" s="1"/>
  <c r="O336" i="1" a="1"/>
  <c r="O336" i="1" s="1"/>
  <c r="L336" i="1" a="1"/>
  <c r="L336" i="1" l="1"/>
  <c r="M336" i="1" l="1" a="1"/>
  <c r="M336" i="1" s="1"/>
  <c r="Q336" i="1" s="1" a="1"/>
  <c r="Q336" i="1" s="1"/>
  <c r="P337" i="1" s="1"/>
  <c r="S336" i="1" l="1" a="1"/>
  <c r="S336" i="1" s="1"/>
  <c r="V336" i="1" s="1"/>
  <c r="R337" i="1" l="1" a="1"/>
  <c r="R337" i="1" s="1"/>
  <c r="T337" i="1" s="1"/>
  <c r="O337" i="1" l="1" a="1"/>
  <c r="O337" i="1" s="1"/>
  <c r="N337" i="1" a="1"/>
  <c r="N337" i="1" s="1"/>
  <c r="L337" i="1" a="1"/>
  <c r="L337" i="1" l="1"/>
  <c r="M337" i="1" l="1" a="1"/>
  <c r="M337" i="1" s="1"/>
  <c r="Q337" i="1" s="1" a="1"/>
  <c r="Q337" i="1" s="1"/>
  <c r="P338" i="1" s="1"/>
  <c r="S337" i="1" l="1" a="1"/>
  <c r="S337" i="1" s="1"/>
  <c r="V337" i="1" s="1"/>
  <c r="R338" i="1" l="1" a="1"/>
  <c r="R338" i="1" s="1"/>
  <c r="T338" i="1" s="1"/>
  <c r="N338" i="1" l="1" a="1"/>
  <c r="N338" i="1" s="1"/>
  <c r="O338" i="1" a="1"/>
  <c r="O338" i="1" s="1"/>
  <c r="L338" i="1" a="1"/>
  <c r="L338" i="1" l="1"/>
  <c r="M338" i="1" l="1" a="1"/>
  <c r="M338" i="1" s="1"/>
  <c r="Q338" i="1" s="1" a="1"/>
  <c r="Q338" i="1" s="1"/>
  <c r="P339" i="1" s="1"/>
  <c r="S338" i="1" l="1" a="1"/>
  <c r="S338" i="1" s="1"/>
  <c r="V338" i="1" s="1"/>
  <c r="R339" i="1" l="1" a="1"/>
  <c r="R339" i="1" s="1"/>
  <c r="T339" i="1" s="1"/>
  <c r="O339" i="1" l="1" a="1"/>
  <c r="O339" i="1" s="1"/>
  <c r="N339" i="1" a="1"/>
  <c r="N339" i="1" s="1"/>
  <c r="L339" i="1" a="1"/>
  <c r="L339" i="1" l="1"/>
  <c r="M339" i="1" l="1" a="1"/>
  <c r="M339" i="1" s="1"/>
  <c r="Q339" i="1" s="1" a="1"/>
  <c r="Q339" i="1" s="1"/>
  <c r="P340" i="1" s="1"/>
  <c r="S339" i="1" l="1" a="1"/>
  <c r="S339" i="1" s="1"/>
  <c r="V339" i="1" s="1"/>
  <c r="R340" i="1" l="1" a="1"/>
  <c r="R340" i="1" s="1"/>
  <c r="T340" i="1" s="1"/>
  <c r="N340" i="1" l="1" a="1"/>
  <c r="N340" i="1" s="1"/>
  <c r="O340" i="1" a="1"/>
  <c r="O340" i="1" s="1"/>
  <c r="L340" i="1" a="1"/>
  <c r="L340" i="1" l="1"/>
  <c r="M340" i="1" l="1" a="1"/>
  <c r="M340" i="1" s="1"/>
  <c r="Q340" i="1" s="1" a="1"/>
  <c r="Q340" i="1" s="1"/>
  <c r="P341" i="1" s="1"/>
  <c r="S340" i="1" l="1" a="1"/>
  <c r="S340" i="1" s="1"/>
  <c r="V340" i="1" s="1"/>
  <c r="R341" i="1" l="1" a="1"/>
  <c r="R341" i="1" s="1"/>
  <c r="T341" i="1" s="1"/>
  <c r="N341" i="1" l="1" a="1"/>
  <c r="N341" i="1" s="1"/>
  <c r="O341" i="1" a="1"/>
  <c r="O341" i="1" s="1"/>
  <c r="L341" i="1" a="1"/>
  <c r="L341" i="1" l="1"/>
  <c r="M341" i="1" l="1" a="1"/>
  <c r="M341" i="1" s="1"/>
  <c r="Q341" i="1" s="1" a="1"/>
  <c r="Q341" i="1" s="1"/>
  <c r="P342" i="1" s="1"/>
  <c r="S341" i="1" l="1" a="1"/>
  <c r="S341" i="1" s="1"/>
  <c r="V341" i="1" s="1"/>
  <c r="R342" i="1" l="1" a="1"/>
  <c r="R342" i="1" s="1"/>
  <c r="T342" i="1" s="1"/>
  <c r="N342" i="1" l="1" a="1"/>
  <c r="N342" i="1" s="1"/>
  <c r="O342" i="1" a="1"/>
  <c r="O342" i="1" s="1"/>
  <c r="L342" i="1" a="1"/>
  <c r="L342" i="1" l="1"/>
  <c r="M342" i="1" l="1" a="1"/>
  <c r="M342" i="1" s="1"/>
  <c r="Q342" i="1" s="1" a="1"/>
  <c r="Q342" i="1" s="1"/>
  <c r="P343" i="1" s="1"/>
  <c r="S342" i="1" l="1" a="1"/>
  <c r="S342" i="1" s="1"/>
  <c r="V342" i="1" s="1"/>
  <c r="R343" i="1" l="1" a="1"/>
  <c r="R343" i="1" s="1"/>
  <c r="T343" i="1" s="1"/>
  <c r="O343" i="1" l="1" a="1"/>
  <c r="O343" i="1" s="1"/>
  <c r="N343" i="1" a="1"/>
  <c r="N343" i="1" s="1"/>
  <c r="L343" i="1" a="1"/>
  <c r="L343" i="1" l="1"/>
  <c r="M343" i="1" l="1" a="1"/>
  <c r="M343" i="1" s="1"/>
  <c r="Q343" i="1" s="1" a="1"/>
  <c r="Q343" i="1" s="1"/>
  <c r="P344" i="1" s="1"/>
  <c r="S343" i="1" l="1" a="1"/>
  <c r="S343" i="1" s="1"/>
  <c r="V343" i="1" s="1"/>
  <c r="R344" i="1" l="1" a="1"/>
  <c r="R344" i="1" s="1"/>
  <c r="T344" i="1" s="1"/>
  <c r="O344" i="1" l="1" a="1"/>
  <c r="O344" i="1" s="1"/>
  <c r="N344" i="1" a="1"/>
  <c r="N344" i="1" s="1"/>
  <c r="L344" i="1" a="1"/>
  <c r="L344" i="1" l="1"/>
  <c r="M344" i="1" l="1" a="1"/>
  <c r="M344" i="1" s="1"/>
  <c r="Q344" i="1" s="1" a="1"/>
  <c r="Q344" i="1" s="1"/>
  <c r="P345" i="1" s="1"/>
  <c r="S344" i="1" l="1" a="1"/>
  <c r="S344" i="1" s="1"/>
  <c r="V344" i="1" s="1"/>
  <c r="R345" i="1" l="1" a="1"/>
  <c r="R345" i="1" s="1"/>
  <c r="T345" i="1" s="1"/>
  <c r="N345" i="1" l="1" a="1"/>
  <c r="N345" i="1" s="1"/>
  <c r="O345" i="1" a="1"/>
  <c r="O345" i="1" s="1"/>
  <c r="L345" i="1" a="1"/>
  <c r="L345" i="1" l="1"/>
  <c r="M345" i="1" l="1" a="1"/>
  <c r="M345" i="1" s="1"/>
  <c r="Q345" i="1" s="1" a="1"/>
  <c r="Q345" i="1" s="1"/>
  <c r="P346" i="1" s="1"/>
  <c r="S345" i="1" l="1" a="1"/>
  <c r="S345" i="1" s="1"/>
  <c r="V345" i="1" s="1"/>
  <c r="R346" i="1" l="1" a="1"/>
  <c r="R346" i="1" s="1"/>
  <c r="T346" i="1" s="1"/>
  <c r="O346" i="1" l="1" a="1"/>
  <c r="O346" i="1" s="1"/>
  <c r="N346" i="1" a="1"/>
  <c r="N346" i="1" s="1"/>
  <c r="L346" i="1" a="1"/>
  <c r="L346" i="1" l="1"/>
  <c r="M346" i="1" l="1" a="1"/>
  <c r="M346" i="1" s="1"/>
  <c r="Q346" i="1" s="1" a="1"/>
  <c r="Q346" i="1" s="1"/>
  <c r="P347" i="1" s="1"/>
  <c r="S346" i="1" l="1" a="1"/>
  <c r="S346" i="1" s="1"/>
  <c r="V346" i="1" s="1"/>
  <c r="R347" i="1" l="1" a="1"/>
  <c r="R347" i="1" s="1"/>
  <c r="T347" i="1" s="1"/>
  <c r="N347" i="1" l="1" a="1"/>
  <c r="N347" i="1" s="1"/>
  <c r="O347" i="1" a="1"/>
  <c r="O347" i="1" s="1"/>
  <c r="L347" i="1" a="1"/>
  <c r="L347" i="1" l="1"/>
  <c r="M347" i="1" l="1" a="1"/>
  <c r="M347" i="1" s="1"/>
  <c r="Q347" i="1" s="1" a="1"/>
  <c r="Q347" i="1" s="1"/>
  <c r="P348" i="1" s="1"/>
  <c r="S347" i="1" l="1" a="1"/>
  <c r="S347" i="1" s="1"/>
  <c r="V347" i="1" s="1"/>
  <c r="R348" i="1" l="1" a="1"/>
  <c r="R348" i="1" s="1"/>
  <c r="T348" i="1" s="1"/>
  <c r="N348" i="1" l="1" a="1"/>
  <c r="N348" i="1" s="1"/>
  <c r="O348" i="1" a="1"/>
  <c r="O348" i="1" s="1"/>
  <c r="L348" i="1" a="1"/>
  <c r="L348" i="1" l="1"/>
  <c r="M348" i="1" l="1" a="1"/>
  <c r="M348" i="1" s="1"/>
  <c r="Q348" i="1" s="1" a="1"/>
  <c r="Q348" i="1" s="1"/>
  <c r="P349" i="1" s="1"/>
  <c r="S348" i="1" l="1" a="1"/>
  <c r="S348" i="1" s="1"/>
  <c r="V348" i="1" s="1"/>
  <c r="R349" i="1" l="1" a="1"/>
  <c r="R349" i="1" s="1"/>
  <c r="T349" i="1" s="1"/>
  <c r="O349" i="1" l="1" a="1"/>
  <c r="O349" i="1" s="1"/>
  <c r="N349" i="1" a="1"/>
  <c r="N349" i="1" s="1"/>
  <c r="L349" i="1" a="1"/>
  <c r="L349" i="1" l="1"/>
  <c r="M349" i="1" l="1" a="1"/>
  <c r="M349" i="1" s="1"/>
  <c r="Q349" i="1" s="1" a="1"/>
  <c r="Q349" i="1" s="1"/>
  <c r="P350" i="1" s="1"/>
  <c r="S349" i="1" l="1" a="1"/>
  <c r="S349" i="1" s="1"/>
  <c r="V349" i="1" s="1"/>
  <c r="R350" i="1" l="1" a="1"/>
  <c r="R350" i="1" s="1"/>
  <c r="T350" i="1" s="1"/>
  <c r="N350" i="1" l="1" a="1"/>
  <c r="N350" i="1" s="1"/>
  <c r="O350" i="1" a="1"/>
  <c r="O350" i="1" s="1"/>
  <c r="L350" i="1" a="1"/>
  <c r="L350" i="1" l="1"/>
  <c r="M350" i="1" l="1" a="1"/>
  <c r="M350" i="1" s="1"/>
  <c r="Q350" i="1" s="1" a="1"/>
  <c r="Q350" i="1" s="1"/>
  <c r="P351" i="1" s="1"/>
  <c r="S350" i="1" l="1" a="1"/>
  <c r="S350" i="1" s="1"/>
  <c r="V350" i="1" s="1"/>
  <c r="R351" i="1" l="1" a="1"/>
  <c r="R351" i="1" s="1"/>
  <c r="T351" i="1" s="1"/>
  <c r="O351" i="1" l="1" a="1"/>
  <c r="O351" i="1" s="1"/>
  <c r="N351" i="1" a="1"/>
  <c r="N351" i="1" s="1"/>
  <c r="L351" i="1" a="1"/>
  <c r="L351" i="1" l="1"/>
  <c r="M351" i="1" l="1" a="1"/>
  <c r="M351" i="1" s="1"/>
  <c r="Q351" i="1" s="1" a="1"/>
  <c r="Q351" i="1" s="1"/>
  <c r="P352" i="1" s="1"/>
  <c r="S351" i="1" l="1" a="1"/>
  <c r="S351" i="1" s="1"/>
  <c r="V351" i="1" s="1"/>
  <c r="R352" i="1" l="1" a="1"/>
  <c r="R352" i="1" s="1"/>
  <c r="T352" i="1" s="1"/>
  <c r="O352" i="1" l="1" a="1"/>
  <c r="O352" i="1" s="1"/>
  <c r="N352" i="1" a="1"/>
  <c r="N352" i="1" s="1"/>
  <c r="L352" i="1" a="1"/>
  <c r="L352" i="1" l="1"/>
  <c r="M352" i="1" l="1" a="1"/>
  <c r="M352" i="1" s="1"/>
  <c r="Q352" i="1" s="1" a="1"/>
  <c r="Q352" i="1" s="1"/>
  <c r="P353" i="1" s="1"/>
  <c r="S352" i="1" l="1" a="1"/>
  <c r="S352" i="1" s="1"/>
  <c r="V352" i="1" s="1"/>
  <c r="R353" i="1" l="1" a="1"/>
  <c r="R353" i="1" s="1"/>
  <c r="T353" i="1" s="1"/>
  <c r="O353" i="1" l="1" a="1"/>
  <c r="O353" i="1" s="1"/>
  <c r="N353" i="1" a="1"/>
  <c r="N353" i="1" s="1"/>
  <c r="L353" i="1" a="1"/>
  <c r="L353" i="1" l="1"/>
  <c r="M353" i="1" l="1" a="1"/>
  <c r="M353" i="1" s="1"/>
  <c r="Q353" i="1" s="1" a="1"/>
  <c r="Q353" i="1" s="1"/>
  <c r="P354" i="1" s="1"/>
  <c r="S353" i="1" l="1" a="1"/>
  <c r="S353" i="1" s="1"/>
  <c r="V353" i="1" s="1"/>
  <c r="R354" i="1" l="1" a="1"/>
  <c r="R354" i="1" s="1"/>
  <c r="T354" i="1" s="1"/>
  <c r="O354" i="1" l="1" a="1"/>
  <c r="O354" i="1" s="1"/>
  <c r="N354" i="1" a="1"/>
  <c r="N354" i="1" s="1"/>
  <c r="L354" i="1" a="1"/>
  <c r="L354" i="1" l="1"/>
  <c r="M354" i="1" l="1" a="1"/>
  <c r="M354" i="1" s="1"/>
  <c r="Q354" i="1" s="1" a="1"/>
  <c r="Q354" i="1" s="1"/>
  <c r="P355" i="1" s="1"/>
  <c r="S354" i="1" l="1" a="1"/>
  <c r="S354" i="1" s="1"/>
  <c r="V354" i="1" s="1"/>
  <c r="R355" i="1" l="1" a="1"/>
  <c r="R355" i="1" s="1"/>
  <c r="T355" i="1" s="1"/>
  <c r="N355" i="1" l="1" a="1"/>
  <c r="N355" i="1" s="1"/>
  <c r="O355" i="1" a="1"/>
  <c r="O355" i="1" s="1"/>
  <c r="L355" i="1" a="1"/>
  <c r="L355" i="1" l="1"/>
  <c r="M355" i="1" l="1" a="1"/>
  <c r="M355" i="1" s="1"/>
  <c r="Q355" i="1" s="1" a="1"/>
  <c r="Q355" i="1" s="1"/>
  <c r="P356" i="1" s="1"/>
  <c r="S355" i="1" l="1" a="1"/>
  <c r="S355" i="1" s="1"/>
  <c r="V355" i="1" s="1"/>
  <c r="R356" i="1" l="1" a="1"/>
  <c r="R356" i="1" s="1"/>
  <c r="T356" i="1" s="1"/>
  <c r="N356" i="1" l="1" a="1"/>
  <c r="N356" i="1" s="1"/>
  <c r="O356" i="1" a="1"/>
  <c r="O356" i="1" s="1"/>
  <c r="L356" i="1" a="1"/>
  <c r="L356" i="1" l="1"/>
  <c r="M356" i="1" l="1" a="1"/>
  <c r="M356" i="1" s="1"/>
  <c r="Q356" i="1" s="1" a="1"/>
  <c r="Q356" i="1" s="1"/>
  <c r="P357" i="1" s="1"/>
  <c r="S356" i="1" l="1" a="1"/>
  <c r="S356" i="1" s="1"/>
  <c r="V356" i="1" s="1"/>
  <c r="R357" i="1" l="1" a="1"/>
  <c r="R357" i="1" s="1"/>
  <c r="T357" i="1" s="1"/>
  <c r="N357" i="1" l="1" a="1"/>
  <c r="N357" i="1" s="1"/>
  <c r="O357" i="1" a="1"/>
  <c r="O357" i="1" s="1"/>
  <c r="L357" i="1" a="1"/>
  <c r="L357" i="1" l="1"/>
  <c r="M357" i="1" l="1" a="1"/>
  <c r="M357" i="1" s="1"/>
  <c r="Q357" i="1" s="1" a="1"/>
  <c r="Q357" i="1" s="1"/>
  <c r="P358" i="1" s="1"/>
  <c r="S357" i="1" l="1" a="1"/>
  <c r="S357" i="1" s="1"/>
  <c r="V357" i="1" s="1"/>
  <c r="R358" i="1" l="1" a="1"/>
  <c r="R358" i="1" s="1"/>
  <c r="T358" i="1" s="1"/>
  <c r="N358" i="1" l="1" a="1"/>
  <c r="N358" i="1" s="1"/>
  <c r="O358" i="1" a="1"/>
  <c r="O358" i="1" s="1"/>
  <c r="L358" i="1" a="1"/>
  <c r="L358" i="1" l="1"/>
  <c r="M358" i="1" l="1" a="1"/>
  <c r="M358" i="1" s="1"/>
  <c r="Q358" i="1" s="1" a="1"/>
  <c r="Q358" i="1" s="1"/>
  <c r="P359" i="1" s="1"/>
  <c r="S358" i="1" l="1" a="1"/>
  <c r="S358" i="1" s="1"/>
  <c r="V358" i="1" s="1"/>
  <c r="R359" i="1" l="1" a="1"/>
  <c r="R359" i="1" s="1"/>
  <c r="T359" i="1" s="1"/>
  <c r="O359" i="1" l="1" a="1"/>
  <c r="O359" i="1" s="1"/>
  <c r="N359" i="1" a="1"/>
  <c r="N359" i="1" s="1"/>
  <c r="L359" i="1" a="1"/>
  <c r="L359" i="1" l="1"/>
  <c r="M359" i="1" l="1" a="1"/>
  <c r="M359" i="1" s="1"/>
  <c r="Q359" i="1" s="1" a="1"/>
  <c r="Q359" i="1" s="1"/>
  <c r="P360" i="1" s="1"/>
  <c r="S359" i="1" l="1" a="1"/>
  <c r="S359" i="1" s="1"/>
  <c r="V359" i="1" s="1"/>
  <c r="R360" i="1" l="1" a="1"/>
  <c r="R360" i="1" s="1"/>
  <c r="T360" i="1" s="1"/>
  <c r="O360" i="1" l="1" a="1"/>
  <c r="O360" i="1" s="1"/>
  <c r="N360" i="1" a="1"/>
  <c r="N360" i="1" s="1"/>
  <c r="L360" i="1" a="1"/>
  <c r="L360" i="1" l="1"/>
  <c r="M360" i="1" l="1" a="1"/>
  <c r="M360" i="1" s="1"/>
  <c r="Q360" i="1" s="1" a="1"/>
  <c r="Q360" i="1" s="1"/>
  <c r="P361" i="1" s="1"/>
  <c r="S360" i="1" l="1" a="1"/>
  <c r="S360" i="1" s="1"/>
  <c r="V360" i="1" s="1"/>
  <c r="R361" i="1" l="1" a="1"/>
  <c r="R361" i="1" s="1"/>
  <c r="T361" i="1" s="1"/>
  <c r="N361" i="1" l="1" a="1"/>
  <c r="N361" i="1" s="1"/>
  <c r="O361" i="1" a="1"/>
  <c r="O361" i="1" s="1"/>
  <c r="L361" i="1" a="1"/>
  <c r="L361" i="1" l="1"/>
  <c r="M361" i="1" l="1" a="1"/>
  <c r="M361" i="1" s="1"/>
  <c r="Q361" i="1" s="1" a="1"/>
  <c r="Q361" i="1" s="1"/>
  <c r="P362" i="1" s="1"/>
  <c r="S361" i="1" l="1" a="1"/>
  <c r="S361" i="1" s="1"/>
  <c r="V361" i="1" s="1"/>
  <c r="R362" i="1" l="1" a="1"/>
  <c r="R362" i="1" s="1"/>
  <c r="T362" i="1" s="1"/>
  <c r="O362" i="1" l="1" a="1"/>
  <c r="O362" i="1" s="1"/>
  <c r="N362" i="1" a="1"/>
  <c r="N362" i="1" s="1"/>
  <c r="L362" i="1" a="1"/>
  <c r="L362" i="1" l="1"/>
  <c r="M362" i="1" l="1" a="1"/>
  <c r="M362" i="1" s="1"/>
  <c r="Q362" i="1" s="1" a="1"/>
  <c r="Q362" i="1" s="1"/>
  <c r="P363" i="1" s="1"/>
  <c r="S362" i="1" l="1" a="1"/>
  <c r="S362" i="1" s="1"/>
  <c r="V362" i="1" s="1"/>
  <c r="R363" i="1" l="1" a="1"/>
  <c r="R363" i="1" s="1"/>
  <c r="T363" i="1" s="1"/>
  <c r="N363" i="1" l="1" a="1"/>
  <c r="N363" i="1" s="1"/>
  <c r="O363" i="1" a="1"/>
  <c r="O363" i="1" s="1"/>
  <c r="L363" i="1" a="1"/>
  <c r="L363" i="1" l="1"/>
  <c r="M363" i="1" l="1" a="1"/>
  <c r="M363" i="1" s="1"/>
  <c r="Q363" i="1" s="1" a="1"/>
  <c r="Q363" i="1" s="1"/>
  <c r="P364" i="1" s="1"/>
  <c r="S363" i="1" l="1" a="1"/>
  <c r="S363" i="1" s="1"/>
  <c r="V363" i="1" s="1"/>
  <c r="R364" i="1" l="1" a="1"/>
  <c r="R364" i="1" s="1"/>
  <c r="T364" i="1" s="1"/>
  <c r="N364" i="1" l="1" a="1"/>
  <c r="N364" i="1" s="1"/>
  <c r="O364" i="1" a="1"/>
  <c r="O364" i="1" s="1"/>
  <c r="L364" i="1" a="1"/>
  <c r="L364" i="1" l="1"/>
  <c r="M364" i="1" l="1" a="1"/>
  <c r="M364" i="1" s="1"/>
  <c r="Q364" i="1" s="1" a="1"/>
  <c r="Q364" i="1" s="1"/>
  <c r="P365" i="1" s="1"/>
  <c r="S364" i="1" l="1" a="1"/>
  <c r="S364" i="1" s="1"/>
  <c r="V364" i="1" s="1"/>
  <c r="R365" i="1" l="1" a="1"/>
  <c r="R365" i="1" s="1"/>
  <c r="T365" i="1" s="1"/>
  <c r="N365" i="1" l="1" a="1"/>
  <c r="N365" i="1" s="1"/>
  <c r="O365" i="1" a="1"/>
  <c r="O365" i="1" s="1"/>
  <c r="L365" i="1" a="1"/>
  <c r="L365" i="1" l="1"/>
  <c r="M365" i="1" l="1" a="1"/>
  <c r="M365" i="1" s="1"/>
  <c r="Q365" i="1" s="1" a="1"/>
  <c r="Q365" i="1" s="1"/>
  <c r="P366" i="1" s="1"/>
  <c r="S365" i="1" l="1" a="1"/>
  <c r="S365" i="1" s="1"/>
  <c r="V365" i="1" s="1"/>
  <c r="R366" i="1" l="1" a="1"/>
  <c r="R366" i="1" s="1"/>
  <c r="T366" i="1" s="1"/>
  <c r="N366" i="1" l="1" a="1"/>
  <c r="N366" i="1" s="1"/>
  <c r="O366" i="1" a="1"/>
  <c r="O366" i="1" s="1"/>
  <c r="L366" i="1" a="1"/>
  <c r="L366" i="1" l="1"/>
  <c r="M366" i="1" l="1" a="1"/>
  <c r="M366" i="1" s="1"/>
  <c r="Q366" i="1" s="1" a="1"/>
  <c r="Q366" i="1" s="1"/>
  <c r="P367" i="1" s="1"/>
  <c r="S366" i="1" l="1" a="1"/>
  <c r="S366" i="1" s="1"/>
  <c r="V366" i="1" s="1"/>
  <c r="R367" i="1" l="1" a="1"/>
  <c r="R367" i="1" s="1"/>
  <c r="T367" i="1" s="1"/>
  <c r="O367" i="1" l="1" a="1"/>
  <c r="O367" i="1" s="1"/>
  <c r="N367" i="1" a="1"/>
  <c r="N367" i="1" s="1"/>
  <c r="L367" i="1" a="1"/>
  <c r="L367" i="1" l="1"/>
  <c r="M367" i="1" l="1" a="1"/>
  <c r="M367" i="1" s="1"/>
  <c r="Q367" i="1" s="1" a="1"/>
  <c r="Q367" i="1" s="1"/>
  <c r="P368" i="1" s="1"/>
  <c r="S367" i="1" l="1" a="1"/>
  <c r="S367" i="1" s="1"/>
  <c r="V367" i="1" s="1"/>
  <c r="R368" i="1" l="1" a="1"/>
  <c r="R368" i="1" s="1"/>
  <c r="T368" i="1" s="1"/>
  <c r="N368" i="1" l="1" a="1"/>
  <c r="N368" i="1" s="1"/>
  <c r="O368" i="1" a="1"/>
  <c r="O368" i="1" s="1"/>
  <c r="L368" i="1" a="1"/>
  <c r="L368" i="1" l="1"/>
  <c r="M368" i="1" l="1" a="1"/>
  <c r="M368" i="1" s="1"/>
  <c r="Q368" i="1" s="1" a="1"/>
  <c r="Q368" i="1" s="1"/>
  <c r="P369" i="1" s="1"/>
  <c r="S368" i="1" l="1" a="1"/>
  <c r="S368" i="1" s="1"/>
  <c r="V368" i="1" s="1"/>
  <c r="R369" i="1" l="1" a="1"/>
  <c r="R369" i="1" s="1"/>
  <c r="T369" i="1" s="1"/>
  <c r="N369" i="1" l="1" a="1"/>
  <c r="N369" i="1" s="1"/>
  <c r="O369" i="1" a="1"/>
  <c r="O369" i="1" s="1"/>
  <c r="L369" i="1" a="1"/>
  <c r="L369" i="1" l="1"/>
  <c r="M369" i="1" l="1" a="1"/>
  <c r="M369" i="1" s="1"/>
  <c r="Q369" i="1" s="1" a="1"/>
  <c r="Q369" i="1" s="1"/>
  <c r="P370" i="1" s="1"/>
  <c r="S369" i="1" l="1" a="1"/>
  <c r="S369" i="1" s="1"/>
  <c r="V369" i="1" s="1"/>
  <c r="R370" i="1" l="1" a="1"/>
  <c r="R370" i="1" s="1"/>
  <c r="T370" i="1" s="1"/>
  <c r="N370" i="1" l="1" a="1"/>
  <c r="N370" i="1" s="1"/>
  <c r="O370" i="1" a="1"/>
  <c r="O370" i="1" s="1"/>
  <c r="L370" i="1" a="1"/>
  <c r="L370" i="1" l="1"/>
  <c r="M370" i="1" l="1" a="1"/>
  <c r="M370" i="1" s="1"/>
  <c r="Q370" i="1" s="1" a="1"/>
  <c r="Q370" i="1" s="1"/>
  <c r="P371" i="1" s="1"/>
  <c r="S370" i="1" l="1" a="1"/>
  <c r="S370" i="1" s="1"/>
  <c r="V370" i="1" s="1"/>
  <c r="R371" i="1" l="1" a="1"/>
  <c r="R371" i="1" s="1"/>
  <c r="T371" i="1" s="1"/>
  <c r="N371" i="1" l="1" a="1"/>
  <c r="N371" i="1" s="1"/>
  <c r="O371" i="1" a="1"/>
  <c r="O371" i="1" s="1"/>
  <c r="L371" i="1" a="1"/>
  <c r="L371" i="1" l="1"/>
  <c r="M371" i="1" l="1" a="1"/>
  <c r="M371" i="1" s="1"/>
  <c r="Q371" i="1" s="1" a="1"/>
  <c r="Q371" i="1" s="1"/>
  <c r="P372" i="1" s="1"/>
  <c r="S371" i="1" l="1" a="1"/>
  <c r="S371" i="1" s="1"/>
  <c r="V371" i="1" s="1"/>
  <c r="R372" i="1" l="1" a="1"/>
  <c r="R372" i="1" s="1"/>
  <c r="T372" i="1" s="1"/>
  <c r="N372" i="1" l="1" a="1"/>
  <c r="N372" i="1" s="1"/>
  <c r="O372" i="1" a="1"/>
  <c r="O372" i="1" s="1"/>
  <c r="L372" i="1" a="1"/>
  <c r="L372" i="1" l="1"/>
  <c r="M372" i="1" l="1" a="1"/>
  <c r="M372" i="1" s="1"/>
  <c r="Q372" i="1" s="1" a="1"/>
  <c r="Q372" i="1" s="1"/>
  <c r="P373" i="1" s="1"/>
  <c r="S372" i="1" l="1" a="1"/>
  <c r="S372" i="1" s="1"/>
  <c r="V372" i="1" s="1"/>
  <c r="R373" i="1" l="1" a="1"/>
  <c r="R373" i="1" s="1"/>
  <c r="T373" i="1" s="1"/>
  <c r="O373" i="1" l="1" a="1"/>
  <c r="O373" i="1" s="1"/>
  <c r="N373" i="1" a="1"/>
  <c r="N373" i="1" s="1"/>
  <c r="L373" i="1" a="1"/>
  <c r="L373" i="1" l="1"/>
  <c r="M373" i="1" l="1" a="1"/>
  <c r="M373" i="1" s="1"/>
  <c r="Q373" i="1" s="1" a="1"/>
  <c r="Q373" i="1" s="1"/>
  <c r="P374" i="1" s="1"/>
  <c r="S373" i="1" l="1" a="1"/>
  <c r="S373" i="1" s="1"/>
  <c r="V373" i="1" s="1"/>
  <c r="R374" i="1" l="1" a="1"/>
  <c r="R374" i="1" s="1"/>
  <c r="T374" i="1" s="1"/>
  <c r="N374" i="1" l="1" a="1"/>
  <c r="N374" i="1" s="1"/>
  <c r="O374" i="1" a="1"/>
  <c r="O374" i="1" s="1"/>
  <c r="L374" i="1" a="1"/>
  <c r="L374" i="1" l="1"/>
  <c r="M374" i="1" l="1" a="1"/>
  <c r="M374" i="1" s="1"/>
  <c r="Q374" i="1" s="1" a="1"/>
  <c r="Q374" i="1" s="1"/>
  <c r="P375" i="1" s="1"/>
  <c r="S374" i="1" l="1" a="1"/>
  <c r="S374" i="1" s="1"/>
  <c r="V374" i="1" s="1"/>
  <c r="R375" i="1" l="1" a="1"/>
  <c r="R375" i="1" s="1"/>
  <c r="T375" i="1" s="1"/>
  <c r="O375" i="1" l="1" a="1"/>
  <c r="O375" i="1" s="1"/>
  <c r="N375" i="1" a="1"/>
  <c r="N375" i="1" s="1"/>
  <c r="L375" i="1" a="1"/>
  <c r="L375" i="1" l="1"/>
  <c r="M375" i="1" l="1" a="1"/>
  <c r="M375" i="1" s="1"/>
  <c r="Q375" i="1" s="1" a="1"/>
  <c r="Q375" i="1" s="1"/>
  <c r="P376" i="1" s="1"/>
  <c r="S375" i="1" l="1" a="1"/>
  <c r="S375" i="1" s="1"/>
  <c r="V375" i="1" s="1"/>
  <c r="R376" i="1" l="1" a="1"/>
  <c r="R376" i="1" s="1"/>
  <c r="T376" i="1" s="1"/>
  <c r="N376" i="1" l="1" a="1"/>
  <c r="N376" i="1" s="1"/>
  <c r="O376" i="1" a="1"/>
  <c r="O376" i="1" s="1"/>
  <c r="L376" i="1" a="1"/>
  <c r="L376" i="1" l="1"/>
  <c r="M376" i="1" l="1" a="1"/>
  <c r="M376" i="1" s="1"/>
  <c r="Q376" i="1" s="1" a="1"/>
  <c r="Q376" i="1" s="1"/>
  <c r="P377" i="1" s="1"/>
  <c r="S376" i="1" l="1" a="1"/>
  <c r="S376" i="1" s="1"/>
  <c r="V376" i="1" s="1"/>
  <c r="R377" i="1" l="1" a="1"/>
  <c r="R377" i="1" s="1"/>
  <c r="T377" i="1" s="1"/>
  <c r="N377" i="1" l="1" a="1"/>
  <c r="N377" i="1" s="1"/>
  <c r="O377" i="1" a="1"/>
  <c r="O377" i="1" s="1"/>
  <c r="L377" i="1" a="1"/>
  <c r="L377" i="1" l="1"/>
  <c r="M377" i="1" l="1" a="1"/>
  <c r="M377" i="1" s="1"/>
  <c r="Q377" i="1" s="1" a="1"/>
  <c r="Q377" i="1" s="1"/>
  <c r="P378" i="1" s="1"/>
  <c r="S377" i="1" l="1" a="1"/>
  <c r="S377" i="1" s="1"/>
  <c r="V377" i="1" s="1"/>
  <c r="R378" i="1" l="1" a="1"/>
  <c r="R378" i="1" s="1"/>
  <c r="T378" i="1" s="1"/>
  <c r="N378" i="1" l="1" a="1"/>
  <c r="N378" i="1" s="1"/>
  <c r="O378" i="1" a="1"/>
  <c r="O378" i="1" s="1"/>
  <c r="L378" i="1" a="1"/>
  <c r="L378" i="1" l="1"/>
  <c r="M378" i="1" l="1" a="1"/>
  <c r="M378" i="1" s="1"/>
  <c r="Q378" i="1" s="1" a="1"/>
  <c r="Q378" i="1" s="1"/>
  <c r="P379" i="1" s="1"/>
  <c r="S378" i="1" l="1" a="1"/>
  <c r="S378" i="1" s="1"/>
  <c r="V378" i="1" s="1"/>
  <c r="R379" i="1" l="1" a="1"/>
  <c r="R379" i="1" s="1"/>
  <c r="T379" i="1" s="1"/>
  <c r="O379" i="1" l="1" a="1"/>
  <c r="O379" i="1" s="1"/>
  <c r="N379" i="1" a="1"/>
  <c r="N379" i="1" s="1"/>
  <c r="L379" i="1" a="1"/>
  <c r="L379" i="1" l="1"/>
  <c r="M379" i="1" l="1" a="1"/>
  <c r="M379" i="1" s="1"/>
  <c r="Q379" i="1" s="1" a="1"/>
  <c r="Q379" i="1" s="1"/>
  <c r="P380" i="1" s="1"/>
  <c r="S379" i="1" l="1" a="1"/>
  <c r="S379" i="1" s="1"/>
  <c r="V379" i="1" s="1"/>
  <c r="R380" i="1" l="1" a="1"/>
  <c r="R380" i="1" s="1"/>
  <c r="T380" i="1" s="1"/>
  <c r="O380" i="1" l="1" a="1"/>
  <c r="O380" i="1" s="1"/>
  <c r="N380" i="1" a="1"/>
  <c r="N380" i="1" s="1"/>
  <c r="L380" i="1" a="1"/>
  <c r="L380" i="1" l="1"/>
  <c r="M380" i="1" l="1" a="1"/>
  <c r="M380" i="1" s="1"/>
  <c r="Q380" i="1" s="1" a="1"/>
  <c r="Q380" i="1" s="1"/>
  <c r="P381" i="1" s="1"/>
  <c r="S380" i="1" l="1" a="1"/>
  <c r="S380" i="1" s="1"/>
  <c r="V380" i="1" s="1"/>
  <c r="R381" i="1" l="1" a="1"/>
  <c r="R381" i="1" s="1"/>
  <c r="T381" i="1" s="1"/>
  <c r="N381" i="1" l="1" a="1"/>
  <c r="N381" i="1" s="1"/>
  <c r="O381" i="1" a="1"/>
  <c r="O381" i="1" s="1"/>
  <c r="L381" i="1" a="1"/>
  <c r="L381" i="1" l="1"/>
  <c r="M381" i="1" l="1" a="1"/>
  <c r="M381" i="1" s="1"/>
  <c r="Q381" i="1" s="1" a="1"/>
  <c r="Q381" i="1" s="1"/>
  <c r="P382" i="1" s="1"/>
  <c r="S381" i="1" l="1" a="1"/>
  <c r="S381" i="1" s="1"/>
  <c r="V381" i="1" s="1"/>
  <c r="R382" i="1" l="1" a="1"/>
  <c r="R382" i="1" s="1"/>
  <c r="T382" i="1" s="1"/>
  <c r="N382" i="1" l="1" a="1"/>
  <c r="N382" i="1" s="1"/>
  <c r="O382" i="1" a="1"/>
  <c r="O382" i="1" s="1"/>
  <c r="L382" i="1" a="1"/>
  <c r="L382" i="1" l="1"/>
  <c r="M382" i="1" l="1" a="1"/>
  <c r="M382" i="1" s="1"/>
  <c r="Q382" i="1" s="1" a="1"/>
  <c r="Q382" i="1" s="1"/>
  <c r="P383" i="1" s="1"/>
  <c r="S382" i="1" l="1" a="1"/>
  <c r="S382" i="1" s="1"/>
  <c r="V382" i="1" s="1"/>
  <c r="R383" i="1" l="1" a="1"/>
  <c r="R383" i="1" s="1"/>
  <c r="T383" i="1" s="1"/>
  <c r="N383" i="1" l="1" a="1"/>
  <c r="N383" i="1" s="1"/>
  <c r="O383" i="1" a="1"/>
  <c r="O383" i="1" s="1"/>
  <c r="L383" i="1" a="1"/>
  <c r="L383" i="1" l="1"/>
  <c r="M383" i="1" l="1" a="1"/>
  <c r="M383" i="1" s="1"/>
  <c r="Q383" i="1" s="1" a="1"/>
  <c r="Q383" i="1" s="1"/>
  <c r="P384" i="1" s="1"/>
  <c r="S383" i="1" l="1" a="1"/>
  <c r="S383" i="1" s="1"/>
  <c r="V383" i="1" s="1"/>
  <c r="R384" i="1" l="1" a="1"/>
  <c r="R384" i="1" s="1"/>
  <c r="T384" i="1" s="1"/>
  <c r="O384" i="1" l="1" a="1"/>
  <c r="O384" i="1" s="1"/>
  <c r="N384" i="1" a="1"/>
  <c r="N384" i="1" s="1"/>
  <c r="L384" i="1" a="1"/>
  <c r="L384" i="1" l="1"/>
  <c r="M384" i="1" l="1" a="1"/>
  <c r="M384" i="1" s="1"/>
  <c r="Q384" i="1" s="1" a="1"/>
  <c r="Q384" i="1" s="1"/>
  <c r="P385" i="1" s="1"/>
  <c r="S384" i="1" l="1" a="1"/>
  <c r="S384" i="1" s="1"/>
  <c r="V384" i="1" s="1"/>
  <c r="R385" i="1" l="1" a="1"/>
  <c r="R385" i="1" s="1"/>
  <c r="T385" i="1" s="1"/>
  <c r="N385" i="1" l="1" a="1"/>
  <c r="N385" i="1" s="1"/>
  <c r="O385" i="1" a="1"/>
  <c r="O385" i="1" s="1"/>
  <c r="L385" i="1" a="1"/>
  <c r="L385" i="1" l="1"/>
  <c r="M385" i="1" l="1" a="1"/>
  <c r="M385" i="1" s="1"/>
  <c r="Q385" i="1" s="1" a="1"/>
  <c r="Q385" i="1" s="1"/>
  <c r="P386" i="1" s="1"/>
  <c r="S385" i="1" l="1" a="1"/>
  <c r="S385" i="1" s="1"/>
  <c r="V385" i="1" s="1"/>
  <c r="R386" i="1" l="1" a="1"/>
  <c r="R386" i="1" s="1"/>
  <c r="T386" i="1" s="1"/>
  <c r="O386" i="1" l="1" a="1"/>
  <c r="O386" i="1" s="1"/>
  <c r="N386" i="1" a="1"/>
  <c r="N386" i="1" s="1"/>
  <c r="L386" i="1" a="1"/>
  <c r="L386" i="1" l="1"/>
  <c r="M386" i="1" l="1" a="1"/>
  <c r="M386" i="1" s="1"/>
  <c r="Q386" i="1" s="1" a="1"/>
  <c r="Q386" i="1" s="1"/>
  <c r="P387" i="1" s="1"/>
  <c r="S386" i="1" l="1" a="1"/>
  <c r="S386" i="1" s="1"/>
  <c r="V386" i="1" s="1"/>
  <c r="R387" i="1" l="1" a="1"/>
  <c r="R387" i="1" s="1"/>
  <c r="T387" i="1" s="1"/>
  <c r="N387" i="1" l="1" a="1"/>
  <c r="N387" i="1" s="1"/>
  <c r="O387" i="1" a="1"/>
  <c r="O387" i="1" s="1"/>
  <c r="L387" i="1" a="1"/>
  <c r="L387" i="1" l="1"/>
  <c r="M387" i="1" l="1" a="1"/>
  <c r="M387" i="1" s="1"/>
  <c r="Q387" i="1" s="1" a="1"/>
  <c r="Q387" i="1" s="1"/>
  <c r="P388" i="1" s="1"/>
  <c r="S387" i="1" l="1" a="1"/>
  <c r="S387" i="1" s="1"/>
  <c r="V387" i="1" s="1"/>
  <c r="R388" i="1" l="1" a="1"/>
  <c r="R388" i="1" s="1"/>
  <c r="T388" i="1" s="1"/>
  <c r="N388" i="1" l="1" a="1"/>
  <c r="N388" i="1" s="1"/>
  <c r="O388" i="1" a="1"/>
  <c r="O388" i="1" s="1"/>
  <c r="L388" i="1" a="1"/>
  <c r="L388" i="1" l="1"/>
  <c r="M388" i="1" l="1" a="1"/>
  <c r="M388" i="1" s="1"/>
  <c r="Q388" i="1" s="1" a="1"/>
  <c r="Q388" i="1" s="1"/>
  <c r="P389" i="1" s="1"/>
  <c r="S388" i="1" l="1" a="1"/>
  <c r="S388" i="1" s="1"/>
  <c r="V388" i="1" s="1"/>
  <c r="R389" i="1" l="1" a="1"/>
  <c r="R389" i="1" s="1"/>
  <c r="T389" i="1" s="1"/>
  <c r="N389" i="1" l="1" a="1"/>
  <c r="N389" i="1" s="1"/>
  <c r="O389" i="1" a="1"/>
  <c r="O389" i="1" s="1"/>
  <c r="L389" i="1" a="1"/>
  <c r="L389" i="1" l="1"/>
  <c r="M389" i="1" l="1" a="1"/>
  <c r="M389" i="1" s="1"/>
  <c r="Q389" i="1" s="1" a="1"/>
  <c r="Q389" i="1" s="1"/>
  <c r="P390" i="1" s="1"/>
  <c r="S389" i="1" l="1" a="1"/>
  <c r="S389" i="1" s="1"/>
  <c r="V389" i="1" s="1"/>
  <c r="R390" i="1" l="1" a="1"/>
  <c r="R390" i="1" s="1"/>
  <c r="T390" i="1" s="1"/>
  <c r="O390" i="1" l="1" a="1"/>
  <c r="O390" i="1" s="1"/>
  <c r="N390" i="1" a="1"/>
  <c r="N390" i="1" s="1"/>
  <c r="L390" i="1" a="1"/>
  <c r="L390" i="1" l="1"/>
  <c r="M390" i="1" l="1" a="1"/>
  <c r="M390" i="1" s="1"/>
  <c r="Q390" i="1" s="1" a="1"/>
  <c r="Q390" i="1" s="1"/>
  <c r="P391" i="1" s="1"/>
  <c r="S390" i="1" l="1" a="1"/>
  <c r="S390" i="1" s="1"/>
  <c r="V390" i="1" s="1"/>
  <c r="R391" i="1" l="1" a="1"/>
  <c r="R391" i="1" s="1"/>
  <c r="T391" i="1" s="1"/>
  <c r="N391" i="1" l="1" a="1"/>
  <c r="N391" i="1" s="1"/>
  <c r="O391" i="1" a="1"/>
  <c r="O391" i="1" s="1"/>
  <c r="L391" i="1" a="1"/>
  <c r="L391" i="1" l="1"/>
  <c r="M391" i="1" l="1" a="1"/>
  <c r="M391" i="1" s="1"/>
  <c r="Q391" i="1" s="1" a="1"/>
  <c r="Q391" i="1" s="1"/>
  <c r="P392" i="1" s="1"/>
  <c r="S391" i="1" l="1" a="1"/>
  <c r="S391" i="1" s="1"/>
  <c r="V391" i="1" s="1"/>
  <c r="R392" i="1" l="1" a="1"/>
  <c r="R392" i="1" s="1"/>
  <c r="T392" i="1" s="1"/>
  <c r="N392" i="1" l="1" a="1"/>
  <c r="N392" i="1" s="1"/>
  <c r="O392" i="1" a="1"/>
  <c r="O392" i="1" s="1"/>
  <c r="L392" i="1" a="1"/>
  <c r="L392" i="1" l="1"/>
  <c r="M392" i="1" l="1" a="1"/>
  <c r="M392" i="1" s="1"/>
  <c r="Q392" i="1" s="1" a="1"/>
  <c r="Q392" i="1" s="1"/>
  <c r="P393" i="1" s="1"/>
  <c r="S392" i="1" l="1" a="1"/>
  <c r="S392" i="1" s="1"/>
  <c r="V392" i="1" s="1"/>
  <c r="R393" i="1" l="1" a="1"/>
  <c r="R393" i="1" s="1"/>
  <c r="T393" i="1" s="1"/>
  <c r="N393" i="1" l="1" a="1"/>
  <c r="N393" i="1" s="1"/>
  <c r="O393" i="1" a="1"/>
  <c r="O393" i="1" s="1"/>
  <c r="L393" i="1" a="1"/>
  <c r="L393" i="1" l="1"/>
  <c r="M393" i="1" l="1" a="1"/>
  <c r="M393" i="1" s="1"/>
  <c r="Q393" i="1" s="1" a="1"/>
  <c r="Q393" i="1" s="1"/>
  <c r="P394" i="1" s="1"/>
  <c r="S393" i="1" l="1" a="1"/>
  <c r="S393" i="1" s="1"/>
  <c r="V393" i="1" s="1"/>
  <c r="R394" i="1" l="1" a="1"/>
  <c r="R394" i="1" s="1"/>
  <c r="T394" i="1" s="1"/>
  <c r="O394" i="1" l="1" a="1"/>
  <c r="O394" i="1" s="1"/>
  <c r="N394" i="1" a="1"/>
  <c r="N394" i="1" s="1"/>
  <c r="L394" i="1" a="1"/>
  <c r="L394" i="1" l="1"/>
  <c r="M394" i="1" l="1" a="1"/>
  <c r="M394" i="1" s="1"/>
  <c r="Q394" i="1" s="1" a="1"/>
  <c r="Q394" i="1" s="1"/>
  <c r="P395" i="1" s="1"/>
  <c r="S394" i="1" l="1" a="1"/>
  <c r="S394" i="1" s="1"/>
  <c r="V394" i="1" s="1"/>
  <c r="R395" i="1" l="1" a="1"/>
  <c r="R395" i="1" s="1"/>
  <c r="T395" i="1" s="1"/>
  <c r="N395" i="1" l="1" a="1"/>
  <c r="N395" i="1" s="1"/>
  <c r="O395" i="1" a="1"/>
  <c r="O395" i="1" s="1"/>
  <c r="L395" i="1" a="1"/>
  <c r="L395" i="1" l="1"/>
  <c r="M395" i="1" l="1" a="1"/>
  <c r="M395" i="1" s="1"/>
  <c r="Q395" i="1" s="1" a="1"/>
  <c r="Q395" i="1" s="1"/>
  <c r="P396" i="1" s="1"/>
  <c r="S395" i="1" l="1" a="1"/>
  <c r="S395" i="1" s="1"/>
  <c r="V395" i="1" s="1"/>
  <c r="R396" i="1" l="1" a="1"/>
  <c r="R396" i="1" s="1"/>
  <c r="T396" i="1" s="1"/>
  <c r="N396" i="1" l="1" a="1"/>
  <c r="N396" i="1" s="1"/>
  <c r="O396" i="1" a="1"/>
  <c r="O396" i="1" s="1"/>
  <c r="L396" i="1" a="1"/>
  <c r="L396" i="1" l="1"/>
  <c r="M396" i="1" l="1" a="1"/>
  <c r="M396" i="1" s="1"/>
  <c r="Q396" i="1" s="1" a="1"/>
  <c r="Q396" i="1" s="1"/>
  <c r="P397" i="1" s="1"/>
  <c r="S396" i="1" l="1" a="1"/>
  <c r="S396" i="1" s="1"/>
  <c r="V396" i="1" s="1"/>
  <c r="R397" i="1" l="1" a="1"/>
  <c r="R397" i="1" s="1"/>
  <c r="T397" i="1" s="1"/>
  <c r="N397" i="1" l="1" a="1"/>
  <c r="N397" i="1" s="1"/>
  <c r="O397" i="1" a="1"/>
  <c r="O397" i="1" s="1"/>
  <c r="L397" i="1" a="1"/>
  <c r="L397" i="1" l="1"/>
  <c r="M397" i="1" l="1" a="1"/>
  <c r="M397" i="1" s="1"/>
  <c r="Q397" i="1" s="1" a="1"/>
  <c r="Q397" i="1" s="1"/>
  <c r="P398" i="1" s="1"/>
  <c r="S397" i="1" l="1" a="1"/>
  <c r="S397" i="1" s="1"/>
  <c r="V397" i="1" s="1"/>
  <c r="R398" i="1" l="1" a="1"/>
  <c r="R398" i="1" s="1"/>
  <c r="T398" i="1" s="1"/>
  <c r="O398" i="1" l="1" a="1"/>
  <c r="O398" i="1" s="1"/>
  <c r="N398" i="1" a="1"/>
  <c r="N398" i="1" s="1"/>
  <c r="L398" i="1" a="1"/>
  <c r="L398" i="1" l="1"/>
  <c r="M398" i="1" l="1" a="1"/>
  <c r="M398" i="1" s="1"/>
  <c r="Q398" i="1" s="1" a="1"/>
  <c r="Q398" i="1" s="1"/>
  <c r="P399" i="1" s="1"/>
  <c r="S398" i="1" l="1" a="1"/>
  <c r="S398" i="1" s="1"/>
  <c r="V398" i="1" s="1"/>
  <c r="R399" i="1" l="1" a="1"/>
  <c r="R399" i="1" s="1"/>
  <c r="T399" i="1" s="1"/>
  <c r="N399" i="1" l="1" a="1"/>
  <c r="N399" i="1" s="1"/>
  <c r="O399" i="1" a="1"/>
  <c r="O399" i="1" s="1"/>
  <c r="L399" i="1" a="1"/>
  <c r="L399" i="1" l="1"/>
  <c r="M399" i="1" l="1" a="1"/>
  <c r="M399" i="1" s="1"/>
  <c r="Q399" i="1" s="1" a="1"/>
  <c r="Q399" i="1" s="1"/>
  <c r="P400" i="1" s="1"/>
  <c r="S399" i="1" l="1" a="1"/>
  <c r="S399" i="1" s="1"/>
  <c r="V399" i="1" s="1"/>
  <c r="R400" i="1" l="1" a="1"/>
  <c r="R400" i="1" s="1"/>
  <c r="T400" i="1" s="1"/>
  <c r="N400" i="1" l="1" a="1"/>
  <c r="N400" i="1" s="1"/>
  <c r="O400" i="1" a="1"/>
  <c r="O400" i="1" s="1"/>
  <c r="L400" i="1" a="1"/>
  <c r="L400" i="1" l="1"/>
  <c r="M400" i="1" l="1" a="1"/>
  <c r="M400" i="1" s="1"/>
  <c r="Q400" i="1" s="1" a="1"/>
  <c r="Q400" i="1" s="1"/>
  <c r="P401" i="1" s="1"/>
  <c r="S400" i="1" l="1" a="1"/>
  <c r="S400" i="1" s="1"/>
  <c r="V400" i="1" s="1"/>
  <c r="R401" i="1" l="1" a="1"/>
  <c r="R401" i="1" s="1"/>
  <c r="T401" i="1" s="1"/>
  <c r="N401" i="1" l="1" a="1"/>
  <c r="N401" i="1" s="1"/>
  <c r="O401" i="1" a="1"/>
  <c r="O401" i="1" s="1"/>
  <c r="L401" i="1" a="1"/>
  <c r="L401" i="1" l="1"/>
  <c r="M401" i="1" l="1" a="1"/>
  <c r="M401" i="1" s="1"/>
  <c r="Q401" i="1" s="1" a="1"/>
  <c r="Q401" i="1" s="1"/>
  <c r="P402" i="1" s="1"/>
  <c r="S401" i="1" l="1" a="1"/>
  <c r="S401" i="1" s="1"/>
  <c r="V401" i="1" s="1"/>
  <c r="R402" i="1" l="1" a="1"/>
  <c r="R402" i="1" s="1"/>
  <c r="T402" i="1" s="1"/>
  <c r="N402" i="1" l="1" a="1"/>
  <c r="N402" i="1" s="1"/>
  <c r="O402" i="1" a="1"/>
  <c r="O402" i="1" s="1"/>
  <c r="L402" i="1" a="1"/>
  <c r="L402" i="1" l="1"/>
  <c r="M402" i="1" l="1" a="1"/>
  <c r="M402" i="1" s="1"/>
  <c r="Q402" i="1" s="1" a="1"/>
  <c r="Q402" i="1" s="1"/>
  <c r="P403" i="1" s="1"/>
  <c r="S402" i="1" l="1" a="1"/>
  <c r="S402" i="1" s="1"/>
  <c r="V402" i="1" s="1"/>
  <c r="R403" i="1" l="1" a="1"/>
  <c r="R403" i="1" s="1"/>
  <c r="T403" i="1" s="1"/>
  <c r="O403" i="1" l="1" a="1"/>
  <c r="O403" i="1" s="1"/>
  <c r="N403" i="1" a="1"/>
  <c r="N403" i="1" s="1"/>
  <c r="L403" i="1" a="1"/>
  <c r="L403" i="1" l="1"/>
  <c r="M403" i="1" l="1" a="1"/>
  <c r="M403" i="1" s="1"/>
  <c r="Q403" i="1" s="1" a="1"/>
  <c r="Q403" i="1" s="1"/>
  <c r="P404" i="1" s="1"/>
  <c r="S403" i="1" l="1" a="1"/>
  <c r="S403" i="1" s="1"/>
  <c r="V403" i="1" s="1"/>
  <c r="R404" i="1" l="1" a="1"/>
  <c r="R404" i="1" s="1"/>
  <c r="T404" i="1" s="1"/>
  <c r="N404" i="1" l="1" a="1"/>
  <c r="N404" i="1" s="1"/>
  <c r="O404" i="1" a="1"/>
  <c r="O404" i="1" s="1"/>
  <c r="L404" i="1" a="1"/>
  <c r="L404" i="1" l="1"/>
  <c r="M404" i="1" l="1" a="1"/>
  <c r="M404" i="1" s="1"/>
  <c r="Q404" i="1" s="1" a="1"/>
  <c r="Q404" i="1" s="1"/>
  <c r="P405" i="1" s="1"/>
  <c r="S404" i="1" l="1" a="1"/>
  <c r="S404" i="1" s="1"/>
  <c r="V404" i="1" s="1"/>
  <c r="R405" i="1" l="1" a="1"/>
  <c r="R405" i="1" s="1"/>
  <c r="T405" i="1" s="1"/>
  <c r="O405" i="1" l="1" a="1"/>
  <c r="O405" i="1" s="1"/>
  <c r="N405" i="1" a="1"/>
  <c r="N405" i="1" s="1"/>
  <c r="L405" i="1" a="1"/>
  <c r="L405" i="1" l="1"/>
  <c r="M405" i="1" l="1" a="1"/>
  <c r="M405" i="1" s="1"/>
  <c r="Q405" i="1" s="1" a="1"/>
  <c r="Q405" i="1" s="1"/>
  <c r="P406" i="1" s="1"/>
  <c r="S405" i="1" l="1" a="1"/>
  <c r="S405" i="1" s="1"/>
  <c r="V405" i="1" s="1"/>
  <c r="R406" i="1" l="1" a="1"/>
  <c r="R406" i="1" s="1"/>
  <c r="T406" i="1" s="1"/>
  <c r="N406" i="1" l="1" a="1"/>
  <c r="N406" i="1" s="1"/>
  <c r="O406" i="1" a="1"/>
  <c r="O406" i="1" s="1"/>
  <c r="L406" i="1" a="1"/>
  <c r="L406" i="1" l="1"/>
  <c r="M406" i="1" l="1" a="1"/>
  <c r="M406" i="1" s="1"/>
  <c r="Q406" i="1" s="1" a="1"/>
  <c r="Q406" i="1" s="1"/>
  <c r="P407" i="1" s="1"/>
  <c r="S406" i="1" l="1" a="1"/>
  <c r="S406" i="1" s="1"/>
  <c r="V406" i="1" s="1"/>
  <c r="R407" i="1" l="1" a="1"/>
  <c r="R407" i="1" s="1"/>
  <c r="T407" i="1" s="1"/>
  <c r="O407" i="1" l="1" a="1"/>
  <c r="O407" i="1" s="1"/>
  <c r="N407" i="1" a="1"/>
  <c r="N407" i="1" s="1"/>
  <c r="L407" i="1" a="1"/>
  <c r="L407" i="1" l="1"/>
  <c r="M407" i="1" l="1" a="1"/>
  <c r="M407" i="1" s="1"/>
  <c r="Q407" i="1" s="1" a="1"/>
  <c r="Q407" i="1" s="1"/>
  <c r="P408" i="1" s="1"/>
  <c r="S407" i="1" l="1" a="1"/>
  <c r="S407" i="1" s="1"/>
  <c r="V407" i="1" s="1"/>
  <c r="R408" i="1" l="1" a="1"/>
  <c r="R408" i="1" s="1"/>
  <c r="T408" i="1" s="1"/>
  <c r="N408" i="1" l="1" a="1"/>
  <c r="N408" i="1" s="1"/>
  <c r="O408" i="1" a="1"/>
  <c r="O408" i="1" s="1"/>
  <c r="L408" i="1" a="1"/>
  <c r="L408" i="1" l="1"/>
  <c r="M408" i="1" l="1" a="1"/>
  <c r="M408" i="1" s="1"/>
  <c r="Q408" i="1" s="1" a="1"/>
  <c r="Q408" i="1" s="1"/>
  <c r="P409" i="1" s="1"/>
  <c r="S408" i="1" l="1" a="1"/>
  <c r="S408" i="1" s="1"/>
  <c r="V408" i="1" s="1"/>
  <c r="R409" i="1" l="1" a="1"/>
  <c r="R409" i="1" s="1"/>
  <c r="T409" i="1" s="1"/>
  <c r="O409" i="1" l="1" a="1"/>
  <c r="O409" i="1" s="1"/>
  <c r="N409" i="1" a="1"/>
  <c r="N409" i="1" s="1"/>
  <c r="L409" i="1" a="1"/>
  <c r="L409" i="1" l="1"/>
  <c r="M409" i="1" l="1" a="1"/>
  <c r="M409" i="1" s="1"/>
  <c r="Q409" i="1" s="1" a="1"/>
  <c r="Q409" i="1" s="1"/>
  <c r="P410" i="1" s="1"/>
  <c r="S409" i="1" l="1" a="1"/>
  <c r="S409" i="1" s="1"/>
  <c r="V409" i="1" s="1"/>
  <c r="R410" i="1" l="1" a="1"/>
  <c r="R410" i="1" s="1"/>
  <c r="T410" i="1" s="1"/>
  <c r="N410" i="1" l="1" a="1"/>
  <c r="N410" i="1" s="1"/>
  <c r="O410" i="1" a="1"/>
  <c r="O410" i="1" s="1"/>
  <c r="L410" i="1" a="1"/>
  <c r="L410" i="1" l="1"/>
  <c r="M410" i="1" l="1" a="1"/>
  <c r="M410" i="1" s="1"/>
  <c r="Q410" i="1" s="1" a="1"/>
  <c r="Q410" i="1" s="1"/>
  <c r="P411" i="1" s="1"/>
  <c r="S410" i="1" l="1" a="1"/>
  <c r="S410" i="1" s="1"/>
  <c r="V410" i="1" s="1"/>
  <c r="R411" i="1" l="1" a="1"/>
  <c r="R411" i="1" s="1"/>
  <c r="T411" i="1" s="1"/>
  <c r="O411" i="1" l="1" a="1"/>
  <c r="O411" i="1" s="1"/>
  <c r="N411" i="1" a="1"/>
  <c r="N411" i="1" s="1"/>
  <c r="L411" i="1" a="1"/>
  <c r="L411" i="1" l="1"/>
  <c r="M411" i="1" l="1" a="1"/>
  <c r="M411" i="1" s="1"/>
  <c r="Q411" i="1" s="1" a="1"/>
  <c r="Q411" i="1" s="1"/>
  <c r="P412" i="1" s="1"/>
  <c r="S411" i="1" l="1" a="1"/>
  <c r="S411" i="1" s="1"/>
  <c r="V411" i="1" s="1"/>
  <c r="R412" i="1" l="1" a="1"/>
  <c r="R412" i="1" s="1"/>
  <c r="T412" i="1" s="1"/>
  <c r="N412" i="1" l="1" a="1"/>
  <c r="N412" i="1" s="1"/>
  <c r="O412" i="1" a="1"/>
  <c r="O412" i="1" s="1"/>
  <c r="L412" i="1" a="1"/>
  <c r="L412" i="1" l="1"/>
  <c r="M412" i="1" l="1" a="1"/>
  <c r="M412" i="1" s="1"/>
  <c r="Q412" i="1" s="1" a="1"/>
  <c r="Q412" i="1" s="1"/>
  <c r="P413" i="1" s="1"/>
  <c r="S412" i="1" l="1" a="1"/>
  <c r="S412" i="1" s="1"/>
  <c r="V412" i="1" s="1"/>
  <c r="R413" i="1" l="1" a="1"/>
  <c r="R413" i="1" s="1"/>
  <c r="T413" i="1" s="1"/>
  <c r="N413" i="1" l="1" a="1"/>
  <c r="N413" i="1" s="1"/>
  <c r="O413" i="1" a="1"/>
  <c r="O413" i="1" s="1"/>
  <c r="L413" i="1" a="1"/>
  <c r="L413" i="1" l="1"/>
  <c r="M413" i="1" l="1" a="1"/>
  <c r="M413" i="1" s="1"/>
  <c r="Q413" i="1" s="1" a="1"/>
  <c r="Q413" i="1" s="1"/>
  <c r="P414" i="1" s="1"/>
  <c r="S413" i="1" l="1" a="1"/>
  <c r="S413" i="1" s="1"/>
  <c r="V413" i="1" s="1"/>
  <c r="R414" i="1" l="1" a="1"/>
  <c r="R414" i="1" s="1"/>
  <c r="T414" i="1" s="1"/>
  <c r="N414" i="1" l="1" a="1"/>
  <c r="N414" i="1" s="1"/>
  <c r="O414" i="1" a="1"/>
  <c r="O414" i="1" s="1"/>
  <c r="L414" i="1" a="1"/>
  <c r="L414" i="1" l="1"/>
  <c r="M414" i="1" l="1" a="1"/>
  <c r="M414" i="1" s="1"/>
  <c r="Q414" i="1" s="1" a="1"/>
  <c r="Q414" i="1" s="1"/>
  <c r="P415" i="1" s="1"/>
  <c r="S414" i="1" l="1" a="1"/>
  <c r="S414" i="1" s="1"/>
  <c r="V414" i="1" s="1"/>
  <c r="R415" i="1" l="1" a="1"/>
  <c r="R415" i="1" s="1"/>
  <c r="T415" i="1" s="1"/>
  <c r="O415" i="1" l="1" a="1"/>
  <c r="O415" i="1" s="1"/>
  <c r="N415" i="1" a="1"/>
  <c r="N415" i="1" s="1"/>
  <c r="L415" i="1" a="1"/>
  <c r="L415" i="1" l="1"/>
  <c r="M415" i="1" l="1" a="1"/>
  <c r="M415" i="1" s="1"/>
  <c r="Q415" i="1" s="1" a="1"/>
  <c r="Q415" i="1" s="1"/>
  <c r="P416" i="1" s="1"/>
  <c r="S415" i="1" l="1" a="1"/>
  <c r="S415" i="1" s="1"/>
  <c r="V415" i="1" s="1"/>
  <c r="R416" i="1" l="1" a="1"/>
  <c r="R416" i="1" s="1"/>
  <c r="T416" i="1" s="1"/>
  <c r="O416" i="1" l="1" a="1"/>
  <c r="O416" i="1" s="1"/>
  <c r="N416" i="1" a="1"/>
  <c r="N416" i="1" s="1"/>
  <c r="L416" i="1" a="1"/>
  <c r="L416" i="1" l="1"/>
  <c r="M416" i="1" l="1" a="1"/>
  <c r="M416" i="1" s="1"/>
  <c r="Q416" i="1" s="1" a="1"/>
  <c r="Q416" i="1" s="1"/>
  <c r="P417" i="1" s="1"/>
  <c r="S416" i="1" l="1" a="1"/>
  <c r="S416" i="1" s="1"/>
  <c r="V416" i="1" s="1"/>
  <c r="R417" i="1" l="1" a="1"/>
  <c r="R417" i="1" s="1"/>
  <c r="T417" i="1" s="1"/>
  <c r="O417" i="1" l="1" a="1"/>
  <c r="O417" i="1" s="1"/>
  <c r="N417" i="1" a="1"/>
  <c r="N417" i="1" s="1"/>
  <c r="L417" i="1" a="1"/>
  <c r="L417" i="1" l="1"/>
  <c r="M417" i="1" l="1" a="1"/>
  <c r="M417" i="1" s="1"/>
  <c r="Q417" i="1" s="1" a="1"/>
  <c r="Q417" i="1" s="1"/>
  <c r="P418" i="1" s="1"/>
  <c r="S417" i="1" l="1" a="1"/>
  <c r="S417" i="1" s="1"/>
  <c r="V417" i="1" s="1"/>
  <c r="R418" i="1" l="1" a="1"/>
  <c r="R418" i="1" s="1"/>
  <c r="T418" i="1" s="1"/>
  <c r="O418" i="1" l="1" a="1"/>
  <c r="O418" i="1" s="1"/>
  <c r="N418" i="1" a="1"/>
  <c r="N418" i="1" s="1"/>
  <c r="L418" i="1" a="1"/>
  <c r="L418" i="1" l="1"/>
  <c r="M418" i="1" l="1" a="1"/>
  <c r="M418" i="1" s="1"/>
  <c r="Q418" i="1" s="1" a="1"/>
  <c r="Q418" i="1" s="1"/>
  <c r="P419" i="1" s="1"/>
  <c r="S418" i="1" l="1" a="1"/>
  <c r="S418" i="1" s="1"/>
  <c r="V418" i="1" s="1"/>
  <c r="R419" i="1" l="1" a="1"/>
  <c r="R419" i="1" s="1"/>
  <c r="T419" i="1" s="1"/>
  <c r="N419" i="1" l="1" a="1"/>
  <c r="N419" i="1" s="1"/>
  <c r="O419" i="1" a="1"/>
  <c r="O419" i="1" s="1"/>
  <c r="L419" i="1" a="1"/>
  <c r="L419" i="1" l="1"/>
  <c r="M419" i="1" l="1" a="1"/>
  <c r="M419" i="1" s="1"/>
  <c r="Q419" i="1" s="1" a="1"/>
  <c r="Q419" i="1" s="1"/>
  <c r="P420" i="1" s="1"/>
  <c r="S419" i="1" l="1" a="1"/>
  <c r="S419" i="1" s="1"/>
  <c r="V419" i="1" s="1"/>
  <c r="R420" i="1" l="1" a="1"/>
  <c r="R420" i="1" s="1"/>
  <c r="T420" i="1" s="1"/>
  <c r="N420" i="1" l="1" a="1"/>
  <c r="N420" i="1" s="1"/>
  <c r="O420" i="1" a="1"/>
  <c r="O420" i="1" s="1"/>
  <c r="L420" i="1" a="1"/>
  <c r="L420" i="1" l="1"/>
  <c r="M420" i="1" l="1" a="1"/>
  <c r="M420" i="1" s="1"/>
  <c r="Q420" i="1" s="1" a="1"/>
  <c r="Q420" i="1" s="1"/>
  <c r="P421" i="1" s="1"/>
  <c r="S420" i="1" l="1" a="1"/>
  <c r="S420" i="1" s="1"/>
  <c r="V420" i="1" s="1"/>
  <c r="R421" i="1" l="1" a="1"/>
  <c r="R421" i="1" s="1"/>
  <c r="T421" i="1" s="1"/>
  <c r="N421" i="1" l="1" a="1"/>
  <c r="N421" i="1" s="1"/>
  <c r="O421" i="1" a="1"/>
  <c r="O421" i="1" s="1"/>
  <c r="L421" i="1" a="1"/>
  <c r="L421" i="1" l="1"/>
  <c r="M421" i="1" l="1" a="1"/>
  <c r="M421" i="1" s="1"/>
  <c r="Q421" i="1" s="1" a="1"/>
  <c r="Q421" i="1" s="1"/>
  <c r="P422" i="1" s="1"/>
  <c r="S421" i="1" l="1" a="1"/>
  <c r="S421" i="1" s="1"/>
  <c r="V421" i="1" s="1"/>
  <c r="R422" i="1" l="1" a="1"/>
  <c r="R422" i="1" s="1"/>
  <c r="T422" i="1" s="1"/>
  <c r="N422" i="1" l="1" a="1"/>
  <c r="N422" i="1" s="1"/>
  <c r="O422" i="1" a="1"/>
  <c r="O422" i="1" s="1"/>
  <c r="L422" i="1" a="1"/>
  <c r="L422" i="1" l="1"/>
  <c r="M422" i="1" l="1" a="1"/>
  <c r="M422" i="1" s="1"/>
  <c r="Q422" i="1" s="1" a="1"/>
  <c r="Q422" i="1" s="1"/>
  <c r="P423" i="1" s="1"/>
  <c r="S422" i="1" l="1" a="1"/>
  <c r="S422" i="1" s="1"/>
  <c r="V422" i="1" s="1"/>
  <c r="R423" i="1" l="1" a="1"/>
  <c r="R423" i="1" s="1"/>
  <c r="T423" i="1" s="1"/>
  <c r="N423" i="1" l="1" a="1"/>
  <c r="N423" i="1" s="1"/>
  <c r="O423" i="1" a="1"/>
  <c r="O423" i="1" s="1"/>
  <c r="L423" i="1" a="1"/>
  <c r="L423" i="1" l="1"/>
  <c r="M423" i="1" l="1" a="1"/>
  <c r="M423" i="1" s="1"/>
  <c r="Q423" i="1" s="1" a="1"/>
  <c r="Q423" i="1" s="1"/>
  <c r="P424" i="1" s="1"/>
  <c r="S423" i="1" l="1" a="1"/>
  <c r="S423" i="1" s="1"/>
  <c r="V423" i="1" s="1"/>
  <c r="R424" i="1" l="1" a="1"/>
  <c r="R424" i="1" s="1"/>
  <c r="T424" i="1" s="1"/>
  <c r="N424" i="1" l="1" a="1"/>
  <c r="N424" i="1" s="1"/>
  <c r="O424" i="1" a="1"/>
  <c r="O424" i="1" s="1"/>
  <c r="L424" i="1" a="1"/>
  <c r="L424" i="1" l="1"/>
  <c r="M424" i="1" l="1" a="1"/>
  <c r="M424" i="1" s="1"/>
  <c r="Q424" i="1" s="1" a="1"/>
  <c r="Q424" i="1" s="1"/>
  <c r="P425" i="1" s="1"/>
  <c r="S424" i="1" l="1" a="1"/>
  <c r="S424" i="1" s="1"/>
  <c r="V424" i="1" s="1"/>
  <c r="R425" i="1" l="1" a="1"/>
  <c r="R425" i="1" s="1"/>
  <c r="T425" i="1" s="1"/>
  <c r="N425" i="1" l="1" a="1"/>
  <c r="N425" i="1" s="1"/>
  <c r="O425" i="1" a="1"/>
  <c r="O425" i="1" s="1"/>
  <c r="L425" i="1" a="1"/>
  <c r="L425" i="1" l="1"/>
  <c r="M425" i="1" l="1" a="1"/>
  <c r="M425" i="1" s="1"/>
  <c r="Q425" i="1" s="1" a="1"/>
  <c r="Q425" i="1" s="1"/>
  <c r="P426" i="1" s="1"/>
  <c r="S425" i="1" l="1" a="1"/>
  <c r="S425" i="1" s="1"/>
  <c r="V425" i="1" s="1"/>
  <c r="R426" i="1" l="1" a="1"/>
  <c r="R426" i="1" s="1"/>
  <c r="T426" i="1" s="1"/>
  <c r="O426" i="1" l="1" a="1"/>
  <c r="O426" i="1" s="1"/>
  <c r="N426" i="1" a="1"/>
  <c r="N426" i="1" s="1"/>
  <c r="L426" i="1" a="1"/>
  <c r="L426" i="1" l="1"/>
  <c r="M426" i="1" l="1" a="1"/>
  <c r="M426" i="1" s="1"/>
  <c r="Q426" i="1" s="1" a="1"/>
  <c r="Q426" i="1" s="1"/>
  <c r="P427" i="1" s="1"/>
  <c r="S426" i="1" l="1" a="1"/>
  <c r="S426" i="1" s="1"/>
  <c r="V426" i="1" s="1"/>
  <c r="R427" i="1" l="1" a="1"/>
  <c r="R427" i="1" s="1"/>
  <c r="T427" i="1" s="1"/>
  <c r="N427" i="1" l="1" a="1"/>
  <c r="N427" i="1" s="1"/>
  <c r="O427" i="1" a="1"/>
  <c r="O427" i="1" s="1"/>
  <c r="L427" i="1" a="1"/>
  <c r="L427" i="1" l="1"/>
  <c r="M427" i="1" l="1" a="1"/>
  <c r="M427" i="1" s="1"/>
  <c r="Q427" i="1" s="1" a="1"/>
  <c r="Q427" i="1" s="1"/>
  <c r="P428" i="1" s="1"/>
  <c r="S427" i="1" l="1" a="1"/>
  <c r="S427" i="1" s="1"/>
  <c r="V427" i="1" s="1"/>
  <c r="R428" i="1" l="1" a="1"/>
  <c r="R428" i="1" s="1"/>
  <c r="T428" i="1" s="1"/>
  <c r="O428" i="1" l="1" a="1"/>
  <c r="O428" i="1" s="1"/>
  <c r="N428" i="1" a="1"/>
  <c r="N428" i="1" s="1"/>
  <c r="L428" i="1" a="1"/>
  <c r="L428" i="1" l="1"/>
  <c r="M428" i="1" l="1" a="1"/>
  <c r="M428" i="1" s="1"/>
  <c r="Q428" i="1" s="1" a="1"/>
  <c r="Q428" i="1" s="1"/>
  <c r="P429" i="1" s="1"/>
  <c r="S428" i="1" l="1" a="1"/>
  <c r="S428" i="1" s="1"/>
  <c r="V428" i="1" s="1"/>
  <c r="R429" i="1" l="1" a="1"/>
  <c r="R429" i="1" s="1"/>
  <c r="T429" i="1" s="1"/>
  <c r="O429" i="1" l="1" a="1"/>
  <c r="O429" i="1" s="1"/>
  <c r="N429" i="1" a="1"/>
  <c r="N429" i="1" s="1"/>
  <c r="L429" i="1" a="1"/>
  <c r="L429" i="1" l="1"/>
  <c r="M429" i="1" l="1" a="1"/>
  <c r="M429" i="1" s="1"/>
  <c r="Q429" i="1" s="1" a="1"/>
  <c r="Q429" i="1" s="1"/>
  <c r="P430" i="1" s="1"/>
  <c r="S429" i="1" l="1" a="1"/>
  <c r="S429" i="1" s="1"/>
  <c r="V429" i="1" s="1"/>
  <c r="R430" i="1" l="1" a="1"/>
  <c r="R430" i="1" s="1"/>
  <c r="T430" i="1" s="1"/>
  <c r="O430" i="1" l="1" a="1"/>
  <c r="O430" i="1" s="1"/>
  <c r="N430" i="1" a="1"/>
  <c r="N430" i="1" s="1"/>
  <c r="L430" i="1" a="1"/>
  <c r="L430" i="1" l="1"/>
  <c r="M430" i="1" l="1" a="1"/>
  <c r="M430" i="1" s="1"/>
  <c r="Q430" i="1" s="1" a="1"/>
  <c r="Q430" i="1" s="1"/>
  <c r="P431" i="1" s="1"/>
  <c r="S430" i="1" l="1" a="1"/>
  <c r="S430" i="1" s="1"/>
  <c r="V430" i="1" s="1"/>
  <c r="R431" i="1" l="1" a="1"/>
  <c r="R431" i="1" s="1"/>
  <c r="T431" i="1" s="1"/>
  <c r="N431" i="1" l="1" a="1"/>
  <c r="N431" i="1" s="1"/>
  <c r="O431" i="1" a="1"/>
  <c r="O431" i="1" s="1"/>
  <c r="L431" i="1" a="1"/>
  <c r="L431" i="1" l="1"/>
  <c r="M431" i="1" l="1" a="1"/>
  <c r="M431" i="1" s="1"/>
  <c r="Q431" i="1" s="1" a="1"/>
  <c r="Q431" i="1" s="1"/>
  <c r="P432" i="1" s="1"/>
  <c r="S431" i="1" l="1" a="1"/>
  <c r="S431" i="1" s="1"/>
  <c r="V431" i="1" s="1"/>
  <c r="R432" i="1" l="1" a="1"/>
  <c r="R432" i="1" s="1"/>
  <c r="T432" i="1" s="1"/>
  <c r="N432" i="1" l="1" a="1"/>
  <c r="N432" i="1" s="1"/>
  <c r="O432" i="1" a="1"/>
  <c r="O432" i="1" s="1"/>
  <c r="L432" i="1" a="1"/>
  <c r="L432" i="1" l="1"/>
  <c r="M432" i="1" l="1" a="1"/>
  <c r="M432" i="1" s="1"/>
  <c r="Q432" i="1" s="1" a="1"/>
  <c r="Q432" i="1" s="1"/>
  <c r="P433" i="1" s="1"/>
  <c r="S432" i="1" l="1" a="1"/>
  <c r="S432" i="1" s="1"/>
  <c r="V432" i="1" s="1"/>
  <c r="R433" i="1" l="1" a="1"/>
  <c r="R433" i="1" s="1"/>
  <c r="T433" i="1" s="1"/>
  <c r="N433" i="1" l="1" a="1"/>
  <c r="N433" i="1" s="1"/>
  <c r="O433" i="1" a="1"/>
  <c r="O433" i="1" s="1"/>
  <c r="L433" i="1" a="1"/>
  <c r="L433" i="1" l="1"/>
  <c r="M433" i="1" l="1" a="1"/>
  <c r="M433" i="1" s="1"/>
  <c r="Q433" i="1" s="1" a="1"/>
  <c r="Q433" i="1" s="1"/>
  <c r="P434" i="1" s="1"/>
  <c r="S433" i="1" l="1" a="1"/>
  <c r="S433" i="1" s="1"/>
  <c r="V433" i="1" s="1"/>
  <c r="R434" i="1" l="1" a="1"/>
  <c r="R434" i="1" s="1"/>
  <c r="T434" i="1" s="1"/>
  <c r="O434" i="1" l="1" a="1"/>
  <c r="O434" i="1" s="1"/>
  <c r="N434" i="1" a="1"/>
  <c r="N434" i="1" s="1"/>
  <c r="L434" i="1" a="1"/>
  <c r="L434" i="1" l="1"/>
  <c r="M434" i="1" l="1" a="1"/>
  <c r="M434" i="1" s="1"/>
  <c r="Q434" i="1" s="1" a="1"/>
  <c r="Q434" i="1" s="1"/>
  <c r="P435" i="1" s="1"/>
  <c r="S434" i="1" l="1" a="1"/>
  <c r="S434" i="1" s="1"/>
  <c r="V434" i="1" s="1"/>
  <c r="R435" i="1" l="1" a="1"/>
  <c r="R435" i="1" s="1"/>
  <c r="T435" i="1" s="1"/>
  <c r="N435" i="1" l="1" a="1"/>
  <c r="N435" i="1" s="1"/>
  <c r="O435" i="1" a="1"/>
  <c r="O435" i="1" s="1"/>
  <c r="L435" i="1" a="1"/>
  <c r="L435" i="1" l="1"/>
  <c r="M435" i="1" l="1" a="1"/>
  <c r="M435" i="1" s="1"/>
  <c r="Q435" i="1" s="1" a="1"/>
  <c r="Q435" i="1" s="1"/>
  <c r="P436" i="1" s="1"/>
  <c r="S435" i="1" l="1" a="1"/>
  <c r="S435" i="1" s="1"/>
  <c r="V435" i="1" s="1"/>
  <c r="R436" i="1" l="1" a="1"/>
  <c r="R436" i="1" s="1"/>
  <c r="T436" i="1" s="1"/>
  <c r="O436" i="1" l="1" a="1"/>
  <c r="O436" i="1" s="1"/>
  <c r="N436" i="1" a="1"/>
  <c r="N436" i="1" s="1"/>
  <c r="L436" i="1" a="1"/>
  <c r="L436" i="1" l="1"/>
  <c r="M436" i="1" l="1" a="1"/>
  <c r="M436" i="1" s="1"/>
  <c r="Q436" i="1" s="1" a="1"/>
  <c r="Q436" i="1" s="1"/>
  <c r="P437" i="1" s="1"/>
  <c r="S436" i="1" l="1" a="1"/>
  <c r="S436" i="1" s="1"/>
  <c r="V436" i="1" s="1"/>
  <c r="R437" i="1" l="1" a="1"/>
  <c r="R437" i="1" s="1"/>
  <c r="T437" i="1" s="1"/>
  <c r="O437" i="1" l="1" a="1"/>
  <c r="O437" i="1" s="1"/>
  <c r="N437" i="1" a="1"/>
  <c r="N437" i="1" s="1"/>
  <c r="L437" i="1" a="1"/>
  <c r="L437" i="1" l="1"/>
  <c r="M437" i="1" l="1" a="1"/>
  <c r="M437" i="1" s="1"/>
  <c r="Q437" i="1" s="1" a="1"/>
  <c r="Q437" i="1" s="1"/>
  <c r="P438" i="1" s="1"/>
  <c r="S437" i="1" l="1" a="1"/>
  <c r="S437" i="1" s="1"/>
  <c r="V437" i="1" s="1"/>
  <c r="R438" i="1" l="1" a="1"/>
  <c r="R438" i="1" s="1"/>
  <c r="T438" i="1" s="1"/>
  <c r="O438" i="1" l="1" a="1"/>
  <c r="O438" i="1" s="1"/>
  <c r="N438" i="1" a="1"/>
  <c r="N438" i="1" s="1"/>
  <c r="L438" i="1" a="1"/>
  <c r="L438" i="1" l="1"/>
  <c r="M438" i="1" l="1" a="1"/>
  <c r="M438" i="1" s="1"/>
  <c r="Q438" i="1" s="1" a="1"/>
  <c r="Q438" i="1" s="1"/>
  <c r="P439" i="1" s="1"/>
  <c r="S438" i="1" l="1" a="1"/>
  <c r="S438" i="1" s="1"/>
  <c r="V438" i="1" s="1"/>
  <c r="R439" i="1" l="1" a="1"/>
  <c r="R439" i="1" s="1"/>
  <c r="T439" i="1" s="1"/>
  <c r="O439" i="1" l="1" a="1"/>
  <c r="O439" i="1" s="1"/>
  <c r="N439" i="1" a="1"/>
  <c r="N439" i="1" s="1"/>
  <c r="L439" i="1" a="1"/>
  <c r="L439" i="1" l="1"/>
  <c r="M439" i="1" l="1" a="1"/>
  <c r="M439" i="1" s="1"/>
  <c r="Q439" i="1" s="1" a="1"/>
  <c r="Q439" i="1" s="1"/>
  <c r="P440" i="1" s="1"/>
  <c r="S439" i="1" l="1" a="1"/>
  <c r="S439" i="1" s="1"/>
  <c r="V439" i="1" s="1"/>
  <c r="R440" i="1" l="1" a="1"/>
  <c r="R440" i="1" s="1"/>
  <c r="T440" i="1" s="1"/>
  <c r="N440" i="1" l="1" a="1"/>
  <c r="N440" i="1" s="1"/>
  <c r="O440" i="1" a="1"/>
  <c r="O440" i="1" s="1"/>
  <c r="L440" i="1" a="1"/>
  <c r="L440" i="1" l="1"/>
  <c r="M440" i="1" l="1" a="1"/>
  <c r="M440" i="1" s="1"/>
  <c r="Q440" i="1" s="1" a="1"/>
  <c r="Q440" i="1" s="1"/>
  <c r="P441" i="1" s="1"/>
  <c r="S440" i="1" l="1" a="1"/>
  <c r="S440" i="1" s="1"/>
  <c r="V440" i="1" s="1"/>
  <c r="R441" i="1" l="1" a="1"/>
  <c r="R441" i="1" s="1"/>
  <c r="T441" i="1" s="1"/>
  <c r="N441" i="1" l="1" a="1"/>
  <c r="N441" i="1" s="1"/>
  <c r="O441" i="1" a="1"/>
  <c r="O441" i="1" s="1"/>
  <c r="L441" i="1" a="1"/>
  <c r="L441" i="1" l="1"/>
  <c r="M441" i="1" l="1" a="1"/>
  <c r="M441" i="1" s="1"/>
  <c r="Q441" i="1" s="1" a="1"/>
  <c r="Q441" i="1" s="1"/>
  <c r="P442" i="1" s="1"/>
  <c r="S441" i="1" l="1" a="1"/>
  <c r="S441" i="1" s="1"/>
  <c r="V441" i="1" s="1"/>
  <c r="R442" i="1" l="1" a="1"/>
  <c r="R442" i="1" s="1"/>
  <c r="T442" i="1" s="1"/>
  <c r="N442" i="1" l="1" a="1"/>
  <c r="N442" i="1" s="1"/>
  <c r="O442" i="1" a="1"/>
  <c r="O442" i="1" s="1"/>
  <c r="L442" i="1" a="1"/>
  <c r="L442" i="1" l="1"/>
  <c r="M442" i="1" l="1" a="1"/>
  <c r="M442" i="1" s="1"/>
  <c r="Q442" i="1" s="1" a="1"/>
  <c r="Q442" i="1" s="1"/>
  <c r="P443" i="1" s="1"/>
  <c r="S442" i="1" l="1" a="1"/>
  <c r="S442" i="1" s="1"/>
  <c r="V442" i="1" s="1"/>
  <c r="R443" i="1" l="1" a="1"/>
  <c r="R443" i="1" s="1"/>
  <c r="T443" i="1" s="1"/>
  <c r="N443" i="1" l="1" a="1"/>
  <c r="N443" i="1" s="1"/>
  <c r="O443" i="1" a="1"/>
  <c r="O443" i="1" s="1"/>
  <c r="L443" i="1" a="1"/>
  <c r="L443" i="1" l="1"/>
  <c r="M443" i="1" l="1" a="1"/>
  <c r="M443" i="1" s="1"/>
  <c r="Q443" i="1" s="1" a="1"/>
  <c r="Q443" i="1" s="1"/>
  <c r="P444" i="1" s="1"/>
  <c r="S443" i="1" l="1" a="1"/>
  <c r="S443" i="1" s="1"/>
  <c r="V443" i="1" s="1"/>
  <c r="R444" i="1" l="1" a="1"/>
  <c r="R444" i="1" s="1"/>
  <c r="T444" i="1" s="1"/>
  <c r="O444" i="1" l="1" a="1"/>
  <c r="O444" i="1" s="1"/>
  <c r="N444" i="1" a="1"/>
  <c r="N444" i="1" s="1"/>
  <c r="L444" i="1" a="1"/>
  <c r="L444" i="1" l="1"/>
  <c r="M444" i="1" l="1" a="1"/>
  <c r="M444" i="1" s="1"/>
  <c r="Q444" i="1" s="1" a="1"/>
  <c r="Q444" i="1" s="1"/>
  <c r="P445" i="1" s="1"/>
  <c r="S444" i="1" l="1" a="1"/>
  <c r="S444" i="1" s="1"/>
  <c r="V444" i="1" s="1"/>
  <c r="R445" i="1" l="1" a="1"/>
  <c r="R445" i="1" s="1"/>
  <c r="T445" i="1" s="1"/>
  <c r="N445" i="1" l="1" a="1"/>
  <c r="N445" i="1" s="1"/>
  <c r="O445" i="1" a="1"/>
  <c r="O445" i="1" s="1"/>
  <c r="L445" i="1" a="1"/>
  <c r="L445" i="1" l="1"/>
  <c r="M445" i="1" l="1" a="1"/>
  <c r="M445" i="1" s="1"/>
  <c r="Q445" i="1" s="1" a="1"/>
  <c r="Q445" i="1" s="1"/>
  <c r="P446" i="1" s="1"/>
  <c r="S445" i="1" l="1" a="1"/>
  <c r="S445" i="1" s="1"/>
  <c r="V445" i="1" s="1"/>
  <c r="R446" i="1" l="1" a="1"/>
  <c r="R446" i="1" s="1"/>
  <c r="T446" i="1" s="1"/>
  <c r="N446" i="1" l="1" a="1"/>
  <c r="N446" i="1" s="1"/>
  <c r="O446" i="1" a="1"/>
  <c r="O446" i="1" s="1"/>
  <c r="L446" i="1" a="1"/>
  <c r="L446" i="1" l="1"/>
  <c r="M446" i="1" l="1" a="1"/>
  <c r="M446" i="1" s="1"/>
  <c r="Q446" i="1" s="1" a="1"/>
  <c r="Q446" i="1" s="1"/>
  <c r="P447" i="1" s="1"/>
  <c r="S446" i="1" l="1" a="1"/>
  <c r="S446" i="1" s="1"/>
  <c r="V446" i="1" s="1"/>
  <c r="R447" i="1" l="1" a="1"/>
  <c r="R447" i="1" s="1"/>
  <c r="T447" i="1" s="1"/>
  <c r="N447" i="1" l="1" a="1"/>
  <c r="N447" i="1" s="1"/>
  <c r="O447" i="1" a="1"/>
  <c r="O447" i="1" s="1"/>
  <c r="L447" i="1" a="1"/>
  <c r="L447" i="1" l="1"/>
  <c r="M447" i="1" l="1" a="1"/>
  <c r="M447" i="1" s="1"/>
  <c r="Q447" i="1" s="1" a="1"/>
  <c r="Q447" i="1" s="1"/>
  <c r="P448" i="1" s="1"/>
  <c r="S447" i="1" l="1" a="1"/>
  <c r="S447" i="1" s="1"/>
  <c r="V447" i="1" s="1"/>
  <c r="R448" i="1" l="1" a="1"/>
  <c r="R448" i="1" s="1"/>
  <c r="T448" i="1" s="1"/>
  <c r="N448" i="1" l="1" a="1"/>
  <c r="N448" i="1" s="1"/>
  <c r="O448" i="1" a="1"/>
  <c r="O448" i="1" s="1"/>
  <c r="L448" i="1" a="1"/>
  <c r="L448" i="1" l="1"/>
  <c r="M448" i="1" l="1" a="1"/>
  <c r="M448" i="1" s="1"/>
  <c r="Q448" i="1" s="1" a="1"/>
  <c r="Q448" i="1" s="1"/>
  <c r="P449" i="1" s="1"/>
  <c r="S448" i="1" l="1" a="1"/>
  <c r="S448" i="1" s="1"/>
  <c r="V448" i="1" s="1"/>
  <c r="R449" i="1" l="1" a="1"/>
  <c r="R449" i="1" s="1"/>
  <c r="T449" i="1" s="1"/>
  <c r="O449" i="1" l="1" a="1"/>
  <c r="O449" i="1" s="1"/>
  <c r="N449" i="1" a="1"/>
  <c r="N449" i="1" s="1"/>
  <c r="L449" i="1" a="1"/>
  <c r="L449" i="1" l="1"/>
  <c r="M449" i="1" l="1" a="1"/>
  <c r="M449" i="1" s="1"/>
  <c r="Q449" i="1" s="1" a="1"/>
  <c r="Q449" i="1" s="1"/>
  <c r="P450" i="1" s="1"/>
  <c r="S449" i="1" l="1" a="1"/>
  <c r="S449" i="1" s="1"/>
  <c r="V449" i="1" s="1"/>
  <c r="R450" i="1" l="1" a="1"/>
  <c r="R450" i="1" s="1"/>
  <c r="T450" i="1" s="1"/>
  <c r="N450" i="1" l="1" a="1"/>
  <c r="N450" i="1" s="1"/>
  <c r="O450" i="1" a="1"/>
  <c r="O450" i="1" s="1"/>
  <c r="L450" i="1" a="1"/>
  <c r="L450" i="1" l="1"/>
  <c r="M450" i="1" l="1" a="1"/>
  <c r="M450" i="1" s="1"/>
  <c r="Q450" i="1" s="1" a="1"/>
  <c r="Q450" i="1" s="1"/>
  <c r="P451" i="1" s="1"/>
  <c r="S450" i="1" l="1" a="1"/>
  <c r="S450" i="1" s="1"/>
  <c r="V450" i="1" s="1"/>
  <c r="R451" i="1" l="1" a="1"/>
  <c r="R451" i="1" s="1"/>
  <c r="T451" i="1" s="1"/>
  <c r="O451" i="1" l="1" a="1"/>
  <c r="O451" i="1" s="1"/>
  <c r="N451" i="1" a="1"/>
  <c r="N451" i="1" s="1"/>
  <c r="L451" i="1" a="1"/>
  <c r="L451" i="1" l="1"/>
  <c r="M451" i="1" l="1" a="1"/>
  <c r="M451" i="1" s="1"/>
  <c r="Q451" i="1" s="1" a="1"/>
  <c r="Q451" i="1" s="1"/>
  <c r="P452" i="1" s="1"/>
  <c r="S451" i="1" l="1" a="1"/>
  <c r="S451" i="1" s="1"/>
  <c r="V451" i="1" s="1"/>
  <c r="R452" i="1" l="1" a="1"/>
  <c r="R452" i="1" s="1"/>
  <c r="T452" i="1" s="1"/>
  <c r="O452" i="1" l="1" a="1"/>
  <c r="O452" i="1" s="1"/>
  <c r="N452" i="1" a="1"/>
  <c r="N452" i="1" s="1"/>
  <c r="L452" i="1" a="1"/>
  <c r="L452" i="1" l="1"/>
  <c r="M452" i="1" l="1" a="1"/>
  <c r="M452" i="1" s="1"/>
  <c r="Q452" i="1" s="1" a="1"/>
  <c r="Q452" i="1" s="1"/>
  <c r="P453" i="1" s="1"/>
  <c r="S452" i="1" l="1" a="1"/>
  <c r="S452" i="1" s="1"/>
  <c r="V452" i="1" s="1"/>
  <c r="R453" i="1" l="1" a="1"/>
  <c r="R453" i="1" s="1"/>
  <c r="T453" i="1" s="1"/>
  <c r="O453" i="1" l="1" a="1"/>
  <c r="O453" i="1" s="1"/>
  <c r="N453" i="1" a="1"/>
  <c r="N453" i="1" s="1"/>
  <c r="L453" i="1" a="1"/>
  <c r="L453" i="1" l="1"/>
  <c r="M453" i="1" l="1" a="1"/>
  <c r="M453" i="1" s="1"/>
  <c r="Q453" i="1" s="1" a="1"/>
  <c r="Q453" i="1" s="1"/>
  <c r="P454" i="1" s="1"/>
  <c r="S453" i="1" l="1" a="1"/>
  <c r="S453" i="1" s="1"/>
  <c r="V453" i="1" s="1"/>
  <c r="R454" i="1" l="1" a="1"/>
  <c r="R454" i="1" s="1"/>
  <c r="T454" i="1" s="1"/>
  <c r="N454" i="1" l="1" a="1"/>
  <c r="N454" i="1" s="1"/>
  <c r="O454" i="1" a="1"/>
  <c r="O454" i="1" s="1"/>
  <c r="L454" i="1" a="1"/>
  <c r="L454" i="1" l="1"/>
  <c r="M454" i="1" l="1" a="1"/>
  <c r="M454" i="1" s="1"/>
  <c r="Q454" i="1" s="1" a="1"/>
  <c r="Q454" i="1" s="1"/>
  <c r="P455" i="1" s="1"/>
  <c r="S454" i="1" l="1" a="1"/>
  <c r="S454" i="1" s="1"/>
  <c r="V454" i="1" s="1"/>
  <c r="R455" i="1" l="1" a="1"/>
  <c r="R455" i="1" s="1"/>
  <c r="T455" i="1" s="1"/>
  <c r="N455" i="1" l="1" a="1"/>
  <c r="N455" i="1" s="1"/>
  <c r="O455" i="1" a="1"/>
  <c r="O455" i="1" s="1"/>
  <c r="L455" i="1" a="1"/>
  <c r="L455" i="1" l="1"/>
  <c r="M455" i="1" l="1" a="1"/>
  <c r="M455" i="1" s="1"/>
  <c r="Q455" i="1" s="1" a="1"/>
  <c r="Q455" i="1" s="1"/>
  <c r="P456" i="1" s="1"/>
  <c r="S455" i="1" l="1" a="1"/>
  <c r="S455" i="1" s="1"/>
  <c r="V455" i="1" s="1"/>
  <c r="R456" i="1" l="1" a="1"/>
  <c r="R456" i="1" s="1"/>
  <c r="T456" i="1" s="1"/>
  <c r="N456" i="1" l="1" a="1"/>
  <c r="N456" i="1" s="1"/>
  <c r="O456" i="1" a="1"/>
  <c r="O456" i="1" s="1"/>
  <c r="L456" i="1" a="1"/>
  <c r="L456" i="1" l="1"/>
  <c r="M456" i="1" l="1" a="1"/>
  <c r="M456" i="1" s="1"/>
  <c r="Q456" i="1" s="1" a="1"/>
  <c r="Q456" i="1" s="1"/>
  <c r="P457" i="1" s="1"/>
  <c r="S456" i="1" l="1" a="1"/>
  <c r="S456" i="1" s="1"/>
  <c r="V456" i="1" s="1"/>
  <c r="R457" i="1" l="1" a="1"/>
  <c r="R457" i="1" s="1"/>
  <c r="T457" i="1" s="1"/>
  <c r="O457" i="1" l="1" a="1"/>
  <c r="O457" i="1" s="1"/>
  <c r="N457" i="1" a="1"/>
  <c r="N457" i="1" s="1"/>
  <c r="L457" i="1" a="1"/>
  <c r="L457" i="1" l="1"/>
  <c r="M457" i="1" l="1" a="1"/>
  <c r="M457" i="1" s="1"/>
  <c r="Q457" i="1" s="1" a="1"/>
  <c r="Q457" i="1" s="1"/>
  <c r="P458" i="1" s="1"/>
  <c r="S457" i="1" l="1" a="1"/>
  <c r="S457" i="1" s="1"/>
  <c r="V457" i="1" s="1"/>
  <c r="R458" i="1" l="1" a="1"/>
  <c r="R458" i="1" s="1"/>
  <c r="T458" i="1" s="1"/>
  <c r="N458" i="1" l="1" a="1"/>
  <c r="N458" i="1" s="1"/>
  <c r="O458" i="1" a="1"/>
  <c r="O458" i="1" s="1"/>
  <c r="L458" i="1" a="1"/>
  <c r="L458" i="1" l="1"/>
  <c r="M458" i="1" l="1" a="1"/>
  <c r="M458" i="1" s="1"/>
  <c r="Q458" i="1" s="1" a="1"/>
  <c r="Q458" i="1" s="1"/>
  <c r="P459" i="1" s="1"/>
  <c r="S458" i="1" l="1" a="1"/>
  <c r="S458" i="1" s="1"/>
  <c r="V458" i="1" s="1"/>
  <c r="R459" i="1" l="1" a="1"/>
  <c r="R459" i="1" s="1"/>
  <c r="T459" i="1" s="1"/>
  <c r="N459" i="1" l="1" a="1"/>
  <c r="N459" i="1" s="1"/>
  <c r="O459" i="1" a="1"/>
  <c r="O459" i="1" s="1"/>
  <c r="L459" i="1" a="1"/>
  <c r="L459" i="1" l="1"/>
  <c r="M459" i="1" l="1" a="1"/>
  <c r="M459" i="1" s="1"/>
  <c r="Q459" i="1" s="1" a="1"/>
  <c r="Q459" i="1" s="1"/>
  <c r="P460" i="1" s="1"/>
  <c r="S459" i="1" l="1" a="1"/>
  <c r="S459" i="1" s="1"/>
  <c r="V459" i="1" s="1"/>
  <c r="R460" i="1" l="1" a="1"/>
  <c r="R460" i="1" s="1"/>
  <c r="T460" i="1" s="1"/>
  <c r="N460" i="1" l="1" a="1"/>
  <c r="N460" i="1" s="1"/>
  <c r="O460" i="1" a="1"/>
  <c r="O460" i="1" s="1"/>
  <c r="L460" i="1" a="1"/>
  <c r="L460" i="1" l="1"/>
  <c r="M460" i="1" l="1" a="1"/>
  <c r="M460" i="1" s="1"/>
  <c r="Q460" i="1" s="1" a="1"/>
  <c r="Q460" i="1" s="1"/>
  <c r="P461" i="1" s="1"/>
  <c r="S460" i="1" l="1" a="1"/>
  <c r="S460" i="1" s="1"/>
  <c r="V460" i="1" s="1"/>
  <c r="R461" i="1" l="1" a="1"/>
  <c r="R461" i="1" s="1"/>
  <c r="T461" i="1" s="1"/>
  <c r="N461" i="1" l="1" a="1"/>
  <c r="N461" i="1" s="1"/>
  <c r="O461" i="1" a="1"/>
  <c r="O461" i="1" s="1"/>
  <c r="L461" i="1" a="1"/>
  <c r="L461" i="1" l="1"/>
  <c r="M461" i="1" l="1" a="1"/>
  <c r="M461" i="1" s="1"/>
  <c r="Q461" i="1" s="1" a="1"/>
  <c r="Q461" i="1" s="1"/>
  <c r="P462" i="1" s="1"/>
  <c r="S461" i="1" l="1" a="1"/>
  <c r="S461" i="1" s="1"/>
  <c r="V461" i="1" s="1"/>
  <c r="R462" i="1" l="1" a="1"/>
  <c r="R462" i="1" s="1"/>
  <c r="T462" i="1" s="1"/>
  <c r="N462" i="1" l="1" a="1"/>
  <c r="N462" i="1" s="1"/>
  <c r="O462" i="1" a="1"/>
  <c r="O462" i="1" s="1"/>
  <c r="L462" i="1" a="1"/>
  <c r="L462" i="1" l="1"/>
  <c r="M462" i="1" l="1" a="1"/>
  <c r="M462" i="1" s="1"/>
  <c r="Q462" i="1" s="1" a="1"/>
  <c r="Q462" i="1" s="1"/>
  <c r="P463" i="1" s="1"/>
  <c r="S462" i="1" l="1" a="1"/>
  <c r="S462" i="1" s="1"/>
  <c r="V462" i="1" s="1"/>
  <c r="R463" i="1" l="1" a="1"/>
  <c r="R463" i="1" s="1"/>
  <c r="T463" i="1" s="1"/>
  <c r="N463" i="1" l="1" a="1"/>
  <c r="N463" i="1" s="1"/>
  <c r="O463" i="1" a="1"/>
  <c r="O463" i="1" s="1"/>
  <c r="L463" i="1" a="1"/>
  <c r="L463" i="1" l="1"/>
  <c r="M463" i="1" l="1" a="1"/>
  <c r="M463" i="1" s="1"/>
  <c r="Q463" i="1" s="1" a="1"/>
  <c r="Q463" i="1" s="1"/>
  <c r="P464" i="1" s="1"/>
  <c r="S463" i="1" l="1" a="1"/>
  <c r="S463" i="1" s="1"/>
  <c r="V463" i="1" s="1"/>
  <c r="R464" i="1" l="1" a="1"/>
  <c r="R464" i="1" s="1"/>
  <c r="T464" i="1" s="1"/>
  <c r="O464" i="1" l="1" a="1"/>
  <c r="O464" i="1" s="1"/>
  <c r="N464" i="1" a="1"/>
  <c r="N464" i="1" s="1"/>
  <c r="L464" i="1" a="1"/>
  <c r="L464" i="1" l="1"/>
  <c r="M464" i="1" l="1" a="1"/>
  <c r="M464" i="1" s="1"/>
  <c r="Q464" i="1" s="1" a="1"/>
  <c r="Q464" i="1" s="1"/>
  <c r="P465" i="1" s="1"/>
  <c r="S464" i="1" l="1" a="1"/>
  <c r="S464" i="1" s="1"/>
  <c r="V464" i="1" s="1"/>
  <c r="R465" i="1" l="1" a="1"/>
  <c r="R465" i="1" s="1"/>
  <c r="T465" i="1" s="1"/>
  <c r="O465" i="1" l="1" a="1"/>
  <c r="O465" i="1" s="1"/>
  <c r="N465" i="1" a="1"/>
  <c r="N465" i="1" s="1"/>
  <c r="L465" i="1" a="1"/>
  <c r="L465" i="1" l="1"/>
  <c r="M465" i="1" l="1" a="1"/>
  <c r="M465" i="1" s="1"/>
  <c r="Q465" i="1" s="1" a="1"/>
  <c r="Q465" i="1" s="1"/>
  <c r="P466" i="1" s="1"/>
  <c r="S465" i="1" l="1" a="1"/>
  <c r="S465" i="1" s="1"/>
  <c r="V465" i="1" s="1"/>
  <c r="R466" i="1" l="1" a="1"/>
  <c r="R466" i="1" s="1"/>
  <c r="T466" i="1" s="1"/>
  <c r="O466" i="1" l="1" a="1"/>
  <c r="O466" i="1" s="1"/>
  <c r="N466" i="1" a="1"/>
  <c r="N466" i="1" s="1"/>
  <c r="L466" i="1" a="1"/>
  <c r="L466" i="1" l="1"/>
  <c r="M466" i="1" l="1" a="1"/>
  <c r="M466" i="1" s="1"/>
  <c r="Q466" i="1" s="1" a="1"/>
  <c r="Q466" i="1" s="1"/>
  <c r="P467" i="1" s="1"/>
  <c r="S466" i="1" l="1" a="1"/>
  <c r="S466" i="1" s="1"/>
  <c r="V466" i="1" s="1"/>
  <c r="R467" i="1" l="1" a="1"/>
  <c r="R467" i="1" s="1"/>
  <c r="T467" i="1" s="1"/>
  <c r="N467" i="1" l="1" a="1"/>
  <c r="N467" i="1" s="1"/>
  <c r="O467" i="1" a="1"/>
  <c r="O467" i="1" s="1"/>
  <c r="L467" i="1" a="1"/>
  <c r="L467" i="1" l="1"/>
  <c r="M467" i="1" l="1" a="1"/>
  <c r="M467" i="1" s="1"/>
  <c r="Q467" i="1" s="1" a="1"/>
  <c r="Q467" i="1" s="1"/>
  <c r="P468" i="1" s="1"/>
  <c r="S467" i="1" l="1" a="1"/>
  <c r="S467" i="1" s="1"/>
  <c r="V467" i="1" s="1"/>
  <c r="R468" i="1" l="1" a="1"/>
  <c r="R468" i="1" s="1"/>
  <c r="T468" i="1" s="1"/>
  <c r="N468" i="1" l="1" a="1"/>
  <c r="N468" i="1" s="1"/>
  <c r="O468" i="1" a="1"/>
  <c r="O468" i="1" s="1"/>
  <c r="L468" i="1" a="1"/>
  <c r="L468" i="1" l="1"/>
  <c r="M468" i="1" l="1" a="1"/>
  <c r="M468" i="1" s="1"/>
  <c r="Q468" i="1" s="1" a="1"/>
  <c r="Q468" i="1" s="1"/>
  <c r="P469" i="1" s="1"/>
  <c r="S468" i="1" l="1" a="1"/>
  <c r="S468" i="1" s="1"/>
  <c r="V468" i="1" s="1"/>
  <c r="R469" i="1" l="1" a="1"/>
  <c r="R469" i="1" s="1"/>
  <c r="T469" i="1" s="1"/>
  <c r="N469" i="1" l="1" a="1"/>
  <c r="N469" i="1" s="1"/>
  <c r="O469" i="1" a="1"/>
  <c r="O469" i="1" s="1"/>
  <c r="L469" i="1" a="1"/>
  <c r="L469" i="1" l="1"/>
  <c r="M469" i="1" l="1" a="1"/>
  <c r="M469" i="1" s="1"/>
  <c r="Q469" i="1" s="1" a="1"/>
  <c r="Q469" i="1" s="1"/>
  <c r="P470" i="1" s="1"/>
  <c r="S469" i="1" l="1" a="1"/>
  <c r="S469" i="1" s="1"/>
  <c r="V469" i="1" s="1"/>
  <c r="R470" i="1" l="1" a="1"/>
  <c r="R470" i="1" s="1"/>
  <c r="T470" i="1" s="1"/>
  <c r="O470" i="1" l="1" a="1"/>
  <c r="O470" i="1" s="1"/>
  <c r="N470" i="1" a="1"/>
  <c r="N470" i="1" s="1"/>
  <c r="L470" i="1" a="1"/>
  <c r="L470" i="1" l="1"/>
  <c r="M470" i="1" l="1" a="1"/>
  <c r="M470" i="1" s="1"/>
  <c r="Q470" i="1" s="1" a="1"/>
  <c r="Q470" i="1" s="1"/>
  <c r="P471" i="1" s="1"/>
  <c r="S470" i="1" l="1" a="1"/>
  <c r="S470" i="1" s="1"/>
  <c r="V470" i="1" s="1"/>
  <c r="R471" i="1" l="1" a="1"/>
  <c r="R471" i="1" s="1"/>
  <c r="T471" i="1" s="1"/>
  <c r="N471" i="1" l="1" a="1"/>
  <c r="N471" i="1" s="1"/>
  <c r="O471" i="1" a="1"/>
  <c r="O471" i="1" s="1"/>
  <c r="L471" i="1" a="1"/>
  <c r="L471" i="1" l="1"/>
  <c r="M471" i="1" l="1" a="1"/>
  <c r="M471" i="1" s="1"/>
  <c r="Q471" i="1" s="1" a="1"/>
  <c r="Q471" i="1" s="1"/>
  <c r="P472" i="1" s="1"/>
  <c r="S471" i="1" l="1" a="1"/>
  <c r="S471" i="1" s="1"/>
  <c r="V471" i="1" s="1"/>
  <c r="R472" i="1" l="1" a="1"/>
  <c r="R472" i="1" s="1"/>
  <c r="T472" i="1" s="1"/>
  <c r="N472" i="1" l="1" a="1"/>
  <c r="N472" i="1" s="1"/>
  <c r="O472" i="1" a="1"/>
  <c r="O472" i="1" s="1"/>
  <c r="L472" i="1" a="1"/>
  <c r="L472" i="1" l="1"/>
  <c r="M472" i="1" l="1" a="1"/>
  <c r="M472" i="1" s="1"/>
  <c r="Q472" i="1" s="1" a="1"/>
  <c r="Q472" i="1" s="1"/>
  <c r="P473" i="1" s="1"/>
  <c r="S472" i="1" l="1" a="1"/>
  <c r="S472" i="1" s="1"/>
  <c r="V472" i="1" s="1"/>
  <c r="R473" i="1" l="1" a="1"/>
  <c r="R473" i="1" s="1"/>
  <c r="T473" i="1" s="1"/>
  <c r="N473" i="1" l="1" a="1"/>
  <c r="N473" i="1" s="1"/>
  <c r="O473" i="1" a="1"/>
  <c r="O473" i="1" s="1"/>
  <c r="L473" i="1" a="1"/>
  <c r="L473" i="1" l="1"/>
  <c r="M473" i="1" l="1" a="1"/>
  <c r="M473" i="1" s="1"/>
  <c r="Q473" i="1" s="1" a="1"/>
  <c r="Q473" i="1" s="1"/>
  <c r="P474" i="1" s="1"/>
  <c r="S473" i="1" l="1" a="1"/>
  <c r="S473" i="1" s="1"/>
  <c r="V473" i="1" s="1"/>
  <c r="R474" i="1" l="1" a="1"/>
  <c r="R474" i="1" s="1"/>
  <c r="T474" i="1" s="1"/>
  <c r="N474" i="1" l="1" a="1"/>
  <c r="N474" i="1" s="1"/>
  <c r="O474" i="1" a="1"/>
  <c r="O474" i="1" s="1"/>
  <c r="L474" i="1" a="1"/>
  <c r="L474" i="1" l="1"/>
  <c r="M474" i="1" l="1" a="1"/>
  <c r="M474" i="1" s="1"/>
  <c r="Q474" i="1" s="1" a="1"/>
  <c r="Q474" i="1" s="1"/>
  <c r="P475" i="1" s="1"/>
  <c r="S474" i="1" l="1" a="1"/>
  <c r="S474" i="1" s="1"/>
  <c r="V474" i="1" s="1"/>
  <c r="R475" i="1" l="1" a="1"/>
  <c r="R475" i="1" s="1"/>
  <c r="T475" i="1" s="1"/>
  <c r="O475" i="1" l="1" a="1"/>
  <c r="O475" i="1" s="1"/>
  <c r="N475" i="1" a="1"/>
  <c r="N475" i="1" s="1"/>
  <c r="L475" i="1" a="1"/>
  <c r="L475" i="1" l="1"/>
  <c r="M475" i="1" l="1" a="1"/>
  <c r="M475" i="1" s="1"/>
  <c r="Q475" i="1" s="1" a="1"/>
  <c r="Q475" i="1" s="1"/>
  <c r="P476" i="1" s="1"/>
  <c r="S475" i="1" l="1" a="1"/>
  <c r="S475" i="1" s="1"/>
  <c r="V475" i="1" s="1"/>
  <c r="R476" i="1" l="1" a="1"/>
  <c r="R476" i="1" s="1"/>
  <c r="T476" i="1" s="1"/>
  <c r="O476" i="1" l="1" a="1"/>
  <c r="O476" i="1" s="1"/>
  <c r="N476" i="1" a="1"/>
  <c r="N476" i="1" s="1"/>
  <c r="L476" i="1" a="1"/>
  <c r="L476" i="1" l="1"/>
  <c r="M476" i="1" l="1" a="1"/>
  <c r="M476" i="1" s="1"/>
  <c r="Q476" i="1" s="1" a="1"/>
  <c r="Q476" i="1" s="1"/>
  <c r="P477" i="1" s="1"/>
  <c r="S476" i="1" l="1" a="1"/>
  <c r="S476" i="1" s="1"/>
  <c r="V476" i="1" s="1"/>
  <c r="R477" i="1" l="1" a="1"/>
  <c r="R477" i="1" s="1"/>
  <c r="T477" i="1" s="1"/>
  <c r="N477" i="1" l="1" a="1"/>
  <c r="N477" i="1" s="1"/>
  <c r="O477" i="1" a="1"/>
  <c r="O477" i="1" s="1"/>
  <c r="L477" i="1" a="1"/>
  <c r="L477" i="1" l="1"/>
  <c r="M477" i="1" l="1" a="1"/>
  <c r="M477" i="1" s="1"/>
  <c r="Q477" i="1" s="1" a="1"/>
  <c r="Q477" i="1" s="1"/>
  <c r="P478" i="1" s="1"/>
  <c r="S477" i="1" l="1" a="1"/>
  <c r="S477" i="1" s="1"/>
  <c r="V477" i="1" s="1"/>
  <c r="R478" i="1" l="1" a="1"/>
  <c r="R478" i="1" s="1"/>
  <c r="T478" i="1" s="1"/>
  <c r="N478" i="1" l="1" a="1"/>
  <c r="N478" i="1" s="1"/>
  <c r="O478" i="1" a="1"/>
  <c r="O478" i="1" s="1"/>
  <c r="L478" i="1" a="1"/>
  <c r="L478" i="1" l="1"/>
  <c r="M478" i="1" l="1" a="1"/>
  <c r="M478" i="1" s="1"/>
  <c r="Q478" i="1" s="1" a="1"/>
  <c r="Q478" i="1" s="1"/>
  <c r="P479" i="1" s="1"/>
  <c r="S478" i="1" l="1" a="1"/>
  <c r="S478" i="1" s="1"/>
  <c r="V478" i="1" s="1"/>
  <c r="R479" i="1" l="1" a="1"/>
  <c r="R479" i="1" s="1"/>
  <c r="T479" i="1" s="1"/>
  <c r="O479" i="1" l="1" a="1"/>
  <c r="O479" i="1" s="1"/>
  <c r="N479" i="1" a="1"/>
  <c r="N479" i="1" s="1"/>
  <c r="L479" i="1" a="1"/>
  <c r="L479" i="1" l="1"/>
  <c r="M479" i="1" l="1" a="1"/>
  <c r="M479" i="1" s="1"/>
  <c r="Q479" i="1" s="1" a="1"/>
  <c r="Q479" i="1" s="1"/>
  <c r="P480" i="1" s="1"/>
  <c r="S479" i="1" l="1" a="1"/>
  <c r="S479" i="1" s="1"/>
  <c r="V479" i="1" s="1"/>
  <c r="R480" i="1" l="1" a="1"/>
  <c r="R480" i="1" s="1"/>
  <c r="T480" i="1" s="1"/>
  <c r="N480" i="1" l="1" a="1"/>
  <c r="N480" i="1" s="1"/>
  <c r="O480" i="1" a="1"/>
  <c r="O480" i="1" s="1"/>
  <c r="L480" i="1" a="1"/>
  <c r="L480" i="1" l="1"/>
  <c r="M480" i="1" l="1" a="1"/>
  <c r="M480" i="1" s="1"/>
  <c r="Q480" i="1" s="1" a="1"/>
  <c r="Q480" i="1" s="1"/>
  <c r="P481" i="1" s="1"/>
  <c r="S480" i="1" l="1" a="1"/>
  <c r="S480" i="1" s="1"/>
  <c r="V480" i="1" s="1"/>
  <c r="R481" i="1" l="1" a="1"/>
  <c r="R481" i="1" s="1"/>
  <c r="T481" i="1" s="1"/>
  <c r="O481" i="1" l="1" a="1"/>
  <c r="O481" i="1" s="1"/>
  <c r="N481" i="1" a="1"/>
  <c r="N481" i="1" s="1"/>
  <c r="L481" i="1" a="1"/>
  <c r="L481" i="1" l="1"/>
  <c r="M481" i="1" l="1" a="1"/>
  <c r="M481" i="1" s="1"/>
  <c r="Q481" i="1" s="1" a="1"/>
  <c r="Q481" i="1" s="1"/>
  <c r="P482" i="1" s="1"/>
  <c r="S481" i="1" l="1" a="1"/>
  <c r="S481" i="1" s="1"/>
  <c r="V481" i="1" s="1"/>
  <c r="R482" i="1" l="1" a="1"/>
  <c r="R482" i="1" s="1"/>
  <c r="T482" i="1" s="1"/>
  <c r="N482" i="1" l="1" a="1"/>
  <c r="N482" i="1" s="1"/>
  <c r="O482" i="1" a="1"/>
  <c r="O482" i="1" s="1"/>
  <c r="L482" i="1" a="1"/>
  <c r="L482" i="1" l="1"/>
  <c r="M482" i="1" l="1" a="1"/>
  <c r="M482" i="1" s="1"/>
  <c r="Q482" i="1" s="1" a="1"/>
  <c r="Q482" i="1" s="1"/>
  <c r="P483" i="1" s="1"/>
  <c r="S482" i="1" l="1" a="1"/>
  <c r="S482" i="1" s="1"/>
  <c r="V482" i="1" s="1"/>
  <c r="R483" i="1" l="1" a="1"/>
  <c r="R483" i="1" s="1"/>
  <c r="T483" i="1" s="1"/>
  <c r="N483" i="1" l="1" a="1"/>
  <c r="N483" i="1" s="1"/>
  <c r="O483" i="1" a="1"/>
  <c r="O483" i="1" s="1"/>
  <c r="L483" i="1" a="1"/>
  <c r="L483" i="1" l="1"/>
  <c r="M483" i="1" l="1" a="1"/>
  <c r="M483" i="1" s="1"/>
  <c r="Q483" i="1" s="1" a="1"/>
  <c r="Q483" i="1" s="1"/>
  <c r="P484" i="1" s="1"/>
  <c r="S483" i="1" l="1" a="1"/>
  <c r="S483" i="1" s="1"/>
  <c r="V483" i="1" s="1"/>
  <c r="R484" i="1" l="1" a="1"/>
  <c r="R484" i="1" s="1"/>
  <c r="T484" i="1" s="1"/>
  <c r="O484" i="1" l="1" a="1"/>
  <c r="O484" i="1" s="1"/>
  <c r="N484" i="1" a="1"/>
  <c r="N484" i="1" s="1"/>
  <c r="L484" i="1" a="1"/>
  <c r="L484" i="1" l="1"/>
  <c r="M484" i="1" l="1" a="1"/>
  <c r="M484" i="1" s="1"/>
  <c r="Q484" i="1" s="1" a="1"/>
  <c r="Q484" i="1" s="1"/>
  <c r="P485" i="1" s="1"/>
  <c r="S484" i="1" l="1" a="1"/>
  <c r="S484" i="1" s="1"/>
  <c r="V484" i="1" s="1"/>
  <c r="R485" i="1" l="1" a="1"/>
  <c r="R485" i="1" s="1"/>
  <c r="T485" i="1" s="1"/>
  <c r="N485" i="1" l="1" a="1"/>
  <c r="N485" i="1" s="1"/>
  <c r="O485" i="1" a="1"/>
  <c r="O485" i="1" s="1"/>
  <c r="L485" i="1" a="1"/>
  <c r="L485" i="1" l="1"/>
  <c r="M485" i="1" l="1" a="1"/>
  <c r="M485" i="1" s="1"/>
  <c r="Q485" i="1" s="1" a="1"/>
  <c r="Q485" i="1" s="1"/>
  <c r="P486" i="1" s="1"/>
  <c r="S485" i="1" l="1" a="1"/>
  <c r="S485" i="1" s="1"/>
  <c r="V485" i="1" s="1"/>
  <c r="R486" i="1" l="1" a="1"/>
  <c r="R486" i="1" s="1"/>
  <c r="T486" i="1" s="1"/>
  <c r="O486" i="1" l="1" a="1"/>
  <c r="O486" i="1" s="1"/>
  <c r="N486" i="1" a="1"/>
  <c r="N486" i="1" s="1"/>
  <c r="L486" i="1" a="1"/>
  <c r="L486" i="1" l="1"/>
  <c r="M486" i="1" l="1" a="1"/>
  <c r="M486" i="1" s="1"/>
  <c r="Q486" i="1" s="1" a="1"/>
  <c r="Q486" i="1" s="1"/>
  <c r="P487" i="1" s="1"/>
  <c r="S486" i="1" l="1" a="1"/>
  <c r="S486" i="1" s="1"/>
  <c r="V486" i="1" s="1"/>
  <c r="R487" i="1" l="1" a="1"/>
  <c r="R487" i="1" s="1"/>
  <c r="T487" i="1" s="1"/>
  <c r="N487" i="1" l="1" a="1"/>
  <c r="N487" i="1" s="1"/>
  <c r="O487" i="1" a="1"/>
  <c r="O487" i="1" s="1"/>
  <c r="L487" i="1" a="1"/>
  <c r="L487" i="1" l="1"/>
  <c r="M487" i="1" l="1" a="1"/>
  <c r="M487" i="1" s="1"/>
  <c r="Q487" i="1" s="1" a="1"/>
  <c r="Q487" i="1" s="1"/>
  <c r="P488" i="1" s="1"/>
  <c r="S487" i="1" l="1" a="1"/>
  <c r="S487" i="1" s="1"/>
  <c r="V487" i="1" s="1"/>
  <c r="R488" i="1" l="1" a="1"/>
  <c r="R488" i="1" s="1"/>
  <c r="T488" i="1" s="1"/>
  <c r="O488" i="1" l="1" a="1"/>
  <c r="O488" i="1" s="1"/>
  <c r="N488" i="1" a="1"/>
  <c r="N488" i="1" s="1"/>
  <c r="L488" i="1" a="1"/>
  <c r="L488" i="1" l="1"/>
  <c r="M488" i="1" l="1" a="1"/>
  <c r="M488" i="1" s="1"/>
  <c r="Q488" i="1" s="1" a="1"/>
  <c r="Q488" i="1" s="1"/>
  <c r="P489" i="1" s="1"/>
  <c r="S488" i="1" l="1" a="1"/>
  <c r="S488" i="1" s="1"/>
  <c r="V488" i="1" s="1"/>
  <c r="R489" i="1" l="1" a="1"/>
  <c r="R489" i="1" s="1"/>
  <c r="T489" i="1" s="1"/>
  <c r="O489" i="1" l="1" a="1"/>
  <c r="O489" i="1" s="1"/>
  <c r="N489" i="1" a="1"/>
  <c r="N489" i="1" s="1"/>
  <c r="L489" i="1" a="1"/>
  <c r="L489" i="1" l="1"/>
  <c r="M489" i="1" l="1" a="1"/>
  <c r="M489" i="1" s="1"/>
  <c r="Q489" i="1" s="1" a="1"/>
  <c r="Q489" i="1" s="1"/>
  <c r="P490" i="1" s="1"/>
  <c r="S489" i="1" l="1" a="1"/>
  <c r="S489" i="1" s="1"/>
  <c r="V489" i="1" s="1"/>
  <c r="R490" i="1" l="1" a="1"/>
  <c r="R490" i="1" s="1"/>
  <c r="T490" i="1" s="1"/>
  <c r="O490" i="1" l="1" a="1"/>
  <c r="O490" i="1" s="1"/>
  <c r="N490" i="1" a="1"/>
  <c r="N490" i="1" s="1"/>
  <c r="L490" i="1" a="1"/>
  <c r="L490" i="1" l="1"/>
  <c r="M490" i="1" l="1" a="1"/>
  <c r="M490" i="1" s="1"/>
  <c r="Q490" i="1" s="1" a="1"/>
  <c r="Q490" i="1" s="1"/>
  <c r="P491" i="1" s="1"/>
  <c r="S490" i="1" l="1" a="1"/>
  <c r="S490" i="1" s="1"/>
  <c r="V490" i="1" s="1"/>
  <c r="R491" i="1" l="1" a="1"/>
  <c r="R491" i="1" s="1"/>
  <c r="T491" i="1" s="1"/>
  <c r="N491" i="1" l="1" a="1"/>
  <c r="N491" i="1" s="1"/>
  <c r="O491" i="1" a="1"/>
  <c r="O491" i="1" s="1"/>
  <c r="L491" i="1" a="1"/>
  <c r="L491" i="1" l="1"/>
  <c r="M491" i="1" l="1" a="1"/>
  <c r="M491" i="1" s="1"/>
  <c r="Q491" i="1" s="1" a="1"/>
  <c r="Q491" i="1" s="1"/>
  <c r="P492" i="1" s="1"/>
  <c r="S491" i="1" l="1" a="1"/>
  <c r="S491" i="1" s="1"/>
  <c r="V491" i="1" s="1"/>
  <c r="R492" i="1" l="1" a="1"/>
  <c r="R492" i="1" s="1"/>
  <c r="T492" i="1" s="1"/>
  <c r="N492" i="1" l="1" a="1"/>
  <c r="N492" i="1" s="1"/>
  <c r="O492" i="1" a="1"/>
  <c r="O492" i="1" s="1"/>
  <c r="L492" i="1" a="1"/>
  <c r="L492" i="1" l="1"/>
  <c r="M492" i="1" l="1" a="1"/>
  <c r="M492" i="1" s="1"/>
  <c r="Q492" i="1" s="1" a="1"/>
  <c r="Q492" i="1" s="1"/>
  <c r="P493" i="1" s="1"/>
  <c r="S492" i="1" l="1" a="1"/>
  <c r="S492" i="1" s="1"/>
  <c r="V492" i="1" s="1"/>
  <c r="R493" i="1" l="1" a="1"/>
  <c r="R493" i="1" s="1"/>
  <c r="T493" i="1" s="1"/>
  <c r="N493" i="1" l="1" a="1"/>
  <c r="N493" i="1" s="1"/>
  <c r="O493" i="1" a="1"/>
  <c r="O493" i="1" s="1"/>
  <c r="L493" i="1" a="1"/>
  <c r="L493" i="1" l="1"/>
  <c r="M493" i="1" l="1" a="1"/>
  <c r="M493" i="1" s="1"/>
  <c r="Q493" i="1" s="1" a="1"/>
  <c r="Q493" i="1" s="1"/>
  <c r="P494" i="1" s="1"/>
  <c r="S493" i="1" l="1" a="1"/>
  <c r="S493" i="1" s="1"/>
  <c r="V493" i="1" s="1"/>
  <c r="R494" i="1" l="1" a="1"/>
  <c r="R494" i="1" s="1"/>
  <c r="T494" i="1" s="1"/>
  <c r="N494" i="1" l="1" a="1"/>
  <c r="N494" i="1" s="1"/>
  <c r="O494" i="1" a="1"/>
  <c r="O494" i="1" s="1"/>
  <c r="L494" i="1" a="1"/>
  <c r="L494" i="1" l="1"/>
  <c r="M494" i="1" l="1" a="1"/>
  <c r="M494" i="1" s="1"/>
  <c r="Q494" i="1" s="1" a="1"/>
  <c r="Q494" i="1" s="1"/>
  <c r="P495" i="1" s="1"/>
  <c r="S494" i="1" l="1" a="1"/>
  <c r="S494" i="1" s="1"/>
  <c r="V494" i="1" s="1"/>
  <c r="R495" i="1" l="1" a="1"/>
  <c r="R495" i="1" s="1"/>
  <c r="T495" i="1" s="1"/>
  <c r="O495" i="1" l="1" a="1"/>
  <c r="O495" i="1" s="1"/>
  <c r="N495" i="1" a="1"/>
  <c r="N495" i="1" s="1"/>
  <c r="L495" i="1" a="1"/>
  <c r="L495" i="1" l="1"/>
  <c r="M495" i="1" l="1" a="1"/>
  <c r="M495" i="1" s="1"/>
  <c r="Q495" i="1" s="1" a="1"/>
  <c r="Q495" i="1" s="1"/>
  <c r="P496" i="1" s="1"/>
  <c r="S495" i="1" l="1" a="1"/>
  <c r="S495" i="1" s="1"/>
  <c r="V495" i="1" s="1"/>
  <c r="R496" i="1" l="1" a="1"/>
  <c r="R496" i="1" s="1"/>
  <c r="T496" i="1" s="1"/>
  <c r="N496" i="1" l="1" a="1"/>
  <c r="N496" i="1" s="1"/>
  <c r="O496" i="1" a="1"/>
  <c r="O496" i="1" s="1"/>
  <c r="L496" i="1" a="1"/>
  <c r="L496" i="1" l="1"/>
  <c r="M496" i="1" l="1" a="1"/>
  <c r="M496" i="1" s="1"/>
  <c r="Q496" i="1" s="1" a="1"/>
  <c r="Q496" i="1" s="1"/>
  <c r="P497" i="1" s="1"/>
  <c r="S496" i="1" l="1" a="1"/>
  <c r="S496" i="1" s="1"/>
  <c r="V496" i="1" s="1"/>
  <c r="R497" i="1" l="1" a="1"/>
  <c r="R497" i="1" s="1"/>
  <c r="T497" i="1" s="1"/>
  <c r="N497" i="1" l="1" a="1"/>
  <c r="N497" i="1" s="1"/>
  <c r="O497" i="1" a="1"/>
  <c r="O497" i="1" s="1"/>
  <c r="L497" i="1" a="1"/>
  <c r="L497" i="1" l="1"/>
  <c r="M497" i="1" l="1" a="1"/>
  <c r="M497" i="1" s="1"/>
  <c r="Q497" i="1" s="1" a="1"/>
  <c r="Q497" i="1" s="1"/>
  <c r="P498" i="1" s="1"/>
  <c r="S497" i="1" l="1" a="1"/>
  <c r="S497" i="1" s="1"/>
  <c r="V497" i="1" s="1"/>
  <c r="R498" i="1" l="1" a="1"/>
  <c r="R498" i="1" s="1"/>
  <c r="T498" i="1" s="1"/>
  <c r="N498" i="1" l="1" a="1"/>
  <c r="N498" i="1" s="1"/>
  <c r="O498" i="1" a="1"/>
  <c r="O498" i="1" s="1"/>
  <c r="L498" i="1" a="1"/>
  <c r="L498" i="1" l="1"/>
  <c r="M498" i="1" l="1" a="1"/>
  <c r="M498" i="1" s="1"/>
  <c r="Q498" i="1" s="1" a="1"/>
  <c r="Q498" i="1" s="1"/>
  <c r="P499" i="1" s="1"/>
  <c r="S498" i="1" l="1" a="1"/>
  <c r="S498" i="1" s="1"/>
  <c r="V498" i="1" s="1"/>
  <c r="R499" i="1" l="1" a="1"/>
  <c r="R499" i="1" s="1"/>
  <c r="T499" i="1" s="1"/>
  <c r="N499" i="1" l="1" a="1"/>
  <c r="N499" i="1" s="1"/>
  <c r="O499" i="1" a="1"/>
  <c r="O499" i="1" s="1"/>
  <c r="L499" i="1" a="1"/>
  <c r="L499" i="1" l="1"/>
  <c r="M499" i="1" l="1" a="1"/>
  <c r="M499" i="1" s="1"/>
  <c r="Q499" i="1" s="1" a="1"/>
  <c r="Q499" i="1" s="1"/>
  <c r="P500" i="1" s="1"/>
  <c r="S499" i="1" l="1" a="1"/>
  <c r="S499" i="1" s="1"/>
  <c r="V499" i="1" s="1"/>
  <c r="R500" i="1" l="1" a="1"/>
  <c r="R500" i="1" s="1"/>
  <c r="T500" i="1" s="1"/>
  <c r="O500" i="1" l="1" a="1"/>
  <c r="O500" i="1" s="1"/>
  <c r="N500" i="1" a="1"/>
  <c r="N500" i="1" s="1"/>
  <c r="L500" i="1" a="1"/>
  <c r="L500" i="1" l="1"/>
  <c r="M500" i="1" l="1" a="1"/>
  <c r="M500" i="1" s="1"/>
  <c r="Q500" i="1" s="1" a="1"/>
  <c r="Q500" i="1" s="1"/>
  <c r="S500" i="1" s="1" a="1"/>
  <c r="S500" i="1" s="1"/>
  <c r="V50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1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</futureMetadata>
  <cellMetadata count="1">
    <bk>
      <rc t="1" v="0"/>
    </bk>
  </cellMetadata>
  <valueMetadata count="318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</valueMetadata>
</metadata>
</file>

<file path=xl/sharedStrings.xml><?xml version="1.0" encoding="utf-8"?>
<sst xmlns="http://schemas.openxmlformats.org/spreadsheetml/2006/main" count="82" uniqueCount="67">
  <si>
    <t>x/y</t>
  </si>
  <si>
    <t>DAV1994_T_M</t>
  </si>
  <si>
    <t>DAV1994_T_F</t>
  </si>
  <si>
    <t>DAV2008_T_M</t>
  </si>
  <si>
    <t>DAV2008_T_F</t>
  </si>
  <si>
    <t>Tarifdaten</t>
  </si>
  <si>
    <t>alpha</t>
  </si>
  <si>
    <t>beta</t>
  </si>
  <si>
    <t>gamma1</t>
  </si>
  <si>
    <t>gamma2</t>
  </si>
  <si>
    <t>Stk</t>
  </si>
  <si>
    <t>StoSatz</t>
  </si>
  <si>
    <t>Einzeltarif</t>
  </si>
  <si>
    <t>Kollektivtarif</t>
  </si>
  <si>
    <t>Haustarif</t>
  </si>
  <si>
    <t>Vertragsdaten</t>
  </si>
  <si>
    <t>Geschlecht</t>
  </si>
  <si>
    <t>GebDat</t>
  </si>
  <si>
    <t>BegDat</t>
  </si>
  <si>
    <t>MTS</t>
  </si>
  <si>
    <t>Beitrag</t>
  </si>
  <si>
    <t>Zahlweise</t>
  </si>
  <si>
    <t>Tarifart</t>
  </si>
  <si>
    <t>M</t>
  </si>
  <si>
    <t>Kalkulation FLV</t>
  </si>
  <si>
    <t>x</t>
  </si>
  <si>
    <t>BeiSum</t>
  </si>
  <si>
    <t>MTSum</t>
  </si>
  <si>
    <t>mon</t>
  </si>
  <si>
    <t>k</t>
  </si>
  <si>
    <t>t</t>
  </si>
  <si>
    <t>fäll</t>
  </si>
  <si>
    <t>B</t>
  </si>
  <si>
    <t>VersDauer</t>
  </si>
  <si>
    <t>BZDauer</t>
  </si>
  <si>
    <t>Ü_beta</t>
  </si>
  <si>
    <t>P_K</t>
  </si>
  <si>
    <t>P_A</t>
  </si>
  <si>
    <t>Tafel</t>
  </si>
  <si>
    <t>DAV1994_T</t>
  </si>
  <si>
    <t>Datum</t>
  </si>
  <si>
    <t>Kursdaten</t>
  </si>
  <si>
    <t>Kurse indiv.</t>
  </si>
  <si>
    <t>Kurse konst.</t>
  </si>
  <si>
    <t>Kurse</t>
  </si>
  <si>
    <t>Performance</t>
  </si>
  <si>
    <t>real</t>
  </si>
  <si>
    <t>Jahr</t>
  </si>
  <si>
    <t>Ü_ris</t>
  </si>
  <si>
    <t>Ü_gamma</t>
  </si>
  <si>
    <t>Überschussdeklaration</t>
  </si>
  <si>
    <t>Beitragszerlegung</t>
  </si>
  <si>
    <t>P_ris</t>
  </si>
  <si>
    <t>K_gamma</t>
  </si>
  <si>
    <t>DK+</t>
  </si>
  <si>
    <t>DK-</t>
  </si>
  <si>
    <t>MRSum</t>
  </si>
  <si>
    <t>mrs</t>
  </si>
  <si>
    <t>TFL</t>
  </si>
  <si>
    <t>€DK-</t>
  </si>
  <si>
    <t>€DK+</t>
  </si>
  <si>
    <t>Vermögensentwicklung</t>
  </si>
  <si>
    <t>Wertstand</t>
  </si>
  <si>
    <t>AblDat</t>
  </si>
  <si>
    <t>RKW</t>
  </si>
  <si>
    <t>StoAb</t>
  </si>
  <si>
    <t>Tabelle kann erweitert werden. Zuletzt bekannte Deklaration wird fortgeführt.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</si>
</sst>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0.00000000"/>
    <numFmt numFmtId="165" formatCode="0\ &quot;Jahre&quot;"/>
    <numFmt numFmtId="166" formatCode="0%\ &quot;(p.a.)&quot;"/>
    <numFmt numFmtId="167" formatCode="_([$€-2]\ * #,##0.00_);_([$€-2]\ * \(#,##0.00\);_([$€-2]\ * &quot;-&quot;??_);_(@_)"/>
    <numFmt numFmtId="168" formatCode="#,##0.00000"/>
    <numFmt numFmtId="169" formatCode="0.0000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</font>
    <font>
      <sz val="10"/>
      <name val="Arial"/>
      <family val="2"/>
    </font>
    <font>
      <sz val="9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41">
    <xf numFmtId="0" fontId="0" fillId="0" borderId="0" xfId="0"/>
    <xf numFmtId="0" fontId="4" fillId="0" borderId="1" xfId="3" applyFont="1" applyBorder="1" applyAlignment="1">
      <alignment horizontal="right"/>
    </xf>
    <xf numFmtId="0" fontId="4" fillId="0" borderId="0" xfId="3" applyFont="1"/>
    <xf numFmtId="164" fontId="4" fillId="0" borderId="0" xfId="3" applyNumberFormat="1" applyFont="1"/>
    <xf numFmtId="0" fontId="2" fillId="0" borderId="0" xfId="0" applyFont="1"/>
    <xf numFmtId="0" fontId="2" fillId="0" borderId="3" xfId="0" applyFont="1" applyBorder="1"/>
    <xf numFmtId="0" fontId="0" fillId="0" borderId="2" xfId="0" applyBorder="1"/>
    <xf numFmtId="0" fontId="0" fillId="0" borderId="1" xfId="0" applyBorder="1" applyAlignment="1">
      <alignment horizontal="center"/>
    </xf>
    <xf numFmtId="10" fontId="0" fillId="3" borderId="0" xfId="0" applyNumberFormat="1" applyFill="1"/>
    <xf numFmtId="44" fontId="0" fillId="3" borderId="0" xfId="1" applyFont="1" applyFill="1"/>
    <xf numFmtId="4" fontId="0" fillId="0" borderId="0" xfId="0" applyNumberFormat="1"/>
    <xf numFmtId="0" fontId="2" fillId="0" borderId="1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0" fillId="3" borderId="0" xfId="0" applyFill="1" applyAlignment="1">
      <alignment horizontal="right"/>
    </xf>
    <xf numFmtId="0" fontId="2" fillId="0" borderId="0" xfId="0" applyFont="1" applyAlignment="1">
      <alignment horizontal="left"/>
    </xf>
    <xf numFmtId="14" fontId="0" fillId="0" borderId="0" xfId="0" applyNumberFormat="1"/>
    <xf numFmtId="167" fontId="0" fillId="0" borderId="0" xfId="0" applyNumberFormat="1"/>
    <xf numFmtId="168" fontId="0" fillId="0" borderId="0" xfId="0" applyNumberFormat="1"/>
    <xf numFmtId="9" fontId="0" fillId="3" borderId="0" xfId="0" applyNumberFormat="1" applyFill="1"/>
    <xf numFmtId="169" fontId="0" fillId="0" borderId="0" xfId="0" applyNumberFormat="1"/>
    <xf numFmtId="0" fontId="2" fillId="0" borderId="7" xfId="0" applyFont="1" applyBorder="1"/>
    <xf numFmtId="0" fontId="0" fillId="0" borderId="8" xfId="0" applyBorder="1"/>
    <xf numFmtId="0" fontId="0" fillId="0" borderId="9" xfId="0" applyBorder="1"/>
    <xf numFmtId="14" fontId="0" fillId="4" borderId="10" xfId="0" applyNumberFormat="1" applyFill="1" applyBorder="1"/>
    <xf numFmtId="44" fontId="0" fillId="0" borderId="10" xfId="1" applyFont="1" applyBorder="1"/>
    <xf numFmtId="0" fontId="0" fillId="0" borderId="11" xfId="0" applyBorder="1"/>
    <xf numFmtId="44" fontId="0" fillId="0" borderId="12" xfId="1" applyFont="1" applyBorder="1"/>
    <xf numFmtId="0" fontId="0" fillId="2" borderId="10" xfId="0" applyFill="1" applyBorder="1" applyAlignment="1">
      <alignment horizontal="right"/>
    </xf>
    <xf numFmtId="14" fontId="0" fillId="2" borderId="10" xfId="0" applyNumberFormat="1" applyFill="1" applyBorder="1"/>
    <xf numFmtId="165" fontId="0" fillId="2" borderId="10" xfId="0" applyNumberFormat="1" applyFill="1" applyBorder="1"/>
    <xf numFmtId="9" fontId="0" fillId="2" borderId="10" xfId="2" applyFont="1" applyFill="1" applyBorder="1"/>
    <xf numFmtId="44" fontId="0" fillId="2" borderId="10" xfId="1" applyFont="1" applyFill="1" applyBorder="1"/>
    <xf numFmtId="0" fontId="0" fillId="2" borderId="10" xfId="0" applyFill="1" applyBorder="1"/>
    <xf numFmtId="166" fontId="0" fillId="2" borderId="12" xfId="0" applyNumberFormat="1" applyFill="1" applyBorder="1"/>
    <xf numFmtId="14" fontId="0" fillId="0" borderId="10" xfId="0" applyNumberFormat="1" applyBorder="1"/>
    <xf numFmtId="0" fontId="5" fillId="0" borderId="0" xfId="0" applyFont="1" applyAlignment="1">
      <alignment horizontal="left" indent="1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3" borderId="0" xfId="0" applyFill="1"/>
    <xf numFmtId="10" fontId="0" fillId="3" borderId="0" xfId="2" applyNumberFormat="1" applyFont="1" applyFill="1"/>
  </cellXfs>
  <cellStyles count="4">
    <cellStyle name="Prozent" xfId="2" builtinId="5"/>
    <cellStyle name="Standard" xfId="0" builtinId="0"/>
    <cellStyle name="Standard 2" xfId="3" xr:uid="{BBCEFC0A-1657-4077-A69C-66FBE8B2546A}"/>
    <cellStyle name="Währung" xfId="1" builtinId="4"/>
  </cellStyles>
  <dxfs count="23">
    <dxf>
      <fill>
        <patternFill patternType="solid">
          <fgColor indexed="64"/>
          <bgColor theme="9" tint="0.79998168889431442"/>
        </patternFill>
      </fill>
    </dxf>
    <dxf>
      <numFmt numFmtId="14" formatCode="0.00%"/>
      <fill>
        <patternFill patternType="solid">
          <fgColor indexed="64"/>
          <bgColor theme="9" tint="0.79998168889431442"/>
        </patternFill>
      </fill>
    </dxf>
    <dxf>
      <numFmt numFmtId="14" formatCode="0.00%"/>
      <fill>
        <patternFill patternType="solid">
          <fgColor indexed="64"/>
          <bgColor theme="9" tint="0.79998168889431442"/>
        </patternFill>
      </fill>
    </dxf>
    <dxf>
      <numFmt numFmtId="14" formatCode="0.00%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8" formatCode="#,##0.00000"/>
    </dxf>
    <dxf>
      <numFmt numFmtId="168" formatCode="#,##0.00000"/>
    </dxf>
    <dxf>
      <numFmt numFmtId="168" formatCode="#,##0.00000"/>
    </dxf>
    <dxf>
      <numFmt numFmtId="19" formatCode="dd/mm/yyyy"/>
    </dxf>
    <dxf>
      <font>
        <strike val="0"/>
        <color theme="0" tint="-0.24994659260841701"/>
      </font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font>
        <strike val="0"/>
        <color theme="0" tint="-0.24994659260841701"/>
      </font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font>
        <strike val="0"/>
        <color theme="0" tint="-0.24994659260841701"/>
      </font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numFmt numFmtId="13" formatCode="0%"/>
      <fill>
        <patternFill patternType="solid">
          <fgColor indexed="64"/>
          <bgColor theme="9" tint="0.79998168889431442"/>
        </patternFill>
      </fill>
    </dxf>
    <dxf>
      <numFmt numFmtId="13" formatCode="0%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indexed="64"/>
        </bottom>
      </border>
    </dxf>
    <dxf>
      <alignment horizontal="right" vertical="bottom" textRotation="0" wrapText="0" indent="0" justifyLastLine="0" shrinkToFit="0" readingOrder="0"/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ichStyles" Target="richData/richStyles.xml"/><Relationship Id="rId5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Kalkulation!$S$8</c:f>
              <c:strCache>
                <c:ptCount val="1"/>
                <c:pt idx="0">
                  <c:v>€DK+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[0]!v_Datbereich</c:f>
              <c:numCache>
                <c:formatCode>m/d/yyyy</c:formatCode>
                <c:ptCount val="36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  <c:pt idx="275">
                  <c:v>44896</c:v>
                </c:pt>
                <c:pt idx="276">
                  <c:v>44927</c:v>
                </c:pt>
                <c:pt idx="277">
                  <c:v>44958</c:v>
                </c:pt>
                <c:pt idx="278">
                  <c:v>44986</c:v>
                </c:pt>
                <c:pt idx="279">
                  <c:v>45017</c:v>
                </c:pt>
                <c:pt idx="280">
                  <c:v>45047</c:v>
                </c:pt>
                <c:pt idx="281">
                  <c:v>45078</c:v>
                </c:pt>
                <c:pt idx="282">
                  <c:v>45108</c:v>
                </c:pt>
                <c:pt idx="283">
                  <c:v>45139</c:v>
                </c:pt>
                <c:pt idx="284">
                  <c:v>45170</c:v>
                </c:pt>
                <c:pt idx="285">
                  <c:v>45200</c:v>
                </c:pt>
                <c:pt idx="286">
                  <c:v>45231</c:v>
                </c:pt>
                <c:pt idx="287">
                  <c:v>45261</c:v>
                </c:pt>
                <c:pt idx="288">
                  <c:v>45292</c:v>
                </c:pt>
                <c:pt idx="289">
                  <c:v>45323</c:v>
                </c:pt>
                <c:pt idx="290">
                  <c:v>45352</c:v>
                </c:pt>
                <c:pt idx="291">
                  <c:v>45383</c:v>
                </c:pt>
                <c:pt idx="292">
                  <c:v>45413</c:v>
                </c:pt>
                <c:pt idx="293">
                  <c:v>45444</c:v>
                </c:pt>
                <c:pt idx="294">
                  <c:v>45474</c:v>
                </c:pt>
                <c:pt idx="295">
                  <c:v>45505</c:v>
                </c:pt>
                <c:pt idx="296">
                  <c:v>45536</c:v>
                </c:pt>
                <c:pt idx="297">
                  <c:v>45566</c:v>
                </c:pt>
                <c:pt idx="298">
                  <c:v>45597</c:v>
                </c:pt>
                <c:pt idx="299">
                  <c:v>45627</c:v>
                </c:pt>
                <c:pt idx="300">
                  <c:v>45658</c:v>
                </c:pt>
                <c:pt idx="301">
                  <c:v>45689</c:v>
                </c:pt>
                <c:pt idx="302">
                  <c:v>45717</c:v>
                </c:pt>
                <c:pt idx="303">
                  <c:v>45748</c:v>
                </c:pt>
                <c:pt idx="304">
                  <c:v>45778</c:v>
                </c:pt>
                <c:pt idx="305">
                  <c:v>45809</c:v>
                </c:pt>
                <c:pt idx="306">
                  <c:v>45839</c:v>
                </c:pt>
                <c:pt idx="307">
                  <c:v>45870</c:v>
                </c:pt>
                <c:pt idx="308">
                  <c:v>45901</c:v>
                </c:pt>
                <c:pt idx="309">
                  <c:v>45931</c:v>
                </c:pt>
                <c:pt idx="310">
                  <c:v>45962</c:v>
                </c:pt>
                <c:pt idx="311">
                  <c:v>45992</c:v>
                </c:pt>
                <c:pt idx="312">
                  <c:v>46023</c:v>
                </c:pt>
                <c:pt idx="313">
                  <c:v>46054</c:v>
                </c:pt>
                <c:pt idx="314">
                  <c:v>46082</c:v>
                </c:pt>
                <c:pt idx="315">
                  <c:v>46113</c:v>
                </c:pt>
                <c:pt idx="316">
                  <c:v>46143</c:v>
                </c:pt>
                <c:pt idx="317">
                  <c:v>46174</c:v>
                </c:pt>
                <c:pt idx="318">
                  <c:v>46204</c:v>
                </c:pt>
                <c:pt idx="319">
                  <c:v>46235</c:v>
                </c:pt>
                <c:pt idx="320">
                  <c:v>46266</c:v>
                </c:pt>
                <c:pt idx="321">
                  <c:v>46296</c:v>
                </c:pt>
                <c:pt idx="322">
                  <c:v>46327</c:v>
                </c:pt>
                <c:pt idx="323">
                  <c:v>46357</c:v>
                </c:pt>
                <c:pt idx="324">
                  <c:v>46388</c:v>
                </c:pt>
                <c:pt idx="325">
                  <c:v>46419</c:v>
                </c:pt>
                <c:pt idx="326">
                  <c:v>46447</c:v>
                </c:pt>
                <c:pt idx="327">
                  <c:v>46478</c:v>
                </c:pt>
                <c:pt idx="328">
                  <c:v>46508</c:v>
                </c:pt>
                <c:pt idx="329">
                  <c:v>46539</c:v>
                </c:pt>
                <c:pt idx="330">
                  <c:v>46569</c:v>
                </c:pt>
                <c:pt idx="331">
                  <c:v>46600</c:v>
                </c:pt>
                <c:pt idx="332">
                  <c:v>46631</c:v>
                </c:pt>
                <c:pt idx="333">
                  <c:v>46661</c:v>
                </c:pt>
                <c:pt idx="334">
                  <c:v>46692</c:v>
                </c:pt>
                <c:pt idx="335">
                  <c:v>46722</c:v>
                </c:pt>
                <c:pt idx="336">
                  <c:v>46753</c:v>
                </c:pt>
                <c:pt idx="337">
                  <c:v>46784</c:v>
                </c:pt>
                <c:pt idx="338">
                  <c:v>46813</c:v>
                </c:pt>
                <c:pt idx="339">
                  <c:v>46844</c:v>
                </c:pt>
                <c:pt idx="340">
                  <c:v>46874</c:v>
                </c:pt>
                <c:pt idx="341">
                  <c:v>46905</c:v>
                </c:pt>
                <c:pt idx="342">
                  <c:v>46935</c:v>
                </c:pt>
                <c:pt idx="343">
                  <c:v>46966</c:v>
                </c:pt>
                <c:pt idx="344">
                  <c:v>46997</c:v>
                </c:pt>
                <c:pt idx="345">
                  <c:v>47027</c:v>
                </c:pt>
                <c:pt idx="346">
                  <c:v>47058</c:v>
                </c:pt>
                <c:pt idx="347">
                  <c:v>47088</c:v>
                </c:pt>
                <c:pt idx="348">
                  <c:v>47119</c:v>
                </c:pt>
                <c:pt idx="349">
                  <c:v>47150</c:v>
                </c:pt>
                <c:pt idx="350">
                  <c:v>47178</c:v>
                </c:pt>
                <c:pt idx="351">
                  <c:v>47209</c:v>
                </c:pt>
                <c:pt idx="352">
                  <c:v>47239</c:v>
                </c:pt>
                <c:pt idx="353">
                  <c:v>47270</c:v>
                </c:pt>
                <c:pt idx="354">
                  <c:v>47300</c:v>
                </c:pt>
                <c:pt idx="355">
                  <c:v>47331</c:v>
                </c:pt>
                <c:pt idx="356">
                  <c:v>47362</c:v>
                </c:pt>
                <c:pt idx="357">
                  <c:v>47392</c:v>
                </c:pt>
                <c:pt idx="358">
                  <c:v>47423</c:v>
                </c:pt>
                <c:pt idx="359">
                  <c:v>47453</c:v>
                </c:pt>
              </c:numCache>
            </c:numRef>
          </c:cat>
          <c:val>
            <c:numRef>
              <c:f>[0]!v_DK_plus</c:f>
              <c:numCache>
                <c:formatCode>#,##0.00</c:formatCode>
                <c:ptCount val="360"/>
                <c:pt idx="0">
                  <c:v>184.27</c:v>
                </c:pt>
                <c:pt idx="1">
                  <c:v>361.57</c:v>
                </c:pt>
                <c:pt idx="2">
                  <c:v>573.77</c:v>
                </c:pt>
                <c:pt idx="3">
                  <c:v>707.2</c:v>
                </c:pt>
                <c:pt idx="4">
                  <c:v>883.86</c:v>
                </c:pt>
                <c:pt idx="5">
                  <c:v>1006.5</c:v>
                </c:pt>
                <c:pt idx="6">
                  <c:v>1117.8900000000001</c:v>
                </c:pt>
                <c:pt idx="7">
                  <c:v>1313.95</c:v>
                </c:pt>
                <c:pt idx="8">
                  <c:v>1516.81</c:v>
                </c:pt>
                <c:pt idx="9">
                  <c:v>1568.27</c:v>
                </c:pt>
                <c:pt idx="10">
                  <c:v>1779.56</c:v>
                </c:pt>
                <c:pt idx="11">
                  <c:v>1791.03</c:v>
                </c:pt>
                <c:pt idx="12">
                  <c:v>1885.76</c:v>
                </c:pt>
                <c:pt idx="13">
                  <c:v>2182.36</c:v>
                </c:pt>
                <c:pt idx="14">
                  <c:v>2140.6999999999998</c:v>
                </c:pt>
                <c:pt idx="15">
                  <c:v>2165.91</c:v>
                </c:pt>
                <c:pt idx="16">
                  <c:v>2510.46</c:v>
                </c:pt>
                <c:pt idx="17">
                  <c:v>2633.81</c:v>
                </c:pt>
                <c:pt idx="18">
                  <c:v>2788.11</c:v>
                </c:pt>
                <c:pt idx="19">
                  <c:v>2817.14</c:v>
                </c:pt>
                <c:pt idx="20">
                  <c:v>2600.31</c:v>
                </c:pt>
                <c:pt idx="21">
                  <c:v>2298.7600000000002</c:v>
                </c:pt>
                <c:pt idx="22">
                  <c:v>2690.1</c:v>
                </c:pt>
                <c:pt idx="23">
                  <c:v>3068.19</c:v>
                </c:pt>
                <c:pt idx="24">
                  <c:v>3468.67</c:v>
                </c:pt>
                <c:pt idx="25">
                  <c:v>3697.31</c:v>
                </c:pt>
                <c:pt idx="26">
                  <c:v>3977.58</c:v>
                </c:pt>
                <c:pt idx="27">
                  <c:v>4436</c:v>
                </c:pt>
                <c:pt idx="28">
                  <c:v>4408.2700000000004</c:v>
                </c:pt>
                <c:pt idx="29">
                  <c:v>4483.67</c:v>
                </c:pt>
                <c:pt idx="30">
                  <c:v>4381.2299999999996</c:v>
                </c:pt>
                <c:pt idx="31">
                  <c:v>3849.6</c:v>
                </c:pt>
                <c:pt idx="32">
                  <c:v>4132.97</c:v>
                </c:pt>
                <c:pt idx="33">
                  <c:v>3503.14</c:v>
                </c:pt>
                <c:pt idx="34">
                  <c:v>4179.13</c:v>
                </c:pt>
                <c:pt idx="35">
                  <c:v>4762</c:v>
                </c:pt>
                <c:pt idx="36">
                  <c:v>4631.26</c:v>
                </c:pt>
                <c:pt idx="37">
                  <c:v>4352.57</c:v>
                </c:pt>
                <c:pt idx="38">
                  <c:v>4291.68</c:v>
                </c:pt>
                <c:pt idx="39">
                  <c:v>4393.04</c:v>
                </c:pt>
                <c:pt idx="40">
                  <c:v>5694.46</c:v>
                </c:pt>
                <c:pt idx="41">
                  <c:v>6131.19</c:v>
                </c:pt>
                <c:pt idx="42">
                  <c:v>6582.24</c:v>
                </c:pt>
                <c:pt idx="43">
                  <c:v>7499.22</c:v>
                </c:pt>
                <c:pt idx="44">
                  <c:v>8077.97</c:v>
                </c:pt>
                <c:pt idx="45">
                  <c:v>7792.52</c:v>
                </c:pt>
                <c:pt idx="46">
                  <c:v>9077.07</c:v>
                </c:pt>
                <c:pt idx="47">
                  <c:v>9548.0400000000009</c:v>
                </c:pt>
                <c:pt idx="48">
                  <c:v>10335.530000000001</c:v>
                </c:pt>
                <c:pt idx="49">
                  <c:v>10755.78</c:v>
                </c:pt>
                <c:pt idx="50">
                  <c:v>10989.17</c:v>
                </c:pt>
                <c:pt idx="51">
                  <c:v>10908.95</c:v>
                </c:pt>
                <c:pt idx="52">
                  <c:v>11424.84</c:v>
                </c:pt>
                <c:pt idx="53">
                  <c:v>11285.7</c:v>
                </c:pt>
                <c:pt idx="54">
                  <c:v>12076.8</c:v>
                </c:pt>
                <c:pt idx="55">
                  <c:v>11828.94</c:v>
                </c:pt>
                <c:pt idx="56">
                  <c:v>11967.36</c:v>
                </c:pt>
                <c:pt idx="57">
                  <c:v>12815.91</c:v>
                </c:pt>
                <c:pt idx="58">
                  <c:v>13153.45</c:v>
                </c:pt>
                <c:pt idx="59">
                  <c:v>14013.34</c:v>
                </c:pt>
                <c:pt idx="60">
                  <c:v>14652.61</c:v>
                </c:pt>
                <c:pt idx="61">
                  <c:v>14891.41</c:v>
                </c:pt>
                <c:pt idx="62">
                  <c:v>15537.74</c:v>
                </c:pt>
                <c:pt idx="63">
                  <c:v>15780.22</c:v>
                </c:pt>
                <c:pt idx="64">
                  <c:v>15510.17</c:v>
                </c:pt>
                <c:pt idx="65">
                  <c:v>16922.03</c:v>
                </c:pt>
                <c:pt idx="66">
                  <c:v>17542.22</c:v>
                </c:pt>
                <c:pt idx="67">
                  <c:v>18877.37</c:v>
                </c:pt>
                <c:pt idx="68">
                  <c:v>18968.13</c:v>
                </c:pt>
                <c:pt idx="69">
                  <c:v>20196.689999999999</c:v>
                </c:pt>
                <c:pt idx="70">
                  <c:v>19832.28</c:v>
                </c:pt>
                <c:pt idx="71">
                  <c:v>21515.66</c:v>
                </c:pt>
                <c:pt idx="72">
                  <c:v>22552.34</c:v>
                </c:pt>
                <c:pt idx="73">
                  <c:v>23988.240000000002</c:v>
                </c:pt>
                <c:pt idx="74">
                  <c:v>24859.119999999999</c:v>
                </c:pt>
                <c:pt idx="75">
                  <c:v>25810.880000000001</c:v>
                </c:pt>
                <c:pt idx="76">
                  <c:v>26205.96</c:v>
                </c:pt>
                <c:pt idx="77">
                  <c:v>24979.06</c:v>
                </c:pt>
                <c:pt idx="78">
                  <c:v>25278.880000000001</c:v>
                </c:pt>
                <c:pt idx="79">
                  <c:v>25037.46</c:v>
                </c:pt>
                <c:pt idx="80">
                  <c:v>26580.09</c:v>
                </c:pt>
                <c:pt idx="81">
                  <c:v>27418.81</c:v>
                </c:pt>
                <c:pt idx="82">
                  <c:v>29045.54</c:v>
                </c:pt>
                <c:pt idx="83">
                  <c:v>29085.66</c:v>
                </c:pt>
                <c:pt idx="84">
                  <c:v>31431.91</c:v>
                </c:pt>
                <c:pt idx="85">
                  <c:v>32515.53</c:v>
                </c:pt>
                <c:pt idx="86">
                  <c:v>31781.62</c:v>
                </c:pt>
                <c:pt idx="87">
                  <c:v>33491.120000000003</c:v>
                </c:pt>
                <c:pt idx="88">
                  <c:v>36291.79</c:v>
                </c:pt>
                <c:pt idx="89">
                  <c:v>39175.81</c:v>
                </c:pt>
                <c:pt idx="90">
                  <c:v>39304.800000000003</c:v>
                </c:pt>
                <c:pt idx="91">
                  <c:v>37171.57</c:v>
                </c:pt>
                <c:pt idx="92">
                  <c:v>38321.97</c:v>
                </c:pt>
                <c:pt idx="93">
                  <c:v>39978.92</c:v>
                </c:pt>
                <c:pt idx="94">
                  <c:v>40042.75</c:v>
                </c:pt>
                <c:pt idx="95">
                  <c:v>40094.769999999997</c:v>
                </c:pt>
                <c:pt idx="96">
                  <c:v>40945.64</c:v>
                </c:pt>
                <c:pt idx="97">
                  <c:v>36136.959999999999</c:v>
                </c:pt>
                <c:pt idx="98">
                  <c:v>34956.25</c:v>
                </c:pt>
                <c:pt idx="99">
                  <c:v>35391.86</c:v>
                </c:pt>
                <c:pt idx="100">
                  <c:v>37381</c:v>
                </c:pt>
                <c:pt idx="101">
                  <c:v>37472.14</c:v>
                </c:pt>
                <c:pt idx="102">
                  <c:v>34016.46</c:v>
                </c:pt>
                <c:pt idx="103">
                  <c:v>34729.33</c:v>
                </c:pt>
                <c:pt idx="104">
                  <c:v>35143.64</c:v>
                </c:pt>
                <c:pt idx="105">
                  <c:v>32025</c:v>
                </c:pt>
                <c:pt idx="106">
                  <c:v>27965.03</c:v>
                </c:pt>
                <c:pt idx="107">
                  <c:v>24690.86</c:v>
                </c:pt>
                <c:pt idx="108">
                  <c:v>28252.26</c:v>
                </c:pt>
                <c:pt idx="109">
                  <c:v>24501.48</c:v>
                </c:pt>
                <c:pt idx="110">
                  <c:v>21523.85</c:v>
                </c:pt>
                <c:pt idx="111">
                  <c:v>24274.2</c:v>
                </c:pt>
                <c:pt idx="112">
                  <c:v>29134.48</c:v>
                </c:pt>
                <c:pt idx="113">
                  <c:v>30850.86</c:v>
                </c:pt>
                <c:pt idx="114">
                  <c:v>29691.64</c:v>
                </c:pt>
                <c:pt idx="115">
                  <c:v>33152.639999999999</c:v>
                </c:pt>
                <c:pt idx="116">
                  <c:v>32815.089999999997</c:v>
                </c:pt>
                <c:pt idx="117">
                  <c:v>34502.28</c:v>
                </c:pt>
                <c:pt idx="118">
                  <c:v>34003.21</c:v>
                </c:pt>
                <c:pt idx="119">
                  <c:v>36461.17</c:v>
                </c:pt>
                <c:pt idx="120">
                  <c:v>38464.080000000002</c:v>
                </c:pt>
                <c:pt idx="121">
                  <c:v>36216.92</c:v>
                </c:pt>
                <c:pt idx="122">
                  <c:v>36873.08</c:v>
                </c:pt>
                <c:pt idx="123">
                  <c:v>40542.03</c:v>
                </c:pt>
                <c:pt idx="124">
                  <c:v>40367.480000000003</c:v>
                </c:pt>
                <c:pt idx="125">
                  <c:v>39418.99</c:v>
                </c:pt>
                <c:pt idx="126">
                  <c:v>38872.199999999997</c:v>
                </c:pt>
                <c:pt idx="127">
                  <c:v>42051.67</c:v>
                </c:pt>
                <c:pt idx="128">
                  <c:v>40925.53</c:v>
                </c:pt>
                <c:pt idx="129">
                  <c:v>42062.81</c:v>
                </c:pt>
                <c:pt idx="130">
                  <c:v>45018.39</c:v>
                </c:pt>
                <c:pt idx="131">
                  <c:v>47086.16</c:v>
                </c:pt>
                <c:pt idx="132">
                  <c:v>48207.58</c:v>
                </c:pt>
                <c:pt idx="133">
                  <c:v>49828.65</c:v>
                </c:pt>
                <c:pt idx="134">
                  <c:v>50372.52</c:v>
                </c:pt>
                <c:pt idx="135">
                  <c:v>50339.3</c:v>
                </c:pt>
                <c:pt idx="136">
                  <c:v>53062.03</c:v>
                </c:pt>
                <c:pt idx="137">
                  <c:v>51135.65</c:v>
                </c:pt>
                <c:pt idx="138">
                  <c:v>52845.43</c:v>
                </c:pt>
                <c:pt idx="139">
                  <c:v>49784.959999999999</c:v>
                </c:pt>
                <c:pt idx="140">
                  <c:v>41252.89</c:v>
                </c:pt>
                <c:pt idx="141">
                  <c:v>38963.040000000001</c:v>
                </c:pt>
                <c:pt idx="142">
                  <c:v>42578</c:v>
                </c:pt>
                <c:pt idx="143">
                  <c:v>44330.46</c:v>
                </c:pt>
                <c:pt idx="144">
                  <c:v>44896.63</c:v>
                </c:pt>
                <c:pt idx="145">
                  <c:v>49191.56</c:v>
                </c:pt>
                <c:pt idx="146">
                  <c:v>51893.22</c:v>
                </c:pt>
                <c:pt idx="147">
                  <c:v>53027.3</c:v>
                </c:pt>
                <c:pt idx="148">
                  <c:v>50686.37</c:v>
                </c:pt>
                <c:pt idx="149">
                  <c:v>45943.83</c:v>
                </c:pt>
                <c:pt idx="150">
                  <c:v>49620.87</c:v>
                </c:pt>
                <c:pt idx="151">
                  <c:v>51876.46</c:v>
                </c:pt>
                <c:pt idx="152">
                  <c:v>54157.08</c:v>
                </c:pt>
                <c:pt idx="153">
                  <c:v>56846.720000000001</c:v>
                </c:pt>
                <c:pt idx="154">
                  <c:v>57185.96</c:v>
                </c:pt>
                <c:pt idx="155">
                  <c:v>58234.84</c:v>
                </c:pt>
                <c:pt idx="156">
                  <c:v>61206.44</c:v>
                </c:pt>
                <c:pt idx="157">
                  <c:v>61906.06</c:v>
                </c:pt>
                <c:pt idx="158">
                  <c:v>61180.36</c:v>
                </c:pt>
                <c:pt idx="159">
                  <c:v>63327.03</c:v>
                </c:pt>
                <c:pt idx="160">
                  <c:v>63737.34</c:v>
                </c:pt>
                <c:pt idx="161">
                  <c:v>66609.33</c:v>
                </c:pt>
                <c:pt idx="162">
                  <c:v>64440.08</c:v>
                </c:pt>
                <c:pt idx="163">
                  <c:v>68165.37</c:v>
                </c:pt>
                <c:pt idx="164">
                  <c:v>67074.25</c:v>
                </c:pt>
                <c:pt idx="165">
                  <c:v>70976.740000000005</c:v>
                </c:pt>
                <c:pt idx="166">
                  <c:v>73854.11</c:v>
                </c:pt>
                <c:pt idx="167">
                  <c:v>77360.479999999996</c:v>
                </c:pt>
                <c:pt idx="168">
                  <c:v>77607.850000000006</c:v>
                </c:pt>
                <c:pt idx="169">
                  <c:v>76102.679999999993</c:v>
                </c:pt>
                <c:pt idx="170">
                  <c:v>77798.73</c:v>
                </c:pt>
                <c:pt idx="171">
                  <c:v>80103.22</c:v>
                </c:pt>
                <c:pt idx="172">
                  <c:v>79966.66</c:v>
                </c:pt>
                <c:pt idx="173">
                  <c:v>83536.800000000003</c:v>
                </c:pt>
                <c:pt idx="174">
                  <c:v>83396.490000000005</c:v>
                </c:pt>
                <c:pt idx="175">
                  <c:v>77810.559999999998</c:v>
                </c:pt>
                <c:pt idx="176">
                  <c:v>80352.83</c:v>
                </c:pt>
                <c:pt idx="177">
                  <c:v>79790.45</c:v>
                </c:pt>
                <c:pt idx="178">
                  <c:v>78941.23</c:v>
                </c:pt>
                <c:pt idx="179">
                  <c:v>85295.83</c:v>
                </c:pt>
                <c:pt idx="180">
                  <c:v>83850.12</c:v>
                </c:pt>
                <c:pt idx="181">
                  <c:v>93267.11</c:v>
                </c:pt>
                <c:pt idx="182">
                  <c:v>98553.83</c:v>
                </c:pt>
                <c:pt idx="183">
                  <c:v>103927.03999999999</c:v>
                </c:pt>
                <c:pt idx="184">
                  <c:v>100871.12</c:v>
                </c:pt>
                <c:pt idx="185">
                  <c:v>99528.04</c:v>
                </c:pt>
                <c:pt idx="186">
                  <c:v>97555.36</c:v>
                </c:pt>
                <c:pt idx="187">
                  <c:v>100114.48</c:v>
                </c:pt>
                <c:pt idx="188">
                  <c:v>87847.99</c:v>
                </c:pt>
                <c:pt idx="189">
                  <c:v>83655.070000000007</c:v>
                </c:pt>
                <c:pt idx="190">
                  <c:v>96632</c:v>
                </c:pt>
                <c:pt idx="191">
                  <c:v>99636.34</c:v>
                </c:pt>
                <c:pt idx="192">
                  <c:v>91221.45</c:v>
                </c:pt>
                <c:pt idx="193">
                  <c:v>86806.28</c:v>
                </c:pt>
                <c:pt idx="194">
                  <c:v>86703.18</c:v>
                </c:pt>
                <c:pt idx="195">
                  <c:v>87656.55</c:v>
                </c:pt>
                <c:pt idx="196">
                  <c:v>90865.29</c:v>
                </c:pt>
                <c:pt idx="197">
                  <c:v>91854.64</c:v>
                </c:pt>
                <c:pt idx="198">
                  <c:v>88248.02</c:v>
                </c:pt>
                <c:pt idx="199">
                  <c:v>93525.38</c:v>
                </c:pt>
                <c:pt idx="200">
                  <c:v>95633.01</c:v>
                </c:pt>
                <c:pt idx="201">
                  <c:v>96666.72</c:v>
                </c:pt>
                <c:pt idx="202">
                  <c:v>96071.24</c:v>
                </c:pt>
                <c:pt idx="203">
                  <c:v>96400.78</c:v>
                </c:pt>
                <c:pt idx="204">
                  <c:v>106420.24</c:v>
                </c:pt>
                <c:pt idx="205">
                  <c:v>107236.78</c:v>
                </c:pt>
                <c:pt idx="206">
                  <c:v>111248.04</c:v>
                </c:pt>
                <c:pt idx="207">
                  <c:v>113255.85</c:v>
                </c:pt>
                <c:pt idx="208">
                  <c:v>115828.8</c:v>
                </c:pt>
                <c:pt idx="209">
                  <c:v>117536.88</c:v>
                </c:pt>
                <c:pt idx="210">
                  <c:v>116024.74</c:v>
                </c:pt>
                <c:pt idx="211">
                  <c:v>114188.59</c:v>
                </c:pt>
                <c:pt idx="212">
                  <c:v>113425.76</c:v>
                </c:pt>
                <c:pt idx="213">
                  <c:v>120790.61</c:v>
                </c:pt>
                <c:pt idx="214">
                  <c:v>126318.98</c:v>
                </c:pt>
                <c:pt idx="215">
                  <c:v>120891.34</c:v>
                </c:pt>
                <c:pt idx="216">
                  <c:v>121234.16</c:v>
                </c:pt>
                <c:pt idx="217">
                  <c:v>122733.94</c:v>
                </c:pt>
                <c:pt idx="218">
                  <c:v>115296.67</c:v>
                </c:pt>
                <c:pt idx="219">
                  <c:v>113761.91</c:v>
                </c:pt>
                <c:pt idx="220">
                  <c:v>121608.67</c:v>
                </c:pt>
                <c:pt idx="221">
                  <c:v>121116.02</c:v>
                </c:pt>
                <c:pt idx="222">
                  <c:v>116730.4</c:v>
                </c:pt>
                <c:pt idx="223">
                  <c:v>121748.4</c:v>
                </c:pt>
                <c:pt idx="224">
                  <c:v>118257.2</c:v>
                </c:pt>
                <c:pt idx="225">
                  <c:v>118436.77</c:v>
                </c:pt>
                <c:pt idx="226">
                  <c:v>110316.34</c:v>
                </c:pt>
                <c:pt idx="227">
                  <c:v>110539.42</c:v>
                </c:pt>
                <c:pt idx="228">
                  <c:v>102239.84</c:v>
                </c:pt>
                <c:pt idx="229">
                  <c:v>108310</c:v>
                </c:pt>
                <c:pt idx="230">
                  <c:v>112649.97</c:v>
                </c:pt>
                <c:pt idx="231">
                  <c:v>113683.14</c:v>
                </c:pt>
                <c:pt idx="232">
                  <c:v>120403.1</c:v>
                </c:pt>
                <c:pt idx="233">
                  <c:v>115253.49</c:v>
                </c:pt>
                <c:pt idx="234">
                  <c:v>122638.29</c:v>
                </c:pt>
                <c:pt idx="235">
                  <c:v>120255.49</c:v>
                </c:pt>
                <c:pt idx="236">
                  <c:v>117561.74</c:v>
                </c:pt>
                <c:pt idx="237">
                  <c:v>120866.95</c:v>
                </c:pt>
                <c:pt idx="238">
                  <c:v>127999.85</c:v>
                </c:pt>
                <c:pt idx="239">
                  <c:v>128283.03</c:v>
                </c:pt>
                <c:pt idx="240">
                  <c:v>132379.6</c:v>
                </c:pt>
                <c:pt idx="241">
                  <c:v>128943.94</c:v>
                </c:pt>
                <c:pt idx="242">
                  <c:v>117151.87</c:v>
                </c:pt>
                <c:pt idx="243">
                  <c:v>94258.52</c:v>
                </c:pt>
                <c:pt idx="244">
                  <c:v>103304.05</c:v>
                </c:pt>
                <c:pt idx="245">
                  <c:v>118574.53</c:v>
                </c:pt>
                <c:pt idx="246">
                  <c:v>120869.94</c:v>
                </c:pt>
                <c:pt idx="247">
                  <c:v>124611.8</c:v>
                </c:pt>
                <c:pt idx="248">
                  <c:v>127767.62</c:v>
                </c:pt>
                <c:pt idx="249">
                  <c:v>125305.3</c:v>
                </c:pt>
                <c:pt idx="250">
                  <c:v>115972.01</c:v>
                </c:pt>
                <c:pt idx="251">
                  <c:v>131575.54</c:v>
                </c:pt>
                <c:pt idx="252">
                  <c:v>134889.42000000001</c:v>
                </c:pt>
                <c:pt idx="253">
                  <c:v>133790.6</c:v>
                </c:pt>
                <c:pt idx="254">
                  <c:v>137554.64000000001</c:v>
                </c:pt>
                <c:pt idx="255">
                  <c:v>148213.57999999999</c:v>
                </c:pt>
                <c:pt idx="256">
                  <c:v>149403.34</c:v>
                </c:pt>
                <c:pt idx="257">
                  <c:v>152566.49</c:v>
                </c:pt>
                <c:pt idx="258">
                  <c:v>152843.70000000001</c:v>
                </c:pt>
                <c:pt idx="259">
                  <c:v>152420.64000000001</c:v>
                </c:pt>
                <c:pt idx="260">
                  <c:v>154840.46</c:v>
                </c:pt>
                <c:pt idx="261">
                  <c:v>148231.31</c:v>
                </c:pt>
                <c:pt idx="262">
                  <c:v>154502.78</c:v>
                </c:pt>
                <c:pt idx="263">
                  <c:v>151164.39000000001</c:v>
                </c:pt>
                <c:pt idx="264">
                  <c:v>156434.03</c:v>
                </c:pt>
                <c:pt idx="265">
                  <c:v>152437.28</c:v>
                </c:pt>
                <c:pt idx="266">
                  <c:v>135640.62</c:v>
                </c:pt>
                <c:pt idx="267">
                  <c:v>140847.21</c:v>
                </c:pt>
                <c:pt idx="268">
                  <c:v>135831.10999999999</c:v>
                </c:pt>
                <c:pt idx="269">
                  <c:v>139666.99</c:v>
                </c:pt>
                <c:pt idx="270">
                  <c:v>124731.73</c:v>
                </c:pt>
                <c:pt idx="271">
                  <c:v>131148.07999999999</c:v>
                </c:pt>
                <c:pt idx="272">
                  <c:v>122823.01</c:v>
                </c:pt>
                <c:pt idx="273">
                  <c:v>118670.52</c:v>
                </c:pt>
                <c:pt idx="274">
                  <c:v>129571.63</c:v>
                </c:pt>
                <c:pt idx="275">
                  <c:v>140677.43</c:v>
                </c:pt>
                <c:pt idx="276">
                  <c:v>136519.71</c:v>
                </c:pt>
                <c:pt idx="277">
                  <c:v>147221.16</c:v>
                </c:pt>
                <c:pt idx="278">
                  <c:v>148347.64000000001</c:v>
                </c:pt>
                <c:pt idx="279">
                  <c:v>150941.01999999999</c:v>
                </c:pt>
                <c:pt idx="280">
                  <c:v>152274.76999999999</c:v>
                </c:pt>
                <c:pt idx="281">
                  <c:v>153420.41</c:v>
                </c:pt>
                <c:pt idx="282">
                  <c:v>155537.94</c:v>
                </c:pt>
                <c:pt idx="283">
                  <c:v>156996.03</c:v>
                </c:pt>
                <c:pt idx="284">
                  <c:v>153050.15</c:v>
                </c:pt>
                <c:pt idx="285">
                  <c:v>147244.63</c:v>
                </c:pt>
                <c:pt idx="286">
                  <c:v>144041.94</c:v>
                </c:pt>
                <c:pt idx="287">
                  <c:v>158180.4</c:v>
                </c:pt>
                <c:pt idx="288">
                  <c:v>161680.39000000001</c:v>
                </c:pt>
                <c:pt idx="289">
                  <c:v>162459.09</c:v>
                </c:pt>
                <c:pt idx="290">
                  <c:v>170806.49</c:v>
                </c:pt>
                <c:pt idx="291">
                  <c:v>175989.77</c:v>
                </c:pt>
                <c:pt idx="292">
                  <c:v>172179.72</c:v>
                </c:pt>
                <c:pt idx="293">
                  <c:v>178929.06</c:v>
                </c:pt>
                <c:pt idx="294">
                  <c:v>175785.53</c:v>
                </c:pt>
                <c:pt idx="295">
                  <c:v>173700.2</c:v>
                </c:pt>
                <c:pt idx="296">
                  <c:v>181744.32</c:v>
                </c:pt>
                <c:pt idx="297">
                  <c:v>184356.56</c:v>
                </c:pt>
                <c:pt idx="298">
                  <c:v>184661.16</c:v>
                </c:pt>
                <c:pt idx="299">
                  <c:v>191066.33</c:v>
                </c:pt>
                <c:pt idx="300">
                  <c:v>191838.02</c:v>
                </c:pt>
                <c:pt idx="301">
                  <c:v>205169.78</c:v>
                </c:pt>
                <c:pt idx="302">
                  <c:v>221502.06</c:v>
                </c:pt>
                <c:pt idx="303">
                  <c:v>215583.67</c:v>
                </c:pt>
                <c:pt idx="304">
                  <c:v>220694.59</c:v>
                </c:pt>
                <c:pt idx="305">
                  <c:v>228639.68</c:v>
                </c:pt>
                <c:pt idx="306">
                  <c:v>226064.27</c:v>
                </c:pt>
                <c:pt idx="307">
                  <c:v>223587.38</c:v>
                </c:pt>
                <c:pt idx="308">
                  <c:v>229300.13</c:v>
                </c:pt>
                <c:pt idx="309">
                  <c:v>229907.98</c:v>
                </c:pt>
                <c:pt idx="310">
                  <c:v>229967.48</c:v>
                </c:pt>
                <c:pt idx="311">
                  <c:v>224679.02</c:v>
                </c:pt>
                <c:pt idx="312">
                  <c:v>233599.77</c:v>
                </c:pt>
                <c:pt idx="313">
                  <c:v>235933.32</c:v>
                </c:pt>
                <c:pt idx="314">
                  <c:v>234294.3</c:v>
                </c:pt>
                <c:pt idx="315">
                  <c:v>221450.72</c:v>
                </c:pt>
                <c:pt idx="316">
                  <c:v>227909.22</c:v>
                </c:pt>
                <c:pt idx="317">
                  <c:v>228199.14</c:v>
                </c:pt>
                <c:pt idx="318">
                  <c:v>229613.14</c:v>
                </c:pt>
                <c:pt idx="319">
                  <c:v>231366.25</c:v>
                </c:pt>
                <c:pt idx="320">
                  <c:v>233132.85</c:v>
                </c:pt>
                <c:pt idx="321">
                  <c:v>234913.01</c:v>
                </c:pt>
                <c:pt idx="322">
                  <c:v>236706.71</c:v>
                </c:pt>
                <c:pt idx="323">
                  <c:v>238514.21</c:v>
                </c:pt>
                <c:pt idx="324">
                  <c:v>239984.34</c:v>
                </c:pt>
                <c:pt idx="325">
                  <c:v>241463.58</c:v>
                </c:pt>
                <c:pt idx="326">
                  <c:v>242952.01</c:v>
                </c:pt>
                <c:pt idx="327">
                  <c:v>244449.6</c:v>
                </c:pt>
                <c:pt idx="328">
                  <c:v>245956.45</c:v>
                </c:pt>
                <c:pt idx="329">
                  <c:v>247472.62</c:v>
                </c:pt>
                <c:pt idx="330">
                  <c:v>248998.2</c:v>
                </c:pt>
                <c:pt idx="331">
                  <c:v>250533.17</c:v>
                </c:pt>
                <c:pt idx="332">
                  <c:v>252077.71</c:v>
                </c:pt>
                <c:pt idx="333">
                  <c:v>253631.7</c:v>
                </c:pt>
                <c:pt idx="334">
                  <c:v>255195.41</c:v>
                </c:pt>
                <c:pt idx="335">
                  <c:v>256768.73</c:v>
                </c:pt>
                <c:pt idx="336">
                  <c:v>254589.91</c:v>
                </c:pt>
                <c:pt idx="337">
                  <c:v>252429.58</c:v>
                </c:pt>
                <c:pt idx="338">
                  <c:v>250287.53</c:v>
                </c:pt>
                <c:pt idx="339">
                  <c:v>248163.63</c:v>
                </c:pt>
                <c:pt idx="340">
                  <c:v>246057.67</c:v>
                </c:pt>
                <c:pt idx="341">
                  <c:v>243969.53</c:v>
                </c:pt>
                <c:pt idx="342">
                  <c:v>241899.1</c:v>
                </c:pt>
                <c:pt idx="343">
                  <c:v>239846.17</c:v>
                </c:pt>
                <c:pt idx="344">
                  <c:v>237810.6</c:v>
                </c:pt>
                <c:pt idx="345">
                  <c:v>235792.28</c:v>
                </c:pt>
                <c:pt idx="346">
                  <c:v>233791.1</c:v>
                </c:pt>
                <c:pt idx="347">
                  <c:v>231806.75</c:v>
                </c:pt>
                <c:pt idx="348">
                  <c:v>234790.99</c:v>
                </c:pt>
                <c:pt idx="349">
                  <c:v>237813.71</c:v>
                </c:pt>
                <c:pt idx="350">
                  <c:v>240875.5</c:v>
                </c:pt>
                <c:pt idx="351">
                  <c:v>243976.67</c:v>
                </c:pt>
                <c:pt idx="352">
                  <c:v>247117.89</c:v>
                </c:pt>
                <c:pt idx="353">
                  <c:v>250299.67</c:v>
                </c:pt>
                <c:pt idx="354">
                  <c:v>253522.51</c:v>
                </c:pt>
                <c:pt idx="355">
                  <c:v>256786.89</c:v>
                </c:pt>
                <c:pt idx="356">
                  <c:v>260093.38</c:v>
                </c:pt>
                <c:pt idx="357">
                  <c:v>263442.5</c:v>
                </c:pt>
                <c:pt idx="358">
                  <c:v>266834.90999999997</c:v>
                </c:pt>
                <c:pt idx="359">
                  <c:v>270270.99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F4-44EC-B603-BB0F675FAF9F}"/>
            </c:ext>
          </c:extLst>
        </c:ser>
        <c:ser>
          <c:idx val="2"/>
          <c:order val="1"/>
          <c:tx>
            <c:strRef>
              <c:f>Kalkulation!$T$8</c:f>
              <c:strCache>
                <c:ptCount val="1"/>
                <c:pt idx="0">
                  <c:v>TFL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[0]!v_Datbereich</c:f>
              <c:numCache>
                <c:formatCode>m/d/yyyy</c:formatCode>
                <c:ptCount val="36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  <c:pt idx="275">
                  <c:v>44896</c:v>
                </c:pt>
                <c:pt idx="276">
                  <c:v>44927</c:v>
                </c:pt>
                <c:pt idx="277">
                  <c:v>44958</c:v>
                </c:pt>
                <c:pt idx="278">
                  <c:v>44986</c:v>
                </c:pt>
                <c:pt idx="279">
                  <c:v>45017</c:v>
                </c:pt>
                <c:pt idx="280">
                  <c:v>45047</c:v>
                </c:pt>
                <c:pt idx="281">
                  <c:v>45078</c:v>
                </c:pt>
                <c:pt idx="282">
                  <c:v>45108</c:v>
                </c:pt>
                <c:pt idx="283">
                  <c:v>45139</c:v>
                </c:pt>
                <c:pt idx="284">
                  <c:v>45170</c:v>
                </c:pt>
                <c:pt idx="285">
                  <c:v>45200</c:v>
                </c:pt>
                <c:pt idx="286">
                  <c:v>45231</c:v>
                </c:pt>
                <c:pt idx="287">
                  <c:v>45261</c:v>
                </c:pt>
                <c:pt idx="288">
                  <c:v>45292</c:v>
                </c:pt>
                <c:pt idx="289">
                  <c:v>45323</c:v>
                </c:pt>
                <c:pt idx="290">
                  <c:v>45352</c:v>
                </c:pt>
                <c:pt idx="291">
                  <c:v>45383</c:v>
                </c:pt>
                <c:pt idx="292">
                  <c:v>45413</c:v>
                </c:pt>
                <c:pt idx="293">
                  <c:v>45444</c:v>
                </c:pt>
                <c:pt idx="294">
                  <c:v>45474</c:v>
                </c:pt>
                <c:pt idx="295">
                  <c:v>45505</c:v>
                </c:pt>
                <c:pt idx="296">
                  <c:v>45536</c:v>
                </c:pt>
                <c:pt idx="297">
                  <c:v>45566</c:v>
                </c:pt>
                <c:pt idx="298">
                  <c:v>45597</c:v>
                </c:pt>
                <c:pt idx="299">
                  <c:v>45627</c:v>
                </c:pt>
                <c:pt idx="300">
                  <c:v>45658</c:v>
                </c:pt>
                <c:pt idx="301">
                  <c:v>45689</c:v>
                </c:pt>
                <c:pt idx="302">
                  <c:v>45717</c:v>
                </c:pt>
                <c:pt idx="303">
                  <c:v>45748</c:v>
                </c:pt>
                <c:pt idx="304">
                  <c:v>45778</c:v>
                </c:pt>
                <c:pt idx="305">
                  <c:v>45809</c:v>
                </c:pt>
                <c:pt idx="306">
                  <c:v>45839</c:v>
                </c:pt>
                <c:pt idx="307">
                  <c:v>45870</c:v>
                </c:pt>
                <c:pt idx="308">
                  <c:v>45901</c:v>
                </c:pt>
                <c:pt idx="309">
                  <c:v>45931</c:v>
                </c:pt>
                <c:pt idx="310">
                  <c:v>45962</c:v>
                </c:pt>
                <c:pt idx="311">
                  <c:v>45992</c:v>
                </c:pt>
                <c:pt idx="312">
                  <c:v>46023</c:v>
                </c:pt>
                <c:pt idx="313">
                  <c:v>46054</c:v>
                </c:pt>
                <c:pt idx="314">
                  <c:v>46082</c:v>
                </c:pt>
                <c:pt idx="315">
                  <c:v>46113</c:v>
                </c:pt>
                <c:pt idx="316">
                  <c:v>46143</c:v>
                </c:pt>
                <c:pt idx="317">
                  <c:v>46174</c:v>
                </c:pt>
                <c:pt idx="318">
                  <c:v>46204</c:v>
                </c:pt>
                <c:pt idx="319">
                  <c:v>46235</c:v>
                </c:pt>
                <c:pt idx="320">
                  <c:v>46266</c:v>
                </c:pt>
                <c:pt idx="321">
                  <c:v>46296</c:v>
                </c:pt>
                <c:pt idx="322">
                  <c:v>46327</c:v>
                </c:pt>
                <c:pt idx="323">
                  <c:v>46357</c:v>
                </c:pt>
                <c:pt idx="324">
                  <c:v>46388</c:v>
                </c:pt>
                <c:pt idx="325">
                  <c:v>46419</c:v>
                </c:pt>
                <c:pt idx="326">
                  <c:v>46447</c:v>
                </c:pt>
                <c:pt idx="327">
                  <c:v>46478</c:v>
                </c:pt>
                <c:pt idx="328">
                  <c:v>46508</c:v>
                </c:pt>
                <c:pt idx="329">
                  <c:v>46539</c:v>
                </c:pt>
                <c:pt idx="330">
                  <c:v>46569</c:v>
                </c:pt>
                <c:pt idx="331">
                  <c:v>46600</c:v>
                </c:pt>
                <c:pt idx="332">
                  <c:v>46631</c:v>
                </c:pt>
                <c:pt idx="333">
                  <c:v>46661</c:v>
                </c:pt>
                <c:pt idx="334">
                  <c:v>46692</c:v>
                </c:pt>
                <c:pt idx="335">
                  <c:v>46722</c:v>
                </c:pt>
                <c:pt idx="336">
                  <c:v>46753</c:v>
                </c:pt>
                <c:pt idx="337">
                  <c:v>46784</c:v>
                </c:pt>
                <c:pt idx="338">
                  <c:v>46813</c:v>
                </c:pt>
                <c:pt idx="339">
                  <c:v>46844</c:v>
                </c:pt>
                <c:pt idx="340">
                  <c:v>46874</c:v>
                </c:pt>
                <c:pt idx="341">
                  <c:v>46905</c:v>
                </c:pt>
                <c:pt idx="342">
                  <c:v>46935</c:v>
                </c:pt>
                <c:pt idx="343">
                  <c:v>46966</c:v>
                </c:pt>
                <c:pt idx="344">
                  <c:v>46997</c:v>
                </c:pt>
                <c:pt idx="345">
                  <c:v>47027</c:v>
                </c:pt>
                <c:pt idx="346">
                  <c:v>47058</c:v>
                </c:pt>
                <c:pt idx="347">
                  <c:v>47088</c:v>
                </c:pt>
                <c:pt idx="348">
                  <c:v>47119</c:v>
                </c:pt>
                <c:pt idx="349">
                  <c:v>47150</c:v>
                </c:pt>
                <c:pt idx="350">
                  <c:v>47178</c:v>
                </c:pt>
                <c:pt idx="351">
                  <c:v>47209</c:v>
                </c:pt>
                <c:pt idx="352">
                  <c:v>47239</c:v>
                </c:pt>
                <c:pt idx="353">
                  <c:v>47270</c:v>
                </c:pt>
                <c:pt idx="354">
                  <c:v>47300</c:v>
                </c:pt>
                <c:pt idx="355">
                  <c:v>47331</c:v>
                </c:pt>
                <c:pt idx="356">
                  <c:v>47362</c:v>
                </c:pt>
                <c:pt idx="357">
                  <c:v>47392</c:v>
                </c:pt>
                <c:pt idx="358">
                  <c:v>47423</c:v>
                </c:pt>
                <c:pt idx="359">
                  <c:v>47453</c:v>
                </c:pt>
              </c:numCache>
            </c:numRef>
          </c:cat>
          <c:val>
            <c:numRef>
              <c:f>[0]!v_TFL</c:f>
              <c:numCache>
                <c:formatCode>#,##0.00</c:formatCode>
                <c:ptCount val="360"/>
                <c:pt idx="0">
                  <c:v>43200</c:v>
                </c:pt>
                <c:pt idx="1">
                  <c:v>43200</c:v>
                </c:pt>
                <c:pt idx="2">
                  <c:v>43200</c:v>
                </c:pt>
                <c:pt idx="3">
                  <c:v>43200</c:v>
                </c:pt>
                <c:pt idx="4">
                  <c:v>43200</c:v>
                </c:pt>
                <c:pt idx="5">
                  <c:v>43200</c:v>
                </c:pt>
                <c:pt idx="6">
                  <c:v>43200</c:v>
                </c:pt>
                <c:pt idx="7">
                  <c:v>43200</c:v>
                </c:pt>
                <c:pt idx="8">
                  <c:v>43200</c:v>
                </c:pt>
                <c:pt idx="9">
                  <c:v>43200</c:v>
                </c:pt>
                <c:pt idx="10">
                  <c:v>43200</c:v>
                </c:pt>
                <c:pt idx="11">
                  <c:v>43200</c:v>
                </c:pt>
                <c:pt idx="12">
                  <c:v>43200</c:v>
                </c:pt>
                <c:pt idx="13">
                  <c:v>43200</c:v>
                </c:pt>
                <c:pt idx="14">
                  <c:v>43200</c:v>
                </c:pt>
                <c:pt idx="15">
                  <c:v>43200</c:v>
                </c:pt>
                <c:pt idx="16">
                  <c:v>43200</c:v>
                </c:pt>
                <c:pt idx="17">
                  <c:v>43200</c:v>
                </c:pt>
                <c:pt idx="18">
                  <c:v>43200</c:v>
                </c:pt>
                <c:pt idx="19">
                  <c:v>43200</c:v>
                </c:pt>
                <c:pt idx="20">
                  <c:v>43200</c:v>
                </c:pt>
                <c:pt idx="21">
                  <c:v>43200</c:v>
                </c:pt>
                <c:pt idx="22">
                  <c:v>43200</c:v>
                </c:pt>
                <c:pt idx="23">
                  <c:v>43200</c:v>
                </c:pt>
                <c:pt idx="24">
                  <c:v>43200</c:v>
                </c:pt>
                <c:pt idx="25">
                  <c:v>43200</c:v>
                </c:pt>
                <c:pt idx="26">
                  <c:v>43200</c:v>
                </c:pt>
                <c:pt idx="27">
                  <c:v>43200</c:v>
                </c:pt>
                <c:pt idx="28">
                  <c:v>43200</c:v>
                </c:pt>
                <c:pt idx="29">
                  <c:v>43200</c:v>
                </c:pt>
                <c:pt idx="30">
                  <c:v>43200</c:v>
                </c:pt>
                <c:pt idx="31">
                  <c:v>43200</c:v>
                </c:pt>
                <c:pt idx="32">
                  <c:v>43200</c:v>
                </c:pt>
                <c:pt idx="33">
                  <c:v>43200</c:v>
                </c:pt>
                <c:pt idx="34">
                  <c:v>43200</c:v>
                </c:pt>
                <c:pt idx="35">
                  <c:v>43200</c:v>
                </c:pt>
                <c:pt idx="36">
                  <c:v>43200</c:v>
                </c:pt>
                <c:pt idx="37">
                  <c:v>43200</c:v>
                </c:pt>
                <c:pt idx="38">
                  <c:v>43200</c:v>
                </c:pt>
                <c:pt idx="39">
                  <c:v>43200</c:v>
                </c:pt>
                <c:pt idx="40">
                  <c:v>43200</c:v>
                </c:pt>
                <c:pt idx="41">
                  <c:v>43200</c:v>
                </c:pt>
                <c:pt idx="42">
                  <c:v>43200</c:v>
                </c:pt>
                <c:pt idx="43">
                  <c:v>43200</c:v>
                </c:pt>
                <c:pt idx="44">
                  <c:v>43200</c:v>
                </c:pt>
                <c:pt idx="45">
                  <c:v>43200</c:v>
                </c:pt>
                <c:pt idx="46">
                  <c:v>43200</c:v>
                </c:pt>
                <c:pt idx="47">
                  <c:v>43200</c:v>
                </c:pt>
                <c:pt idx="48">
                  <c:v>43200</c:v>
                </c:pt>
                <c:pt idx="49">
                  <c:v>43200</c:v>
                </c:pt>
                <c:pt idx="50">
                  <c:v>43200</c:v>
                </c:pt>
                <c:pt idx="51">
                  <c:v>43200</c:v>
                </c:pt>
                <c:pt idx="52">
                  <c:v>43200</c:v>
                </c:pt>
                <c:pt idx="53">
                  <c:v>43200</c:v>
                </c:pt>
                <c:pt idx="54">
                  <c:v>43200</c:v>
                </c:pt>
                <c:pt idx="55">
                  <c:v>43200</c:v>
                </c:pt>
                <c:pt idx="56">
                  <c:v>43200</c:v>
                </c:pt>
                <c:pt idx="57">
                  <c:v>43200</c:v>
                </c:pt>
                <c:pt idx="58">
                  <c:v>43200</c:v>
                </c:pt>
                <c:pt idx="59">
                  <c:v>43200</c:v>
                </c:pt>
                <c:pt idx="60">
                  <c:v>43200</c:v>
                </c:pt>
                <c:pt idx="61">
                  <c:v>43200</c:v>
                </c:pt>
                <c:pt idx="62">
                  <c:v>43200</c:v>
                </c:pt>
                <c:pt idx="63">
                  <c:v>43200</c:v>
                </c:pt>
                <c:pt idx="64">
                  <c:v>43200</c:v>
                </c:pt>
                <c:pt idx="65">
                  <c:v>43200</c:v>
                </c:pt>
                <c:pt idx="66">
                  <c:v>43200</c:v>
                </c:pt>
                <c:pt idx="67">
                  <c:v>43200</c:v>
                </c:pt>
                <c:pt idx="68">
                  <c:v>43200</c:v>
                </c:pt>
                <c:pt idx="69">
                  <c:v>43200</c:v>
                </c:pt>
                <c:pt idx="70">
                  <c:v>43200</c:v>
                </c:pt>
                <c:pt idx="71">
                  <c:v>43200</c:v>
                </c:pt>
                <c:pt idx="72">
                  <c:v>43200</c:v>
                </c:pt>
                <c:pt idx="73">
                  <c:v>43200</c:v>
                </c:pt>
                <c:pt idx="74">
                  <c:v>43200</c:v>
                </c:pt>
                <c:pt idx="75">
                  <c:v>43200</c:v>
                </c:pt>
                <c:pt idx="76">
                  <c:v>43200</c:v>
                </c:pt>
                <c:pt idx="77">
                  <c:v>43200</c:v>
                </c:pt>
                <c:pt idx="78">
                  <c:v>43200</c:v>
                </c:pt>
                <c:pt idx="79">
                  <c:v>43200</c:v>
                </c:pt>
                <c:pt idx="80">
                  <c:v>43200</c:v>
                </c:pt>
                <c:pt idx="81">
                  <c:v>43200</c:v>
                </c:pt>
                <c:pt idx="82">
                  <c:v>43200</c:v>
                </c:pt>
                <c:pt idx="83">
                  <c:v>43200</c:v>
                </c:pt>
                <c:pt idx="84">
                  <c:v>43200</c:v>
                </c:pt>
                <c:pt idx="85">
                  <c:v>43200</c:v>
                </c:pt>
                <c:pt idx="86">
                  <c:v>43200</c:v>
                </c:pt>
                <c:pt idx="87">
                  <c:v>43200</c:v>
                </c:pt>
                <c:pt idx="88">
                  <c:v>43200</c:v>
                </c:pt>
                <c:pt idx="89">
                  <c:v>43200</c:v>
                </c:pt>
                <c:pt idx="90">
                  <c:v>43200</c:v>
                </c:pt>
                <c:pt idx="91">
                  <c:v>43200</c:v>
                </c:pt>
                <c:pt idx="92">
                  <c:v>43200</c:v>
                </c:pt>
                <c:pt idx="93">
                  <c:v>43294</c:v>
                </c:pt>
                <c:pt idx="94">
                  <c:v>43369.14</c:v>
                </c:pt>
                <c:pt idx="95">
                  <c:v>43421.27</c:v>
                </c:pt>
                <c:pt idx="96">
                  <c:v>44266.99</c:v>
                </c:pt>
                <c:pt idx="97">
                  <c:v>43200</c:v>
                </c:pt>
                <c:pt idx="98">
                  <c:v>43200</c:v>
                </c:pt>
                <c:pt idx="99">
                  <c:v>43200</c:v>
                </c:pt>
                <c:pt idx="100">
                  <c:v>43200</c:v>
                </c:pt>
                <c:pt idx="101">
                  <c:v>43200</c:v>
                </c:pt>
                <c:pt idx="102">
                  <c:v>43200</c:v>
                </c:pt>
                <c:pt idx="103">
                  <c:v>43200</c:v>
                </c:pt>
                <c:pt idx="104">
                  <c:v>43200</c:v>
                </c:pt>
                <c:pt idx="105">
                  <c:v>43200</c:v>
                </c:pt>
                <c:pt idx="106">
                  <c:v>43200</c:v>
                </c:pt>
                <c:pt idx="107">
                  <c:v>43200</c:v>
                </c:pt>
                <c:pt idx="108">
                  <c:v>43200</c:v>
                </c:pt>
                <c:pt idx="109">
                  <c:v>43200</c:v>
                </c:pt>
                <c:pt idx="110">
                  <c:v>43200</c:v>
                </c:pt>
                <c:pt idx="111">
                  <c:v>43200</c:v>
                </c:pt>
                <c:pt idx="112">
                  <c:v>43200</c:v>
                </c:pt>
                <c:pt idx="113">
                  <c:v>43200</c:v>
                </c:pt>
                <c:pt idx="114">
                  <c:v>43200</c:v>
                </c:pt>
                <c:pt idx="115">
                  <c:v>43200</c:v>
                </c:pt>
                <c:pt idx="116">
                  <c:v>43200</c:v>
                </c:pt>
                <c:pt idx="117">
                  <c:v>43200</c:v>
                </c:pt>
                <c:pt idx="118">
                  <c:v>43200</c:v>
                </c:pt>
                <c:pt idx="119">
                  <c:v>43200</c:v>
                </c:pt>
                <c:pt idx="120">
                  <c:v>43200</c:v>
                </c:pt>
                <c:pt idx="121">
                  <c:v>43200</c:v>
                </c:pt>
                <c:pt idx="122">
                  <c:v>43200</c:v>
                </c:pt>
                <c:pt idx="123">
                  <c:v>43842.22</c:v>
                </c:pt>
                <c:pt idx="124">
                  <c:v>43695.75</c:v>
                </c:pt>
                <c:pt idx="125">
                  <c:v>43200</c:v>
                </c:pt>
                <c:pt idx="126">
                  <c:v>43200</c:v>
                </c:pt>
                <c:pt idx="127">
                  <c:v>45357.04</c:v>
                </c:pt>
                <c:pt idx="128">
                  <c:v>44260.02</c:v>
                </c:pt>
                <c:pt idx="129">
                  <c:v>45382.8</c:v>
                </c:pt>
                <c:pt idx="130">
                  <c:v>48327.7</c:v>
                </c:pt>
                <c:pt idx="131">
                  <c:v>50402.6</c:v>
                </c:pt>
                <c:pt idx="132">
                  <c:v>51530.36</c:v>
                </c:pt>
                <c:pt idx="133">
                  <c:v>53149.24</c:v>
                </c:pt>
                <c:pt idx="134">
                  <c:v>53699.360000000001</c:v>
                </c:pt>
                <c:pt idx="135">
                  <c:v>53669.24</c:v>
                </c:pt>
                <c:pt idx="136">
                  <c:v>56378.02</c:v>
                </c:pt>
                <c:pt idx="137">
                  <c:v>54475.37</c:v>
                </c:pt>
                <c:pt idx="138">
                  <c:v>56166.89</c:v>
                </c:pt>
                <c:pt idx="139">
                  <c:v>53130.16</c:v>
                </c:pt>
                <c:pt idx="140">
                  <c:v>44626.75</c:v>
                </c:pt>
                <c:pt idx="141">
                  <c:v>43200</c:v>
                </c:pt>
                <c:pt idx="142">
                  <c:v>45880.63</c:v>
                </c:pt>
                <c:pt idx="143">
                  <c:v>47647.519999999997</c:v>
                </c:pt>
                <c:pt idx="144">
                  <c:v>48221.599999999999</c:v>
                </c:pt>
                <c:pt idx="145">
                  <c:v>52495.38</c:v>
                </c:pt>
                <c:pt idx="146">
                  <c:v>55208.75</c:v>
                </c:pt>
                <c:pt idx="147">
                  <c:v>56352.01</c:v>
                </c:pt>
                <c:pt idx="148">
                  <c:v>54028.18</c:v>
                </c:pt>
                <c:pt idx="149">
                  <c:v>49297.77</c:v>
                </c:pt>
                <c:pt idx="150">
                  <c:v>52929.01</c:v>
                </c:pt>
                <c:pt idx="151">
                  <c:v>55194.53</c:v>
                </c:pt>
                <c:pt idx="152">
                  <c:v>57476.19</c:v>
                </c:pt>
                <c:pt idx="153">
                  <c:v>60165.07</c:v>
                </c:pt>
                <c:pt idx="154">
                  <c:v>60516.08</c:v>
                </c:pt>
                <c:pt idx="155">
                  <c:v>61561.93</c:v>
                </c:pt>
                <c:pt idx="156">
                  <c:v>64525.78</c:v>
                </c:pt>
                <c:pt idx="157">
                  <c:v>65236.13</c:v>
                </c:pt>
                <c:pt idx="158">
                  <c:v>64516.39</c:v>
                </c:pt>
                <c:pt idx="159">
                  <c:v>66651.210000000006</c:v>
                </c:pt>
                <c:pt idx="160">
                  <c:v>67069.240000000005</c:v>
                </c:pt>
                <c:pt idx="161">
                  <c:v>69931.839999999997</c:v>
                </c:pt>
                <c:pt idx="162">
                  <c:v>67782.53</c:v>
                </c:pt>
                <c:pt idx="163">
                  <c:v>71484.960000000006</c:v>
                </c:pt>
                <c:pt idx="164">
                  <c:v>70413.039999999994</c:v>
                </c:pt>
                <c:pt idx="165">
                  <c:v>74297.08</c:v>
                </c:pt>
                <c:pt idx="166">
                  <c:v>77179.94</c:v>
                </c:pt>
                <c:pt idx="167">
                  <c:v>80685.539999999994</c:v>
                </c:pt>
                <c:pt idx="168">
                  <c:v>80944.679999999993</c:v>
                </c:pt>
                <c:pt idx="169">
                  <c:v>79445</c:v>
                </c:pt>
                <c:pt idx="170">
                  <c:v>81130.63</c:v>
                </c:pt>
                <c:pt idx="171">
                  <c:v>83433.88</c:v>
                </c:pt>
                <c:pt idx="172">
                  <c:v>83305.45</c:v>
                </c:pt>
                <c:pt idx="173">
                  <c:v>86864.57</c:v>
                </c:pt>
                <c:pt idx="174">
                  <c:v>86736.25</c:v>
                </c:pt>
                <c:pt idx="175">
                  <c:v>81165.8</c:v>
                </c:pt>
                <c:pt idx="176">
                  <c:v>83682.759999999995</c:v>
                </c:pt>
                <c:pt idx="177">
                  <c:v>83130.570000000007</c:v>
                </c:pt>
                <c:pt idx="178">
                  <c:v>82282.05</c:v>
                </c:pt>
                <c:pt idx="179">
                  <c:v>88614.83</c:v>
                </c:pt>
                <c:pt idx="180">
                  <c:v>87194.11</c:v>
                </c:pt>
                <c:pt idx="181">
                  <c:v>96580.55</c:v>
                </c:pt>
                <c:pt idx="182">
                  <c:v>101883.19</c:v>
                </c:pt>
                <c:pt idx="183">
                  <c:v>107258.6</c:v>
                </c:pt>
                <c:pt idx="184">
                  <c:v>104223.15</c:v>
                </c:pt>
                <c:pt idx="185">
                  <c:v>102875.57</c:v>
                </c:pt>
                <c:pt idx="186">
                  <c:v>100903.99</c:v>
                </c:pt>
                <c:pt idx="187">
                  <c:v>103452.09</c:v>
                </c:pt>
                <c:pt idx="188">
                  <c:v>91220.42</c:v>
                </c:pt>
                <c:pt idx="189">
                  <c:v>87006.99</c:v>
                </c:pt>
                <c:pt idx="190">
                  <c:v>99935.57</c:v>
                </c:pt>
                <c:pt idx="191">
                  <c:v>102972.57</c:v>
                </c:pt>
                <c:pt idx="192">
                  <c:v>94585.04</c:v>
                </c:pt>
                <c:pt idx="193">
                  <c:v>90159.35</c:v>
                </c:pt>
                <c:pt idx="194">
                  <c:v>90044.03</c:v>
                </c:pt>
                <c:pt idx="195">
                  <c:v>90994.51</c:v>
                </c:pt>
                <c:pt idx="196">
                  <c:v>94197.6</c:v>
                </c:pt>
                <c:pt idx="197">
                  <c:v>95193.86</c:v>
                </c:pt>
                <c:pt idx="198">
                  <c:v>91599.14</c:v>
                </c:pt>
                <c:pt idx="199">
                  <c:v>96852.53</c:v>
                </c:pt>
                <c:pt idx="200">
                  <c:v>98970.36</c:v>
                </c:pt>
                <c:pt idx="201">
                  <c:v>100007.38</c:v>
                </c:pt>
                <c:pt idx="202">
                  <c:v>99416.08</c:v>
                </c:pt>
                <c:pt idx="203">
                  <c:v>99743.26</c:v>
                </c:pt>
                <c:pt idx="204">
                  <c:v>109740.38</c:v>
                </c:pt>
                <c:pt idx="205">
                  <c:v>110581.5</c:v>
                </c:pt>
                <c:pt idx="206">
                  <c:v>114586.46</c:v>
                </c:pt>
                <c:pt idx="207">
                  <c:v>116599.75</c:v>
                </c:pt>
                <c:pt idx="208">
                  <c:v>119172.3</c:v>
                </c:pt>
                <c:pt idx="209">
                  <c:v>120882.88</c:v>
                </c:pt>
                <c:pt idx="210">
                  <c:v>119377.2</c:v>
                </c:pt>
                <c:pt idx="211">
                  <c:v>117541.28</c:v>
                </c:pt>
                <c:pt idx="212">
                  <c:v>116775.92</c:v>
                </c:pt>
                <c:pt idx="213">
                  <c:v>124125.1</c:v>
                </c:pt>
                <c:pt idx="214">
                  <c:v>129659.93</c:v>
                </c:pt>
                <c:pt idx="215">
                  <c:v>124252.71</c:v>
                </c:pt>
                <c:pt idx="216">
                  <c:v>124584.4</c:v>
                </c:pt>
                <c:pt idx="217">
                  <c:v>126082.26</c:v>
                </c:pt>
                <c:pt idx="218">
                  <c:v>118661.03</c:v>
                </c:pt>
                <c:pt idx="219">
                  <c:v>117114.01</c:v>
                </c:pt>
                <c:pt idx="220">
                  <c:v>124942.6</c:v>
                </c:pt>
                <c:pt idx="221">
                  <c:v>124467.94</c:v>
                </c:pt>
                <c:pt idx="222">
                  <c:v>120089.07</c:v>
                </c:pt>
                <c:pt idx="223">
                  <c:v>125088.83</c:v>
                </c:pt>
                <c:pt idx="224">
                  <c:v>121614.43</c:v>
                </c:pt>
                <c:pt idx="225">
                  <c:v>121786.51</c:v>
                </c:pt>
                <c:pt idx="226">
                  <c:v>113681.33</c:v>
                </c:pt>
                <c:pt idx="227">
                  <c:v>113886.71</c:v>
                </c:pt>
                <c:pt idx="228">
                  <c:v>105604.46</c:v>
                </c:pt>
                <c:pt idx="229">
                  <c:v>111642.37</c:v>
                </c:pt>
                <c:pt idx="230">
                  <c:v>115988.53</c:v>
                </c:pt>
                <c:pt idx="231">
                  <c:v>117029.75999999999</c:v>
                </c:pt>
                <c:pt idx="232">
                  <c:v>123739.3</c:v>
                </c:pt>
                <c:pt idx="233">
                  <c:v>118613.57</c:v>
                </c:pt>
                <c:pt idx="234">
                  <c:v>125973.95</c:v>
                </c:pt>
                <c:pt idx="235">
                  <c:v>123611.17</c:v>
                </c:pt>
                <c:pt idx="236">
                  <c:v>120917.39</c:v>
                </c:pt>
                <c:pt idx="237">
                  <c:v>124210.99</c:v>
                </c:pt>
                <c:pt idx="238">
                  <c:v>131338.45000000001</c:v>
                </c:pt>
                <c:pt idx="239">
                  <c:v>131635.70000000001</c:v>
                </c:pt>
                <c:pt idx="240">
                  <c:v>136051.22</c:v>
                </c:pt>
                <c:pt idx="241">
                  <c:v>132609.87</c:v>
                </c:pt>
                <c:pt idx="242">
                  <c:v>120807.99</c:v>
                </c:pt>
                <c:pt idx="243">
                  <c:v>97899</c:v>
                </c:pt>
                <c:pt idx="244">
                  <c:v>106964.16</c:v>
                </c:pt>
                <c:pt idx="245">
                  <c:v>122246.28</c:v>
                </c:pt>
                <c:pt idx="246">
                  <c:v>124534.82</c:v>
                </c:pt>
                <c:pt idx="247">
                  <c:v>128279.34</c:v>
                </c:pt>
                <c:pt idx="248">
                  <c:v>131436.41</c:v>
                </c:pt>
                <c:pt idx="249">
                  <c:v>128969.88</c:v>
                </c:pt>
                <c:pt idx="250">
                  <c:v>119628.64</c:v>
                </c:pt>
                <c:pt idx="251">
                  <c:v>135253.82999999999</c:v>
                </c:pt>
                <c:pt idx="252">
                  <c:v>138562.1</c:v>
                </c:pt>
                <c:pt idx="253">
                  <c:v>137460.35999999999</c:v>
                </c:pt>
                <c:pt idx="254">
                  <c:v>141228.9</c:v>
                </c:pt>
                <c:pt idx="255">
                  <c:v>151897.15</c:v>
                </c:pt>
                <c:pt idx="256">
                  <c:v>153082.12</c:v>
                </c:pt>
                <c:pt idx="257">
                  <c:v>156247.93</c:v>
                </c:pt>
                <c:pt idx="258">
                  <c:v>156523.72</c:v>
                </c:pt>
                <c:pt idx="259">
                  <c:v>156100.07999999999</c:v>
                </c:pt>
                <c:pt idx="260">
                  <c:v>158522.62</c:v>
                </c:pt>
                <c:pt idx="261">
                  <c:v>151905.56</c:v>
                </c:pt>
                <c:pt idx="262">
                  <c:v>158186.9</c:v>
                </c:pt>
                <c:pt idx="263">
                  <c:v>154841.73000000001</c:v>
                </c:pt>
                <c:pt idx="264">
                  <c:v>160118.81</c:v>
                </c:pt>
                <c:pt idx="265">
                  <c:v>156115.16</c:v>
                </c:pt>
                <c:pt idx="266">
                  <c:v>139304.24</c:v>
                </c:pt>
                <c:pt idx="267">
                  <c:v>144524.17000000001</c:v>
                </c:pt>
                <c:pt idx="268">
                  <c:v>139500.17000000001</c:v>
                </c:pt>
                <c:pt idx="269">
                  <c:v>143342.60999999999</c:v>
                </c:pt>
                <c:pt idx="270">
                  <c:v>128390.7</c:v>
                </c:pt>
                <c:pt idx="271">
                  <c:v>134820.91</c:v>
                </c:pt>
                <c:pt idx="272">
                  <c:v>126483.97</c:v>
                </c:pt>
                <c:pt idx="273">
                  <c:v>122331.42</c:v>
                </c:pt>
                <c:pt idx="274">
                  <c:v>133246.41</c:v>
                </c:pt>
                <c:pt idx="275">
                  <c:v>144357.81</c:v>
                </c:pt>
                <c:pt idx="276">
                  <c:v>140189.81</c:v>
                </c:pt>
                <c:pt idx="277">
                  <c:v>150904.85</c:v>
                </c:pt>
                <c:pt idx="278">
                  <c:v>152026.41</c:v>
                </c:pt>
                <c:pt idx="279">
                  <c:v>154621.87</c:v>
                </c:pt>
                <c:pt idx="280">
                  <c:v>155955.6</c:v>
                </c:pt>
                <c:pt idx="281">
                  <c:v>157101.72</c:v>
                </c:pt>
                <c:pt idx="282">
                  <c:v>159220.82999999999</c:v>
                </c:pt>
                <c:pt idx="283">
                  <c:v>160679.29</c:v>
                </c:pt>
                <c:pt idx="284">
                  <c:v>156728.64000000001</c:v>
                </c:pt>
                <c:pt idx="285">
                  <c:v>150919.29</c:v>
                </c:pt>
                <c:pt idx="286">
                  <c:v>147716.29</c:v>
                </c:pt>
                <c:pt idx="287">
                  <c:v>161871.65</c:v>
                </c:pt>
                <c:pt idx="288">
                  <c:v>165367.4</c:v>
                </c:pt>
                <c:pt idx="289">
                  <c:v>166145.03</c:v>
                </c:pt>
                <c:pt idx="290">
                  <c:v>174500.8</c:v>
                </c:pt>
                <c:pt idx="291">
                  <c:v>179684.86</c:v>
                </c:pt>
                <c:pt idx="292">
                  <c:v>175868.14</c:v>
                </c:pt>
                <c:pt idx="293">
                  <c:v>182626.5</c:v>
                </c:pt>
                <c:pt idx="294">
                  <c:v>179476.1</c:v>
                </c:pt>
                <c:pt idx="295">
                  <c:v>177390.26</c:v>
                </c:pt>
                <c:pt idx="296">
                  <c:v>185443.91</c:v>
                </c:pt>
                <c:pt idx="297">
                  <c:v>188054.42</c:v>
                </c:pt>
                <c:pt idx="298">
                  <c:v>188357.94</c:v>
                </c:pt>
                <c:pt idx="299">
                  <c:v>194769.62</c:v>
                </c:pt>
                <c:pt idx="300">
                  <c:v>195538.96</c:v>
                </c:pt>
                <c:pt idx="301">
                  <c:v>208884.44</c:v>
                </c:pt>
                <c:pt idx="302">
                  <c:v>225226.64</c:v>
                </c:pt>
                <c:pt idx="303">
                  <c:v>219293.08</c:v>
                </c:pt>
                <c:pt idx="304">
                  <c:v>224412.29</c:v>
                </c:pt>
                <c:pt idx="305">
                  <c:v>232362.91</c:v>
                </c:pt>
                <c:pt idx="306">
                  <c:v>229780.6</c:v>
                </c:pt>
                <c:pt idx="307">
                  <c:v>227302.53</c:v>
                </c:pt>
                <c:pt idx="308">
                  <c:v>233022.46</c:v>
                </c:pt>
                <c:pt idx="309">
                  <c:v>233627.89</c:v>
                </c:pt>
                <c:pt idx="310">
                  <c:v>233687.13</c:v>
                </c:pt>
                <c:pt idx="311">
                  <c:v>228393.3</c:v>
                </c:pt>
                <c:pt idx="312">
                  <c:v>237326.4</c:v>
                </c:pt>
                <c:pt idx="313">
                  <c:v>239657.49</c:v>
                </c:pt>
                <c:pt idx="314">
                  <c:v>238015.58</c:v>
                </c:pt>
                <c:pt idx="315">
                  <c:v>225160.07</c:v>
                </c:pt>
                <c:pt idx="316">
                  <c:v>231631.63</c:v>
                </c:pt>
                <c:pt idx="317">
                  <c:v>231918.37</c:v>
                </c:pt>
                <c:pt idx="318">
                  <c:v>233333.67</c:v>
                </c:pt>
                <c:pt idx="319">
                  <c:v>235087.83</c:v>
                </c:pt>
                <c:pt idx="320">
                  <c:v>236855.33</c:v>
                </c:pt>
                <c:pt idx="321">
                  <c:v>238636.39</c:v>
                </c:pt>
                <c:pt idx="322">
                  <c:v>240430.99</c:v>
                </c:pt>
                <c:pt idx="323">
                  <c:v>242239.4</c:v>
                </c:pt>
                <c:pt idx="324">
                  <c:v>243710.45</c:v>
                </c:pt>
                <c:pt idx="325">
                  <c:v>245190.43</c:v>
                </c:pt>
                <c:pt idx="326">
                  <c:v>246679.61</c:v>
                </c:pt>
                <c:pt idx="327">
                  <c:v>248177.96</c:v>
                </c:pt>
                <c:pt idx="328">
                  <c:v>249685.57</c:v>
                </c:pt>
                <c:pt idx="329">
                  <c:v>251202.51</c:v>
                </c:pt>
                <c:pt idx="330">
                  <c:v>252728.86</c:v>
                </c:pt>
                <c:pt idx="331">
                  <c:v>254264.6</c:v>
                </c:pt>
                <c:pt idx="332">
                  <c:v>255809.91</c:v>
                </c:pt>
                <c:pt idx="333">
                  <c:v>257364.68</c:v>
                </c:pt>
                <c:pt idx="334">
                  <c:v>258929.19</c:v>
                </c:pt>
                <c:pt idx="335">
                  <c:v>260503.3</c:v>
                </c:pt>
                <c:pt idx="336">
                  <c:v>258321.82</c:v>
                </c:pt>
                <c:pt idx="337">
                  <c:v>256160.42</c:v>
                </c:pt>
                <c:pt idx="338">
                  <c:v>254017.31</c:v>
                </c:pt>
                <c:pt idx="339">
                  <c:v>251892.35</c:v>
                </c:pt>
                <c:pt idx="340">
                  <c:v>249785.34</c:v>
                </c:pt>
                <c:pt idx="341">
                  <c:v>247696.18</c:v>
                </c:pt>
                <c:pt idx="342">
                  <c:v>245624.72</c:v>
                </c:pt>
                <c:pt idx="343">
                  <c:v>243570.76</c:v>
                </c:pt>
                <c:pt idx="344">
                  <c:v>241534.18</c:v>
                </c:pt>
                <c:pt idx="345">
                  <c:v>239514.87</c:v>
                </c:pt>
                <c:pt idx="346">
                  <c:v>237512.69</c:v>
                </c:pt>
                <c:pt idx="347">
                  <c:v>235527.36</c:v>
                </c:pt>
                <c:pt idx="348">
                  <c:v>238516.14</c:v>
                </c:pt>
                <c:pt idx="349">
                  <c:v>241540.39</c:v>
                </c:pt>
                <c:pt idx="350">
                  <c:v>244603.73</c:v>
                </c:pt>
                <c:pt idx="351">
                  <c:v>247706.47</c:v>
                </c:pt>
                <c:pt idx="352">
                  <c:v>250849.29</c:v>
                </c:pt>
                <c:pt idx="353">
                  <c:v>254032.68</c:v>
                </c:pt>
                <c:pt idx="354">
                  <c:v>257257.15</c:v>
                </c:pt>
                <c:pt idx="355">
                  <c:v>260523.18</c:v>
                </c:pt>
                <c:pt idx="356">
                  <c:v>263831.36</c:v>
                </c:pt>
                <c:pt idx="357">
                  <c:v>267182.17</c:v>
                </c:pt>
                <c:pt idx="358">
                  <c:v>270576.3</c:v>
                </c:pt>
                <c:pt idx="359">
                  <c:v>274014.13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F4-44EC-B603-BB0F675F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2811983"/>
        <c:axId val="2072808623"/>
      </c:lineChart>
      <c:dateAx>
        <c:axId val="207281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72808623"/>
        <c:crosses val="autoZero"/>
        <c:auto val="1"/>
        <c:lblOffset val="100"/>
        <c:baseTimeUnit val="months"/>
        <c:majorUnit val="12"/>
        <c:majorTimeUnit val="months"/>
      </c:dateAx>
      <c:valAx>
        <c:axId val="2072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7281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361949</xdr:colOff>
      <xdr:row>0</xdr:row>
      <xdr:rowOff>185737</xdr:rowOff>
    </xdr:from>
    <xdr:to>
      <xdr:col>14</xdr:col>
      <xdr:colOff>671512</xdr:colOff>
      <xdr:row>18</xdr:row>
      <xdr:rowOff>100012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4E0163-F177-4582-B61D-B16D340EFD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364331</xdr:colOff>
      <xdr:row>19</xdr:row>
      <xdr:rowOff>28575</xdr:rowOff>
    </xdr:from>
    <xdr:to>
      <xdr:col>10</xdr:col>
      <xdr:colOff>685800</xdr:colOff>
      <xdr:row>25</xdr:row>
      <xdr:rowOff>80963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6F072DB4-30DB-5922-11B0-64B98A31359F}"/>
            </a:ext>
          </a:extLst>
        </xdr:cNvPr>
        <xdr:cNvSpPr txBox="1"/>
      </xdr:nvSpPr>
      <xdr:spPr>
        <a:xfrm>
          <a:off x="5036344" y="3481388"/>
          <a:ext cx="4131469" cy="113823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050" b="1"/>
            <a:t>Hinweise</a:t>
          </a:r>
          <a:r>
            <a:rPr lang="de-DE" sz="1050"/>
            <a:t>:</a:t>
          </a:r>
        </a:p>
        <a:p>
          <a:r>
            <a:rPr lang="de-DE" sz="1050"/>
            <a:t>-</a:t>
          </a:r>
          <a:r>
            <a:rPr lang="de-DE" sz="1050" baseline="0"/>
            <a:t> Eingabefelder sind farbig markiert</a:t>
          </a:r>
        </a:p>
        <a:p>
          <a:r>
            <a:rPr lang="de-DE" sz="1050" baseline="0"/>
            <a:t>- Kurse: wahlweise realer Verlauf (DAX-Kurse) oder konstante Performance</a:t>
          </a:r>
        </a:p>
        <a:p>
          <a:r>
            <a:rPr lang="de-DE" sz="1050" baseline="0"/>
            <a:t>- qx über VBA-Funktionen</a:t>
          </a:r>
        </a:p>
        <a:p>
          <a:r>
            <a:rPr lang="de-DE" sz="1050" baseline="0"/>
            <a:t>- Zugriffsfunktionen auf Tarifdaten, Überschuss und Kurse über Lambda-Funktionen (get*) --&gt; Definition im Namensmanager</a:t>
          </a:r>
          <a:endParaRPr lang="de-DE" sz="1050"/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18">
  <rv s="0">
    <fb>5933.84</fb>
    <v>0</v>
  </rv>
  <rv s="0">
    <fb>6750.76</fb>
    <v>0</v>
  </rv>
  <rv s="0">
    <fb>7050.46</fb>
    <v>0</v>
  </rv>
  <rv s="0">
    <fb>7727.93</fb>
    <v>0</v>
  </rv>
  <rv s="0">
    <fb>7429.22</fb>
    <v>0</v>
  </rv>
  <rv s="0">
    <fb>7555.92</fb>
    <v>0</v>
  </rv>
  <rv s="0">
    <fb>7272.76</fb>
    <v>0</v>
  </rv>
  <rv s="0">
    <fb>6958.96</fb>
    <v>0</v>
  </rv>
  <rv s="0">
    <fb>7145.53</fb>
    <v>0</v>
  </rv>
  <rv s="0">
    <fb>7344.67</fb>
    <v>0</v>
  </rv>
  <rv s="0">
    <fb>6862.26</fb>
    <v>0</v>
  </rv>
  <rv s="0">
    <fb>7059.07</fb>
    <v>0</v>
  </rv>
  <rv s="0">
    <fb>6512.91</fb>
    <v>0</v>
  </rv>
  <rv s="0">
    <fb>6289.82</fb>
    <v>0</v>
  </rv>
  <rv s="0">
    <fb>6704.68</fb>
    <v>0</v>
  </rv>
  <rv s="0">
    <fb>6123.38</fb>
    <v>0</v>
  </rv>
  <rv s="0">
    <fb>5760.76</fb>
    <v>0</v>
  </rv>
  <rv s="0">
    <fb>6213.84</fb>
    <v>0</v>
  </rv>
  <rv s="0">
    <fb>6125.17</fb>
    <v>0</v>
  </rv>
  <rv s="0">
    <fb>6109.5</fb>
    <v>0</v>
  </rv>
  <rv s="0">
    <fb>5835.23</fb>
    <v>0</v>
  </rv>
  <rv s="0">
    <fb>5094.1000000000004</fb>
    <v>0</v>
  </rv>
  <rv s="0">
    <fb>4239.97</fb>
    <v>0</v>
  </rv>
  <rv s="0">
    <fb>4636.13</fb>
    <v>0</v>
  </rv>
  <rv s="0">
    <fb>4988.4399999999996</fb>
    <v>0</v>
  </rv>
  <rv s="0">
    <fb>5167.88</fb>
    <v>0</v>
  </rv>
  <rv s="0">
    <fb>5097.0600000000004</fb>
    <v>0</v>
  </rv>
  <rv s="0">
    <fb>5097.41</fb>
    <v>0</v>
  </rv>
  <rv s="0">
    <fb>5311.08</fb>
    <v>0</v>
  </rv>
  <rv s="0">
    <fb>4964.5600000000004</fb>
    <v>0</v>
  </rv>
  <rv s="0">
    <fb>4747.95</fb>
    <v>0</v>
  </rv>
  <rv s="0">
    <fb>4366.8100000000004</fb>
    <v>0</v>
  </rv>
  <rv s="0">
    <fb>3606.45</fb>
    <v>0</v>
  </rv>
  <rv s="0">
    <fb>3609.41</fb>
    <v>0</v>
  </rv>
  <rv s="0">
    <fb>2865.23</fb>
    <v>0</v>
  </rv>
  <rv s="0">
    <fb>3165.16</fb>
    <v>0</v>
  </rv>
  <rv s="0">
    <fb>3380.2</fb>
    <v>0</v>
  </rv>
  <rv s="0">
    <fb>3105.04</fb>
    <v>0</v>
  </rv>
  <rv s="0">
    <fb>2751.99</fb>
    <v>0</v>
  </rv>
  <rv s="0">
    <fb>2549.65</fb>
    <v>0</v>
  </rv>
  <rv s="0">
    <fb>2450.19</fb>
    <v>0</v>
  </rv>
  <rv s="0">
    <fb>2986</fb>
    <v>0</v>
  </rv>
  <rv s="0">
    <fb>3064.56</fb>
    <v>0</v>
  </rv>
  <rv s="0">
    <fb>3146.55</fb>
    <v>0</v>
  </rv>
  <rv s="0">
    <fb>3438.89</fb>
    <v>0</v>
  </rv>
  <rv s="0">
    <fb>3571.22</fb>
    <v>0</v>
  </rv>
  <rv s="0">
    <fb>3329.83</fb>
    <v>0</v>
  </rv>
  <rv s="0">
    <fb>3744.5</fb>
    <v>0</v>
  </rv>
  <rv s="0">
    <fb>3821.2</fb>
    <v>0</v>
  </rv>
  <rv s="0">
    <fb>4018.5</fb>
    <v>0</v>
  </rv>
  <rv s="0">
    <fb>4071.6</fb>
    <v>0</v>
  </rv>
  <rv s="0">
    <fb>4054.43</fb>
    <v>0</v>
  </rv>
  <rv s="0">
    <fb>3924.85</fb>
    <v>0</v>
  </rv>
  <rv s="0">
    <fb>4007.65</fb>
    <v>0</v>
  </rv>
  <rv s="0">
    <fb>3864.18</fb>
    <v>0</v>
  </rv>
  <rv s="0">
    <fb>4035.02</fb>
    <v>0</v>
  </rv>
  <rv s="0">
    <fb>3862.71</fb>
    <v>0</v>
  </rv>
  <rv s="0">
    <fb>3817.62</fb>
    <v>0</v>
  </rv>
  <rv s="0">
    <fb>3994.96</fb>
    <v>0</v>
  </rv>
  <rv s="0">
    <fb>4012.64</fb>
    <v>0</v>
  </rv>
  <rv s="0">
    <fb>4186.03</fb>
    <v>0</v>
  </rv>
  <rv s="0">
    <fb>4291.53</fb>
    <v>0</v>
  </rv>
  <rv s="0">
    <fb>4279.97</fb>
    <v>0</v>
  </rv>
  <rv s="0">
    <fb>4383.62</fb>
    <v>0</v>
  </rv>
  <rv s="0">
    <fb>4373.53</fb>
    <v>0</v>
  </rv>
  <rv s="0">
    <fb>4224.0200000000004</fb>
    <v>0</v>
  </rv>
  <rv s="0">
    <fb>4527.17</fb>
    <v>0</v>
  </rv>
  <rv s="0">
    <fb>4617.07</fb>
    <v>0</v>
  </rv>
  <rv s="0">
    <fb>4890.8500000000004</fb>
    <v>0</v>
  </rv>
  <rv s="0">
    <fb>4842.9399999999996</fb>
    <v>0</v>
  </rv>
  <rv s="0">
    <fb>5082.07</fb>
    <v>0</v>
  </rv>
  <rv s="0">
    <fb>4922.55</fb>
    <v>0</v>
  </rv>
  <rv s="0">
    <fb>5266.55</fb>
    <v>0</v>
  </rv>
  <rv s="0">
    <fb>5449.98</fb>
    <v>0</v>
  </rv>
  <rv s="0">
    <fb>5726.53</fb>
    <v>0</v>
  </rv>
  <rv s="0">
    <fb>5866.61</fb>
    <v>0</v>
  </rv>
  <rv s="0">
    <fb>6024.05</fb>
    <v>0</v>
  </rv>
  <rv s="0">
    <fb>6051.29</fb>
    <v>0</v>
  </rv>
  <rv s="0">
    <fb>5707.59</fb>
    <v>0</v>
  </rv>
  <rv s="0">
    <fb>5712.69</fb>
    <v>0</v>
  </rv>
  <rv s="0">
    <fb>5596.74</fb>
    <v>0</v>
  </rv>
  <rv s="0">
    <fb>5876.54</fb>
    <v>0</v>
  </rv>
  <rv s="0">
    <fb>5999.46</fb>
    <v>0</v>
  </rv>
  <rv s="0">
    <fb>6291.9</fb>
    <v>0</v>
  </rv>
  <rv s="0">
    <fb>6241.13</fb>
    <v>0</v>
  </rv>
  <rv s="0">
    <fb>6681.13</fb>
    <v>0</v>
  </rv>
  <rv s="0">
    <fb>6851.28</fb>
    <v>0</v>
  </rv>
  <rv s="0">
    <fb>6640.24</fb>
    <v>0</v>
  </rv>
  <rv s="0">
    <fb>6937.17</fb>
    <v>0</v>
  </rv>
  <rv s="0">
    <fb>7455.93</fb>
    <v>0</v>
  </rv>
  <rv s="0">
    <fb>7987.85</fb>
    <v>0</v>
  </rv>
  <rv s="0">
    <fb>7958.24</fb>
    <v>0</v>
  </rv>
  <rv s="0">
    <fb>7473.93</fb>
    <v>0</v>
  </rv>
  <rv s="0">
    <fb>7648.58</fb>
    <v>0</v>
  </rv>
  <rv s="0">
    <fb>7922.42</fb>
    <v>0</v>
  </rv>
  <rv s="0">
    <fb>7880.85</fb>
    <v>0</v>
  </rv>
  <rv s="0">
    <fb>7837.26</fb>
    <v>0</v>
  </rv>
  <rv s="0">
    <fb>7949.11</fb>
    <v>0</v>
  </rv>
  <rv s="0">
    <fb>6968.67</fb>
    <v>0</v>
  </rv>
  <rv s="0">
    <fb>6689.95</fb>
    <v>0</v>
  </rv>
  <rv s="0">
    <fb>6720.33</fb>
    <v>0</v>
  </rv>
  <rv s="0">
    <fb>7043.23</fb>
    <v>0</v>
  </rv>
  <rv s="0">
    <fb>7008.77</fb>
    <v>0</v>
  </rv>
  <rv s="0">
    <fb>6315.94</fb>
    <v>0</v>
  </rv>
  <rv s="0">
    <fb>6396.46</fb>
    <v>0</v>
  </rv>
  <rv s="0">
    <fb>6421.8</fb>
    <v>0</v>
  </rv>
  <rv s="0">
    <fb>5806.33</fb>
    <v>0</v>
  </rv>
  <rv s="0">
    <fb>5026.84</fb>
    <v>0</v>
  </rv>
  <rv s="0">
    <fb>4394.79</fb>
    <v>0</v>
  </rv>
  <rv s="0">
    <fb>4973.07</fb>
    <v>0</v>
  </rv>
  <rv s="0">
    <fb>4271.04</fb>
    <v>0</v>
  </rv>
  <rv s="0">
    <fb>3710.07</fb>
    <v>0</v>
  </rv>
  <rv s="0">
    <fb>4131.07</fb>
    <v>0</v>
  </rv>
  <rv s="0">
    <fb>4902.45</fb>
    <v>0</v>
  </rv>
  <rv s="0">
    <fb>5142.5600000000004</fb>
    <v>0</v>
  </rv>
  <rv s="0">
    <fb>4905.4399999999996</fb>
    <v>0</v>
  </rv>
  <rv s="0">
    <fb>5426.85</fb>
    <v>0</v>
  </rv>
  <rv s="0">
    <fb>5327.29</fb>
    <v>0</v>
  </rv>
  <rv s="0">
    <fb>5554.55</fb>
    <v>0</v>
  </rv>
  <rv s="0">
    <fb>5430.82</fb>
    <v>0</v>
  </rv>
  <rv s="0">
    <fb>5776.61</fb>
    <v>0</v>
  </rv>
  <rv s="0">
    <fb>6048.3</fb>
    <v>0</v>
  </rv>
  <rv s="0">
    <fb>5654.48</fb>
    <v>0</v>
  </rv>
  <rv s="0">
    <fb>5713.51</fb>
    <v>0</v>
  </rv>
  <rv s="0">
    <fb>6235.56</fb>
    <v>0</v>
  </rv>
  <rv s="0">
    <fb>6166.92</fb>
    <v>0</v>
  </rv>
  <rv s="0">
    <fb>5981.27</fb>
    <v>0</v>
  </rv>
  <rv s="0">
    <fb>5857.43</fb>
    <v>0</v>
  </rv>
  <rv s="0">
    <fb>6292.13</fb>
    <v>0</v>
  </rv>
  <rv s="0">
    <fb>6083.9</fb>
    <v>0</v>
  </rv>
  <rv s="0">
    <fb>6211.34</fb>
    <v>0</v>
  </rv>
  <rv s="0">
    <fb>6604.86</fb>
    <v>0</v>
  </rv>
  <rv s="0">
    <fb>6866.63</fb>
    <v>0</v>
  </rv>
  <rv s="0">
    <fb>6989.74</fb>
    <v>0</v>
  </rv>
  <rv s="0">
    <fb>7184.27</fb>
    <v>0</v>
  </rv>
  <rv s="0">
    <fb>7223.3</fb>
    <v>0</v>
  </rv>
  <rv s="0">
    <fb>7179.81</fb>
    <v>0</v>
  </rv>
  <rv s="0">
    <fb>7527.64</fb>
    <v>0</v>
  </rv>
  <rv s="0">
    <fb>7217.43</fb>
    <v>0</v>
  </rv>
  <rv s="0">
    <fb>7419.44</fb>
    <v>0</v>
  </rv>
  <rv s="0">
    <fb>6953.98</fb>
    <v>0</v>
  </rv>
  <rv s="0">
    <fb>5730.63</fb>
    <v>0</v>
  </rv>
  <rv s="0">
    <fb>5376.7</fb>
    <v>0</v>
  </rv>
  <rv s="0">
    <fb>5834.51</fb>
    <v>0</v>
  </rv>
  <rv s="0">
    <fb>6035.88</fb>
    <v>0</v>
  </rv>
  <rv s="0">
    <fb>6075.52</fb>
    <v>0</v>
  </rv>
  <rv s="0">
    <fb>6616.64</fb>
    <v>0</v>
  </rv>
  <rv s="0">
    <fb>6941.77</fb>
    <v>0</v>
  </rv>
  <rv s="0">
    <fb>7056.65</fb>
    <v>0</v>
  </rv>
  <rv s="0">
    <fb>6710.77</fb>
    <v>0</v>
  </rv>
  <rv s="0">
    <fb>6050.29</fb>
    <v>0</v>
  </rv>
  <rv s="0">
    <fb>6496.08</fb>
    <v>0</v>
  </rv>
  <rv s="0">
    <fb>6754.46</fb>
    <v>0</v>
  </rv>
  <rv s="0">
    <fb>7014.83</fb>
    <v>0</v>
  </rv>
  <rv s="0">
    <fb>7326.73</fb>
    <v>0</v>
  </rv>
  <rv s="0">
    <fb>7335.67</fb>
    <v>0</v>
  </rv>
  <rv s="0">
    <fb>7435.21</fb>
    <v>0</v>
  </rv>
  <rv s="0">
    <fb>7778.78</fb>
    <v>0</v>
  </rv>
  <rv s="0">
    <fb>7833.39</fb>
    <v>0</v>
  </rv>
  <rv s="0">
    <fb>7708.16</fb>
    <v>0</v>
  </rv>
  <rv s="0">
    <fb>7943.87</fb>
    <v>0</v>
  </rv>
  <rv s="0">
    <fb>7961.71</fb>
    <v>0</v>
  </rv>
  <rv s="0">
    <fb>8285.7999999999993</fb>
    <v>0</v>
  </rv>
  <rv s="0">
    <fb>7983.92</fb>
    <v>0</v>
  </rv>
  <rv s="0">
    <fb>8410.73</fb>
    <v>0</v>
  </rv>
  <rv s="0">
    <fb>8243.8700000000008</fb>
    <v>0</v>
  </rv>
  <rv s="0">
    <fb>8689.14</fb>
    <v>0</v>
  </rv>
  <rv s="0">
    <fb>9007.83</fb>
    <v>0</v>
  </rv>
  <rv s="0">
    <fb>9401.9599999999991</fb>
    <v>0</v>
  </rv>
  <rv s="0">
    <fb>9400.0400000000009</fb>
    <v>0</v>
  </rv>
  <rv s="0">
    <fb>9186.52</fb>
    <v>0</v>
  </rv>
  <rv s="0">
    <fb>9358.89</fb>
    <v>0</v>
  </rv>
  <rv s="0">
    <fb>9603.7099999999991</fb>
    <v>0</v>
  </rv>
  <rv s="0">
    <fb>9556.02</fb>
    <v>0</v>
  </rv>
  <rv s="0">
    <fb>9950.1200000000008</fb>
    <v>0</v>
  </rv>
  <rv s="0">
    <fb>9902.41</fb>
    <v>0</v>
  </rv>
  <rv s="0">
    <fb>9210.08</fb>
    <v>0</v>
  </rv>
  <rv s="0">
    <fb>9479.0300000000007</fb>
    <v>0</v>
  </rv>
  <rv s="0">
    <fb>9382.0300000000007</fb>
    <v>0</v>
  </rv>
  <rv s="0">
    <fb>9251.7000000000007</fb>
    <v>0</v>
  </rv>
  <rv s="0">
    <fb>9963.51</fb>
    <v>0</v>
  </rv>
  <rv s="0">
    <fb>9764.73</fb>
    <v>0</v>
  </rv>
  <rv s="0">
    <fb>10828.01</fb>
    <v>0</v>
  </rv>
  <rv s="0">
    <fb>11410.36</fb>
    <v>0</v>
  </rv>
  <rv s="0">
    <fb>12001.38</fb>
    <v>0</v>
  </rv>
  <rv s="0">
    <fb>11619.85</fb>
    <v>0</v>
  </rv>
  <rv s="0">
    <fb>11436.05</fb>
    <v>0</v>
  </rv>
  <rv s="0">
    <fb>11180.5</fb>
    <v>0</v>
  </rv>
  <rv s="0">
    <fb>11443.72</fb>
    <v>0</v>
  </rv>
  <rv s="0">
    <fb>10015.57</fb>
    <v>0</v>
  </rv>
  <rv s="0">
    <fb>9509.25</fb>
    <v>0</v>
  </rv>
  <rv s="0">
    <fb>10950.67</fb>
    <v>0</v>
  </rv>
  <rv s="0">
    <fb>11261.24</fb>
    <v>0</v>
  </rv>
  <rv s="0">
    <fb>10283.44</fb>
    <v>0</v>
  </rv>
  <rv s="0">
    <fb>9757.8799999999992</fb>
    <v>0</v>
  </rv>
  <rv s="0">
    <fb>9717.16</fb>
    <v>0</v>
  </rv>
  <rv s="0">
    <fb>9794.64</fb>
    <v>0</v>
  </rv>
  <rv s="0">
    <fb>10123.27</fb>
    <v>0</v>
  </rv>
  <rv s="0">
    <fb>10204.44</fb>
    <v>0</v>
  </rv>
  <rv s="0">
    <fb>9776.1200000000008</fb>
    <v>0</v>
  </rv>
  <rv s="0">
    <fb>10330.52</fb>
    <v>0</v>
  </rv>
  <rv s="0">
    <fb>10534.31</fb>
    <v>0</v>
  </rv>
  <rv s="0">
    <fb>10619.61</fb>
    <v>0</v>
  </rv>
  <rv s="0">
    <fb>10526.16</fb>
    <v>0</v>
  </rv>
  <rv s="0">
    <fb>10534.05</fb>
    <v>0</v>
  </rv>
  <rv s="0">
    <fb>11598.33</fb>
    <v>0</v>
  </rv>
  <rv s="0">
    <fb>11659.5</fb>
    <v>0</v>
  </rv>
  <rv s="0">
    <fb>12067.19</fb>
    <v>0</v>
  </rv>
  <rv s="0">
    <fb>12257.2</fb>
    <v>0</v>
  </rv>
  <rv s="0">
    <fb>12507.9</fb>
    <v>0</v>
  </rv>
  <rv s="0">
    <fb>12664.92</fb>
    <v>0</v>
  </rv>
  <rv s="0">
    <fb>12475.31</fb>
    <v>0</v>
  </rv>
  <rv s="0">
    <fb>12251.29</fb>
    <v>0</v>
  </rv>
  <rv s="0">
    <fb>12142.64</fb>
    <v>0</v>
  </rv>
  <rv s="0">
    <fb>12902.65</fb>
    <v>0</v>
  </rv>
  <rv s="0">
    <fb>13465.51</fb>
    <v>0</v>
  </rv>
  <rv s="0">
    <fb>12861.49</fb>
    <v>0</v>
  </rv>
  <rv s="0">
    <fb>12871.39</fb>
    <v>0</v>
  </rv>
  <rv s="0">
    <fb>13003.9</fb>
    <v>0</v>
  </rv>
  <rv s="0">
    <fb>12190.94</fb>
    <v>0</v>
  </rv>
  <rv s="0">
    <fb>12002.45</fb>
    <v>0</v>
  </rv>
  <rv s="0">
    <fb>12802.25</fb>
    <v>0</v>
  </rv>
  <rv s="0">
    <fb>12724.27</fb>
    <v>0</v>
  </rv>
  <rv s="0">
    <fb>12238.17</fb>
    <v>0</v>
  </rv>
  <rv s="0">
    <fb>12737.05</fb>
    <v>0</v>
  </rv>
  <rv s="0">
    <fb>12346.41</fb>
    <v>0</v>
  </rv>
  <rv s="0">
    <fb>12339.03</fb>
    <v>0</v>
  </rv>
  <rv s="0">
    <fb>11468.54</fb>
    <v>0</v>
  </rv>
  <rv s="0">
    <fb>11465.46</fb>
    <v>0</v>
  </rv>
  <rv s="0">
    <fb>10580.19</fb>
    <v>0</v>
  </rv>
  <rv s="0">
    <fb>11180.66</fb>
    <v>0</v>
  </rv>
  <rv s="0">
    <fb>11601.68</fb>
    <v>0</v>
  </rv>
  <rv s="0">
    <fb>11681.99</fb>
    <v>0</v>
  </rv>
  <rv s="0">
    <fb>12345.42</fb>
    <v>0</v>
  </rv>
  <rv s="0">
    <fb>11792.81</fb>
    <v>0</v>
  </rv>
  <rv s="0">
    <fb>12521.38</fb>
    <v>0</v>
  </rv>
  <rv s="0">
    <fb>12253.15</fb>
    <v>0</v>
  </rv>
  <rv s="0">
    <fb>11953.78</fb>
    <v>0</v>
  </rv>
  <rv s="0">
    <fb>12263.83</fb>
    <v>0</v>
  </rv>
  <rv s="0">
    <fb>12961.05</fb>
    <v>0</v>
  </rv>
  <rv s="0">
    <fb>12964.68</fb>
    <v>0</v>
  </rv>
  <rv s="0">
    <fb>13385.93</fb>
    <v>0</v>
  </rv>
  <rv s="0">
    <fb>13045.19</fb>
    <v>0</v>
  </rv>
  <rv s="0">
    <fb>11857.87</fb>
    <v>0</v>
  </rv>
  <rv s="0">
    <fb>9544.75</fb>
    <v>0</v>
  </rv>
  <rv s="0">
    <fb>10466.799999999999</fb>
    <v>0</v>
  </rv>
  <rv s="0">
    <fb>12021.28</fb>
    <v>0</v>
  </rv>
  <rv s="0">
    <fb>12260.57</fb>
    <v>0</v>
  </rv>
  <rv s="0">
    <fb>12646.98</fb>
    <v>0</v>
  </rv>
  <rv s="0">
    <fb>12974.25</fb>
    <v>0</v>
  </rv>
  <rv s="0">
    <fb>12730.77</fb>
    <v>0</v>
  </rv>
  <rv s="0">
    <fb>11788.28</fb>
    <v>0</v>
  </rv>
  <rv s="0">
    <fb>13382.3</fb>
    <v>0</v>
  </rv>
  <rv s="0">
    <fb>13726.74</fb>
    <v>0</v>
  </rv>
  <rv s="0">
    <fb>13622.02</fb>
    <v>0</v>
  </rv>
  <rv s="0">
    <fb>14012.82</fb>
    <v>0</v>
  </rv>
  <rv s="0">
    <fb>15107.17</fb>
    <v>0</v>
  </rv>
  <rv s="0">
    <fb>15236.47</fb>
    <v>0</v>
  </rv>
  <rv s="0">
    <fb>15567.36</fb>
    <v>0</v>
  </rv>
  <rv s="0">
    <fb>15603.81</fb>
    <v>0</v>
  </rv>
  <rv s="0">
    <fb>15568.73</fb>
    <v>0</v>
  </rv>
  <rv s="0">
    <fb>15824.29</fb>
    <v>0</v>
  </rv>
  <rv s="0">
    <fb>15156.44</fb>
    <v>0</v>
  </rv>
  <rv s="0">
    <fb>15806.29</fb>
    <v>0</v>
  </rv>
  <rv s="0">
    <fb>15472.67</fb>
    <v>0</v>
  </rv>
  <rv s="0">
    <fb>16020.73</fb>
    <v>0</v>
  </rv>
  <rv s="0">
    <fb>15619.39</fb>
    <v>0</v>
  </rv>
  <rv s="0">
    <fb>13904.85</fb>
    <v>0</v>
  </rv>
  <rv s="0">
    <fb>14446.48</fb>
    <v>0</v>
  </rv>
  <rv s="0">
    <fb>13939.07</fb>
    <v>0</v>
  </rv>
  <rv s="0">
    <fb>14340.47</fb>
    <v>0</v>
  </rv>
  <rv s="0">
    <fb>12813.03</fb>
    <v>0</v>
  </rv>
  <rv s="0">
    <fb>13479.63</fb>
    <v>0</v>
  </rv>
  <rv s="0">
    <fb>12630.23</fb>
    <v>0</v>
  </rv>
  <rv s="0">
    <fb>12209.48</fb>
    <v>0</v>
  </rv>
  <rv s="0">
    <fb>13338.74</fb>
    <v>0</v>
  </rv>
  <rv s="0">
    <fb>14490.3</fb>
    <v>0</v>
  </rv>
  <rv s="0">
    <fb>14069.26</fb>
    <v>0</v>
  </rv>
  <rv s="0">
    <fb>15180.74</fb>
    <v>0</v>
  </rv>
  <rv s="0">
    <fb>15305.02</fb>
    <v>0</v>
  </rv>
  <rv s="0">
    <fb>15580.92</fb>
    <v>0</v>
  </rv>
  <rv s="0">
    <fb>15726.94</fb>
    <v>0</v>
  </rv>
  <rv s="0">
    <fb>15853.66</fb>
    <v>0</v>
  </rv>
  <rv s="0">
    <fb>16081.04</fb>
    <v>0</v>
  </rv>
  <rv s="0">
    <fb>16240.4</fb>
    <v>0</v>
  </rv>
  <rv s="0">
    <fb>15840.34</fb>
    <v>0</v>
  </rv>
  <rv s="0">
    <fb>15247.21</fb>
    <v>0</v>
  </rv>
  <rv s="0">
    <fb>14923.27</fb>
    <v>0</v>
  </rv>
  <rv s="0">
    <fb>16397.52</fb>
    <v>0</v>
  </rv>
  <rv s="0">
    <fb>16769.36</fb>
    <v>0</v>
  </rv>
  <rv s="0">
    <fb>16859.04</fb>
    <v>0</v>
  </rv>
  <rv s="0">
    <fb>17735.07</fb>
    <v>0</v>
  </rv>
  <rv s="0">
    <fb>18283.13</fb>
    <v>0</v>
  </rv>
  <rv s="0">
    <fb>17896.5</fb>
    <v>0</v>
  </rv>
  <rv s="0">
    <fb>18608.16</fb>
    <v>0</v>
  </rv>
  <rv s="0">
    <fb>18290.66</fb>
    <v>0</v>
  </rv>
  <rv s="0">
    <fb>18083.05</fb>
    <v>0</v>
  </rv>
  <rv s="0">
    <fb>18930.849999999999</fb>
    <v>0</v>
  </rv>
  <rv s="0">
    <fb>19213.14</fb>
    <v>0</v>
  </rv>
  <rv s="0">
    <fb>19254.97</fb>
    <v>0</v>
  </rv>
  <rv s="0">
    <fb>19933.62</fb>
    <v>0</v>
  </rv>
  <rv s="0">
    <fb>20024.66</fb>
    <v>0</v>
  </rv>
  <rv s="0">
    <fb>21428.240000000002</fb>
    <v>0</v>
  </rv>
  <rv s="0">
    <fb>23147.02</fb>
    <v>0</v>
  </rv>
  <rv s="0">
    <fb>22539.98</fb>
    <v>0</v>
  </rv>
  <rv s="0">
    <fb>23086.65</fb>
    <v>0</v>
  </rv>
  <rv s="0">
    <fb>23930.67</fb>
    <v>0</v>
  </rv>
  <rv s="0">
    <fb>23673.29</fb>
    <v>0</v>
  </rv>
  <rv s="0">
    <fb>23425.97</fb>
    <v>0</v>
  </rv>
  <rv s="0">
    <fb>24037.33</fb>
    <v>0</v>
  </rv>
  <rv s="0">
    <fb>24113.62</fb>
    <v>0</v>
  </rv>
  <rv s="0">
    <fb>24132.41</fb>
    <v>0</v>
  </rv>
  <rv s="0">
    <fb>23589.439999999999</fb>
    <v>0</v>
  </rv>
  <rv s="0">
    <fb>24539.34</fb>
    <v>0</v>
  </rv>
  <rv s="0">
    <fb>24797.52</fb>
    <v>0</v>
  </rv>
  <rv s="0">
    <fb>24638</fb>
    <v>0</v>
  </rv>
  <rv s="0">
    <fb>23298.89</fb>
    <v>0</v>
  </rv>
  <rv s="0">
    <fb>23991.27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>_([$€-x-euro2] * #,##0.00_);_([$€-x-euro2] * (#,##0.00);_([$€-x-euro2] 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A443D5-342A-4FF7-A340-BA107F17400E}" name="tbl_Tarifdaten" displayName="tbl_Tarifdaten" ref="A16:D24" totalsRowShown="0" headerRowDxfId="21" dataDxfId="19" headerRowBorderDxfId="20">
  <autoFilter ref="A16:D24" xr:uid="{BAA443D5-342A-4FF7-A340-BA107F17400E}"/>
  <tableColumns count="4">
    <tableColumn id="1" xr3:uid="{D87AF4B1-772B-442D-8225-9755BC602470}" name="Tarifdaten" dataDxfId="18"/>
    <tableColumn id="2" xr3:uid="{DF688921-372C-4648-B8F9-906639382AA0}" name="Einzeltarif" dataDxfId="17"/>
    <tableColumn id="3" xr3:uid="{EBA0A74A-B10B-4A06-B514-6E7320A9B085}" name="Kollektivtarif" dataDxfId="16"/>
    <tableColumn id="4" xr3:uid="{C8E84AB0-2AFA-4F21-B69A-0834F919D03B}" name="Haustarif" dataDxfId="15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2348D-DFA4-45CA-AFAF-CD7EB630101C}" name="tbl_Überschuss" displayName="tbl_Überschuss" ref="A27:D32" totalsRowShown="0" dataDxfId="0">
  <autoFilter ref="A27:D32" xr:uid="{3182348D-DFA4-45CA-AFAF-CD7EB630101C}"/>
  <tableColumns count="4">
    <tableColumn id="1" xr3:uid="{6B04FE15-E831-48FB-8BFC-92B8542051FC}" name="Jahr" dataDxfId="4"/>
    <tableColumn id="2" xr3:uid="{FF811AC3-B1E5-412E-BCE8-2049F9ACEE76}" name="Ü_beta" dataDxfId="3" dataCellStyle="Prozent"/>
    <tableColumn id="3" xr3:uid="{22461CF6-50D4-4D5F-B3BC-3C5F817FC982}" name="Ü_ris" dataDxfId="2" dataCellStyle="Prozent"/>
    <tableColumn id="4" xr3:uid="{4DA65AEE-A8B8-4F40-B10B-2CA8E1CE72FA}" name="Ü_gamma" dataDxfId="1" dataCellStyle="Prozent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DA464F-0F53-40E4-9BED-C58F6C1BFD34}" name="tbl_Kurse" displayName="tbl_Kurse" ref="A3:D496" totalsRowShown="0">
  <autoFilter ref="A3:D496" xr:uid="{3BDA464F-0F53-40E4-9BED-C58F6C1BFD34}"/>
  <tableColumns count="4">
    <tableColumn id="1" xr3:uid="{19BE2EC6-92F6-4122-843B-6940C6037839}" name="Datum" dataDxfId="8"/>
    <tableColumn id="2" xr3:uid="{14DE9675-64A6-4C8F-B193-0B398116202A}" name="Kursdaten" dataDxfId="7">
      <calculatedColumnFormula>IF(Kurse="konstant",tbl_Kurse[[#This Row],[Kurse konst.]],tbl_Kurse[[#This Row],[Kurse indiv.]])</calculatedColumnFormula>
    </tableColumn>
    <tableColumn id="3" xr3:uid="{99ADEE86-2BD3-4005-BC30-571C5F290A9F}" name="Kurse indiv." dataDxfId="6">
      <calculatedColumnFormula array="1">_xlfn.LET(
_xlpm.x,_xlfn.STOCKHISTORY("DAX GR EUR INDEX",tbl_Kurse[[#This Row],[Datum]],tbl_Kurse[[#This Row],[Datum]]+15,0,0,1),
INDEX(_xlfn._xlws.FILTER(_xlpm.x,ISNUMBER(_xlpm.x)),1)
)</calculatedColumnFormula>
    </tableColumn>
    <tableColumn id="4" xr3:uid="{78831A20-5BC8-454D-9144-718897F33D95}" name="Kurse konst.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F369-B1C4-460A-8633-5FA893723F4C}">
  <sheetPr codeName="Tabelle2"/>
  <dimension ref="A1:F32"/>
  <sheetViews>
    <sheetView tabSelected="1" workbookViewId="0">
      <selection activeCell="D10" sqref="D10"/>
    </sheetView>
  </sheetViews>
  <sheetFormatPr baseColWidth="10" defaultRowHeight="14.25" x14ac:dyDescent="0.45"/>
  <cols>
    <col min="1" max="1" width="11.9296875" bestFit="1" customWidth="1"/>
    <col min="2" max="4" width="12.86328125" customWidth="1"/>
    <col min="5" max="5" width="14.86328125" customWidth="1"/>
  </cols>
  <sheetData>
    <row r="1" spans="1:5" ht="14.65" thickBot="1" x14ac:dyDescent="0.5"/>
    <row r="2" spans="1:5" x14ac:dyDescent="0.45">
      <c r="A2" s="20" t="s">
        <v>15</v>
      </c>
      <c r="B2" s="21"/>
      <c r="D2" s="20" t="s">
        <v>62</v>
      </c>
      <c r="E2" s="21"/>
    </row>
    <row r="3" spans="1:5" x14ac:dyDescent="0.45">
      <c r="A3" s="22" t="s">
        <v>16</v>
      </c>
      <c r="B3" s="27" t="s">
        <v>23</v>
      </c>
      <c r="D3" s="22" t="s">
        <v>40</v>
      </c>
      <c r="E3" s="23">
        <v>43191</v>
      </c>
    </row>
    <row r="4" spans="1:5" x14ac:dyDescent="0.45">
      <c r="A4" s="22" t="s">
        <v>17</v>
      </c>
      <c r="B4" s="28">
        <v>25549</v>
      </c>
      <c r="D4" s="22" t="s">
        <v>59</v>
      </c>
      <c r="E4" s="24">
        <f ca="1">_xlfn.XLOOKUP(dat_Wertstand,v_Datbereich,v_DK_plus,"?",0)</f>
        <v>113761.91</v>
      </c>
    </row>
    <row r="5" spans="1:5" x14ac:dyDescent="0.45">
      <c r="A5" s="22" t="s">
        <v>22</v>
      </c>
      <c r="B5" s="27" t="s">
        <v>12</v>
      </c>
      <c r="D5" s="22" t="s">
        <v>60</v>
      </c>
      <c r="E5" s="24">
        <f ca="1">_xlfn.XLOOKUP(dat_Wertstand,v_Datbereich,v_DK_minus,"?",0)</f>
        <v>113514.01</v>
      </c>
    </row>
    <row r="6" spans="1:5" x14ac:dyDescent="0.45">
      <c r="A6" s="22" t="s">
        <v>18</v>
      </c>
      <c r="B6" s="28">
        <v>36526</v>
      </c>
      <c r="D6" s="22" t="s">
        <v>58</v>
      </c>
      <c r="E6" s="24">
        <f ca="1">_xlfn.XLOOKUP(dat_Wertstand,v_Datbereich,v_TFL,"?",0)</f>
        <v>117114.01</v>
      </c>
    </row>
    <row r="7" spans="1:5" ht="14.65" thickBot="1" x14ac:dyDescent="0.5">
      <c r="A7" s="22" t="s">
        <v>33</v>
      </c>
      <c r="B7" s="29">
        <v>30</v>
      </c>
      <c r="D7" s="25" t="s">
        <v>64</v>
      </c>
      <c r="E7" s="26" cm="1">
        <f t="array" aca="1" ref="E7" ca="1">_xlfn.XLOOKUP(dat_Wertstand,v_Datbereich,v_RKW,"?",0)</f>
        <v>112897.91</v>
      </c>
    </row>
    <row r="8" spans="1:5" x14ac:dyDescent="0.45">
      <c r="A8" s="22" t="s">
        <v>34</v>
      </c>
      <c r="B8" s="29">
        <v>20</v>
      </c>
    </row>
    <row r="9" spans="1:5" x14ac:dyDescent="0.45">
      <c r="A9" s="22" t="s">
        <v>63</v>
      </c>
      <c r="B9" s="34">
        <f>EDATE(BegDat,Dauer*12-1)</f>
        <v>47453</v>
      </c>
    </row>
    <row r="10" spans="1:5" x14ac:dyDescent="0.45">
      <c r="A10" s="22" t="s">
        <v>19</v>
      </c>
      <c r="B10" s="30">
        <v>0.6</v>
      </c>
    </row>
    <row r="11" spans="1:5" x14ac:dyDescent="0.45">
      <c r="A11" s="22" t="s">
        <v>20</v>
      </c>
      <c r="B11" s="31">
        <v>300</v>
      </c>
    </row>
    <row r="12" spans="1:5" x14ac:dyDescent="0.45">
      <c r="A12" s="22" t="s">
        <v>21</v>
      </c>
      <c r="B12" s="32">
        <v>12</v>
      </c>
    </row>
    <row r="13" spans="1:5" x14ac:dyDescent="0.45">
      <c r="A13" s="22" t="s">
        <v>44</v>
      </c>
      <c r="B13" s="27" t="s">
        <v>46</v>
      </c>
    </row>
    <row r="14" spans="1:5" ht="14.65" thickBot="1" x14ac:dyDescent="0.5">
      <c r="A14" s="25" t="s">
        <v>45</v>
      </c>
      <c r="B14" s="33">
        <v>0.04</v>
      </c>
    </row>
    <row r="16" spans="1:5" x14ac:dyDescent="0.45">
      <c r="A16" s="5" t="s">
        <v>5</v>
      </c>
      <c r="B16" s="7" t="s">
        <v>12</v>
      </c>
      <c r="C16" s="7" t="s">
        <v>13</v>
      </c>
      <c r="D16" s="7" t="s">
        <v>14</v>
      </c>
    </row>
    <row r="17" spans="1:6" x14ac:dyDescent="0.45">
      <c r="A17" s="6" t="s">
        <v>6</v>
      </c>
      <c r="B17" s="8">
        <v>0.04</v>
      </c>
      <c r="C17" s="8">
        <v>0.02</v>
      </c>
      <c r="D17" s="8">
        <v>5.0000000000000001E-3</v>
      </c>
    </row>
    <row r="18" spans="1:6" x14ac:dyDescent="0.45">
      <c r="A18" s="6" t="s">
        <v>7</v>
      </c>
      <c r="B18" s="8">
        <v>0.05</v>
      </c>
      <c r="C18" s="8">
        <v>2.5000000000000001E-2</v>
      </c>
      <c r="D18" s="8">
        <v>0.02</v>
      </c>
    </row>
    <row r="19" spans="1:6" x14ac:dyDescent="0.45">
      <c r="A19" s="6" t="s">
        <v>8</v>
      </c>
      <c r="B19" s="8">
        <v>4.0000000000000002E-4</v>
      </c>
      <c r="C19" s="8">
        <v>2.9999999999999997E-4</v>
      </c>
      <c r="D19" s="8">
        <v>2.9999999999999997E-4</v>
      </c>
    </row>
    <row r="20" spans="1:6" x14ac:dyDescent="0.45">
      <c r="A20" s="6" t="s">
        <v>9</v>
      </c>
      <c r="B20" s="8">
        <v>5.9999999999999995E-4</v>
      </c>
      <c r="C20" s="8">
        <v>5.0000000000000001E-4</v>
      </c>
      <c r="D20" s="8">
        <v>5.0000000000000001E-4</v>
      </c>
    </row>
    <row r="21" spans="1:6" x14ac:dyDescent="0.45">
      <c r="A21" s="6" t="s">
        <v>10</v>
      </c>
      <c r="B21" s="9">
        <v>1</v>
      </c>
      <c r="C21" s="9">
        <v>1</v>
      </c>
      <c r="D21" s="9">
        <v>1</v>
      </c>
    </row>
    <row r="22" spans="1:6" x14ac:dyDescent="0.45">
      <c r="A22" s="6" t="s">
        <v>11</v>
      </c>
      <c r="B22" s="8">
        <v>0.02</v>
      </c>
      <c r="C22" s="8">
        <v>0.02</v>
      </c>
      <c r="D22" s="8">
        <v>0</v>
      </c>
    </row>
    <row r="23" spans="1:6" x14ac:dyDescent="0.45">
      <c r="A23" s="6" t="s">
        <v>38</v>
      </c>
      <c r="B23" s="13" t="s">
        <v>39</v>
      </c>
      <c r="C23" s="13" t="s">
        <v>39</v>
      </c>
      <c r="D23" s="13" t="s">
        <v>39</v>
      </c>
    </row>
    <row r="24" spans="1:6" x14ac:dyDescent="0.45">
      <c r="A24" s="6" t="s">
        <v>57</v>
      </c>
      <c r="B24" s="18">
        <v>0.05</v>
      </c>
      <c r="C24" s="18">
        <v>0.05</v>
      </c>
      <c r="D24" s="18">
        <v>0.05</v>
      </c>
    </row>
    <row r="26" spans="1:6" x14ac:dyDescent="0.45">
      <c r="A26" s="4" t="s">
        <v>50</v>
      </c>
    </row>
    <row r="27" spans="1:6" x14ac:dyDescent="0.45">
      <c r="A27" t="s">
        <v>47</v>
      </c>
      <c r="B27" t="s">
        <v>35</v>
      </c>
      <c r="C27" t="s">
        <v>48</v>
      </c>
      <c r="D27" t="s">
        <v>49</v>
      </c>
    </row>
    <row r="28" spans="1:6" x14ac:dyDescent="0.45">
      <c r="A28" s="39">
        <v>2000</v>
      </c>
      <c r="B28" s="40">
        <v>0.01</v>
      </c>
      <c r="C28" s="40">
        <v>0.05</v>
      </c>
      <c r="D28" s="40">
        <v>1E-4</v>
      </c>
    </row>
    <row r="29" spans="1:6" x14ac:dyDescent="0.45">
      <c r="A29" s="39">
        <v>2001</v>
      </c>
      <c r="B29" s="40">
        <v>0.01</v>
      </c>
      <c r="C29" s="40">
        <v>0.05</v>
      </c>
      <c r="D29" s="40">
        <v>1E-4</v>
      </c>
    </row>
    <row r="30" spans="1:6" x14ac:dyDescent="0.45">
      <c r="A30" s="39">
        <v>2002</v>
      </c>
      <c r="B30" s="40">
        <v>5.0000000000000001E-3</v>
      </c>
      <c r="C30" s="40">
        <v>0.06</v>
      </c>
      <c r="D30" s="40">
        <v>2.0000000000000001E-4</v>
      </c>
    </row>
    <row r="31" spans="1:6" x14ac:dyDescent="0.45">
      <c r="A31" s="39">
        <v>2003</v>
      </c>
      <c r="B31" s="40">
        <v>5.0000000000000001E-3</v>
      </c>
      <c r="C31" s="40">
        <v>0.06</v>
      </c>
      <c r="D31" s="40">
        <v>2.0000000000000001E-4</v>
      </c>
    </row>
    <row r="32" spans="1:6" x14ac:dyDescent="0.45">
      <c r="A32" s="39">
        <v>2004</v>
      </c>
      <c r="B32" s="40">
        <v>1.2E-2</v>
      </c>
      <c r="C32" s="40">
        <v>0.05</v>
      </c>
      <c r="D32" s="40">
        <v>1E-4</v>
      </c>
      <c r="F32" s="35" t="s">
        <v>66</v>
      </c>
    </row>
  </sheetData>
  <conditionalFormatting sqref="B14">
    <cfRule type="expression" dxfId="22" priority="1">
      <formula>$B$13="real"</formula>
    </cfRule>
  </conditionalFormatting>
  <dataValidations count="7">
    <dataValidation type="list" allowBlank="1" showInputMessage="1" showErrorMessage="1" sqref="B5" xr:uid="{AF3BE7C3-CC45-47B8-9B46-00E0B41A46C7}">
      <formula1>$B$16:$D$16</formula1>
    </dataValidation>
    <dataValidation type="list" allowBlank="1" showInputMessage="1" showErrorMessage="1" sqref="B3" xr:uid="{27D97229-C457-43C5-BCB0-DEAA45F9FBCE}">
      <formula1>"M,F"</formula1>
    </dataValidation>
    <dataValidation type="decimal" allowBlank="1" showInputMessage="1" showErrorMessage="1" sqref="B10" xr:uid="{BD707C39-FF53-4E1D-9507-1085EE0512D3}">
      <formula1>0.4</formula1>
      <formula2>6</formula2>
    </dataValidation>
    <dataValidation type="list" allowBlank="1" showInputMessage="1" showErrorMessage="1" sqref="B12" xr:uid="{F70A4B3F-692D-4164-8319-DCC748AE7FB3}">
      <formula1>"1,2,4,12"</formula1>
    </dataValidation>
    <dataValidation type="list" allowBlank="1" showInputMessage="1" showErrorMessage="1" sqref="B13" xr:uid="{E5C3F67E-3969-4794-91EF-E9B6C8DD4215}">
      <formula1>"konstant,real"</formula1>
    </dataValidation>
    <dataValidation type="date" operator="greaterThanOrEqual" allowBlank="1" showInputMessage="1" showErrorMessage="1" sqref="B6" xr:uid="{3182C438-FD83-4454-8893-E4064F6537FB}">
      <formula1>36526</formula1>
    </dataValidation>
    <dataValidation type="custom" allowBlank="1" showInputMessage="1" showErrorMessage="1" sqref="E3" xr:uid="{AF3E22A0-4A06-4686-B33F-4B59F7F25F51}">
      <formula1>AND(DAY(dat_Wertstand)=1,dat_Wertstand&gt;=MIN(v_Datbereich),dat_Wertstand&lt;=MAX(v_Datbereich))</formula1>
    </dataValidation>
  </dataValidations>
  <pageMargins left="0.7" right="0.7" top="0.78740157499999996" bottom="0.78740157499999996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CF4DF-589D-4538-A980-92AEA5BB12AC}">
  <sheetPr codeName="Tabelle1"/>
  <dimension ref="A1:V500"/>
  <sheetViews>
    <sheetView zoomScale="85" zoomScaleNormal="85" workbookViewId="0">
      <pane xSplit="4" ySplit="8" topLeftCell="I9" activePane="bottomRight" state="frozen"/>
      <selection pane="topRight" activeCell="D1" sqref="D1"/>
      <selection pane="bottomLeft" activeCell="A8" sqref="A8"/>
      <selection pane="bottomRight" activeCell="O3" sqref="O3"/>
    </sheetView>
  </sheetViews>
  <sheetFormatPr baseColWidth="10" defaultRowHeight="14.25" x14ac:dyDescent="0.45"/>
  <cols>
    <col min="2" max="2" width="10.1328125" bestFit="1" customWidth="1"/>
    <col min="3" max="4" width="7.46484375" customWidth="1"/>
    <col min="5" max="5" width="6.46484375" customWidth="1"/>
  </cols>
  <sheetData>
    <row r="1" spans="1:22" x14ac:dyDescent="0.45">
      <c r="A1" s="4" t="s">
        <v>24</v>
      </c>
    </row>
    <row r="3" spans="1:22" x14ac:dyDescent="0.45">
      <c r="A3" t="s">
        <v>25</v>
      </c>
      <c r="B3" cm="1">
        <f t="array" ref="B3">Act_Altersberechnung(GebDat,BegDat,"K")</f>
        <v>31</v>
      </c>
    </row>
    <row r="4" spans="1:22" x14ac:dyDescent="0.45">
      <c r="A4" t="s">
        <v>26</v>
      </c>
      <c r="B4" s="10">
        <f>Beitrag*Zahlweise*BZDauer</f>
        <v>72000</v>
      </c>
    </row>
    <row r="5" spans="1:22" x14ac:dyDescent="0.45">
      <c r="A5" t="s">
        <v>27</v>
      </c>
      <c r="B5" s="10">
        <f>MTS*BeiSum</f>
        <v>43200</v>
      </c>
    </row>
    <row r="6" spans="1:22" x14ac:dyDescent="0.45">
      <c r="A6" t="s">
        <v>56</v>
      </c>
      <c r="B6" s="10" cm="1">
        <f t="array" ref="B6">getParm(Tarifart,"mrs")*BeiSum</f>
        <v>3600</v>
      </c>
      <c r="P6" s="15"/>
    </row>
    <row r="7" spans="1:22" x14ac:dyDescent="0.45">
      <c r="F7" s="36" t="s">
        <v>51</v>
      </c>
      <c r="G7" s="37"/>
      <c r="H7" s="37"/>
      <c r="I7" s="37"/>
      <c r="J7" s="37"/>
      <c r="K7" s="37"/>
      <c r="L7" s="36" t="s">
        <v>61</v>
      </c>
      <c r="M7" s="37"/>
      <c r="N7" s="37"/>
      <c r="O7" s="37"/>
      <c r="P7" s="37"/>
      <c r="Q7" s="37"/>
      <c r="R7" s="37"/>
      <c r="S7" s="37"/>
      <c r="T7" s="37"/>
      <c r="U7" s="37"/>
      <c r="V7" s="38"/>
    </row>
    <row r="8" spans="1:22" s="12" customFormat="1" x14ac:dyDescent="0.45">
      <c r="A8" s="14" t="s">
        <v>40</v>
      </c>
      <c r="B8" s="11" t="s">
        <v>28</v>
      </c>
      <c r="C8" s="11" t="s">
        <v>29</v>
      </c>
      <c r="D8" s="11" t="s">
        <v>30</v>
      </c>
      <c r="E8" s="11" t="s">
        <v>31</v>
      </c>
      <c r="F8" s="11" t="s">
        <v>32</v>
      </c>
      <c r="G8" s="11" t="s">
        <v>6</v>
      </c>
      <c r="H8" s="11" t="s">
        <v>7</v>
      </c>
      <c r="I8" s="11" t="s">
        <v>35</v>
      </c>
      <c r="J8" s="11" t="s">
        <v>36</v>
      </c>
      <c r="K8" s="11" t="s">
        <v>37</v>
      </c>
      <c r="L8" s="11" t="s">
        <v>52</v>
      </c>
      <c r="M8" s="11" t="s">
        <v>48</v>
      </c>
      <c r="N8" s="12" t="s">
        <v>53</v>
      </c>
      <c r="O8" s="12" t="s">
        <v>49</v>
      </c>
      <c r="P8" s="12" t="s">
        <v>55</v>
      </c>
      <c r="Q8" s="12" t="s">
        <v>54</v>
      </c>
      <c r="R8" s="12" t="s">
        <v>59</v>
      </c>
      <c r="S8" s="12" t="s">
        <v>60</v>
      </c>
      <c r="T8" s="12" t="s">
        <v>58</v>
      </c>
      <c r="U8" s="12" t="s">
        <v>65</v>
      </c>
      <c r="V8" s="12" t="s">
        <v>64</v>
      </c>
    </row>
    <row r="9" spans="1:22" x14ac:dyDescent="0.45">
      <c r="A9" s="15">
        <f>BegDat</f>
        <v>36526</v>
      </c>
      <c r="B9">
        <v>0</v>
      </c>
      <c r="C9">
        <f>QUOTIENT(B9,12)</f>
        <v>0</v>
      </c>
      <c r="D9">
        <f>MOD(B9,12)</f>
        <v>0</v>
      </c>
      <c r="E9">
        <f t="shared" ref="E9:E72" si="0">IF(MOD(B9,12/Zahlweise)=0,1,0)</f>
        <v>1</v>
      </c>
      <c r="F9" s="10">
        <f t="shared" ref="F9:F72" si="1">Beitrag*E9*(C9&lt;BZDauer)</f>
        <v>300</v>
      </c>
      <c r="G9" s="10" cm="1">
        <f t="array" ref="G9">ROUND(getParm(Tarifart,"alpha")/(2*Zahlweise)*BeiSum*(C9&lt;2)*E9,2)</f>
        <v>120</v>
      </c>
      <c r="H9" s="10" cm="1">
        <f t="array" ref="H9">ROUND(F9*getParm(Tarifart,"beta")*E9,2)</f>
        <v>15</v>
      </c>
      <c r="I9" s="10" cm="1">
        <f t="array" ref="I9">ROUND(F9*get_Üb(YEAR(A9),$I$8)*E9,2)</f>
        <v>3</v>
      </c>
      <c r="J9" s="10">
        <f>G9+H9</f>
        <v>135</v>
      </c>
      <c r="K9" s="10">
        <f>F9-J9+I9</f>
        <v>168</v>
      </c>
      <c r="L9" s="10" cm="1">
        <f t="array" ref="L9">ROUND(1/12*MAX(MTSum-R9-K9,MRSum)*Act_qx(x+C9,Geschlecht,getParm(Tarifart,"Tafel"),YEAR(GebDat),x+Dauer,1),2)</f>
        <v>5.29</v>
      </c>
      <c r="M9" s="10" cm="1">
        <f t="array" ref="M9">ROUND(L9*get_Üb(YEAR(A9),$M$8),2)</f>
        <v>0.26</v>
      </c>
      <c r="N9" s="10" cm="1">
        <f t="array" ref="N9">ROUND(R9*getParm(Tarifart,IF(C9&lt;BZDauer,"gamma1","gamma2")),2)</f>
        <v>0</v>
      </c>
      <c r="O9" s="10" cm="1">
        <f t="array" ref="O9">ROUND(R9*get_Üb(YEAR(A9),$O$8),2)</f>
        <v>0</v>
      </c>
      <c r="P9" s="19">
        <v>0</v>
      </c>
      <c r="Q9" s="19" cm="1">
        <f t="array" ref="Q9">ROUND(P9+1/getKurs(EDATE(A9,-1))*(K9-L9-N9-getParm(Tarifart,"StK")+M9+O9),10)*(C9&lt;Dauer)</f>
        <v>2.7295983699999998E-2</v>
      </c>
      <c r="R9" s="10" cm="1">
        <f t="array" ref="R9">ROUND(P9*getKurs($A9),2)</f>
        <v>0</v>
      </c>
      <c r="S9" s="10" cm="1">
        <f t="array" ref="S9">ROUND(Q9*getKurs($A9),2)</f>
        <v>184.27</v>
      </c>
      <c r="T9" s="10">
        <f t="shared" ref="T9:T72" si="2">ROUND(MAX(MTSum,R9+MRSum),2)</f>
        <v>43200</v>
      </c>
      <c r="U9" s="10" cm="1">
        <f t="array" ref="U9">getParm(Tarifart,"StoSatz")*(Dauer-C9)*Beitrag*Zahlweise*(C9&lt;BZDauer)</f>
        <v>2160</v>
      </c>
      <c r="V9" s="10">
        <f>MAX(S9-U9,0)</f>
        <v>0</v>
      </c>
    </row>
    <row r="10" spans="1:22" x14ac:dyDescent="0.45">
      <c r="A10" s="15">
        <f>EDATE(A9,1)</f>
        <v>36557</v>
      </c>
      <c r="B10">
        <f>B9+1</f>
        <v>1</v>
      </c>
      <c r="C10">
        <f t="shared" ref="C10:C73" si="3">QUOTIENT(B10,12)</f>
        <v>0</v>
      </c>
      <c r="D10">
        <f t="shared" ref="D10:D27" si="4">MOD(B10,12)</f>
        <v>1</v>
      </c>
      <c r="E10">
        <f t="shared" si="0"/>
        <v>1</v>
      </c>
      <c r="F10" s="10">
        <f t="shared" si="1"/>
        <v>300</v>
      </c>
      <c r="G10" s="10" cm="1">
        <f t="array" ref="G10">ROUND(getParm(Tarifart,"alpha")/(2*Zahlweise)*BeiSum*(C10&lt;2)*E10,2)</f>
        <v>120</v>
      </c>
      <c r="H10" s="10" cm="1">
        <f t="array" ref="H10">ROUND(F10*getParm(Tarifart,"beta")*E10,2)</f>
        <v>15</v>
      </c>
      <c r="I10" s="10" cm="1">
        <f t="array" ref="I10">ROUND(F10*get_Üb(YEAR(A10),$I$8)*E10,2)</f>
        <v>3</v>
      </c>
      <c r="J10" s="10">
        <f t="shared" ref="J10:J73" si="5">G10+H10</f>
        <v>135</v>
      </c>
      <c r="K10" s="10">
        <f t="shared" ref="K10:K73" si="6">F10-J10+I10</f>
        <v>168</v>
      </c>
      <c r="L10" s="10" cm="1">
        <f t="array" ref="L10">ROUND(1/12*MAX(MTSum-R10-K10,MRSum)*Act_qx(x+C10,Geschlecht,getParm(Tarifart,"Tafel"),YEAR(GebDat),x+Dauer,1),2)</f>
        <v>5.27</v>
      </c>
      <c r="M10" s="10" cm="1">
        <f t="array" ref="M10">ROUND(L10*get_Üb(YEAR(A10),$M$8),2)</f>
        <v>0.26</v>
      </c>
      <c r="N10" s="10" cm="1">
        <f t="array" ref="N10">ROUND(R10*getParm(Tarifart,IF(C10&lt;BZDauer,"gamma1","gamma2")),2)</f>
        <v>0.08</v>
      </c>
      <c r="O10" s="10" cm="1">
        <f t="array" ref="O10">ROUND(R10*get_Üb(YEAR(A10),$O$8),2)</f>
        <v>0.02</v>
      </c>
      <c r="P10" s="19">
        <f t="shared" ref="P10:P73" si="7">Q9*(C10&lt;Dauer)</f>
        <v>2.7295983699999998E-2</v>
      </c>
      <c r="Q10" s="19" cm="1">
        <f t="array" ref="Q10">ROUND(P10+1/getKurs(EDATE(A10,-1))*(K10-L10-N10-getParm(Tarifart,"StK")+M10+O10),10)*(C10&lt;Dauer)</f>
        <v>5.1282912600000001E-2</v>
      </c>
      <c r="R10" s="10" cm="1">
        <f t="array" ref="R10">ROUND(P10*getKurs($A10),2)</f>
        <v>192.45</v>
      </c>
      <c r="S10" s="10" cm="1">
        <f t="array" ref="S10">ROUND(Q10*getKurs($A10),2)</f>
        <v>361.57</v>
      </c>
      <c r="T10" s="10">
        <f t="shared" si="2"/>
        <v>43200</v>
      </c>
      <c r="U10" s="10" cm="1">
        <f t="array" ref="U10">getParm(Tarifart,"StoSatz")*(Dauer-C10)*Beitrag*Zahlweise*(C10&lt;BZDauer)</f>
        <v>2160</v>
      </c>
      <c r="V10" s="10">
        <f t="shared" ref="V10:V73" si="8">MAX(S10-U10,0)</f>
        <v>0</v>
      </c>
    </row>
    <row r="11" spans="1:22" x14ac:dyDescent="0.45">
      <c r="A11" s="15">
        <f t="shared" ref="A11:A74" si="9">EDATE(A10,1)</f>
        <v>36586</v>
      </c>
      <c r="B11">
        <f t="shared" ref="B11:B27" si="10">B10+1</f>
        <v>2</v>
      </c>
      <c r="C11">
        <f t="shared" si="3"/>
        <v>0</v>
      </c>
      <c r="D11">
        <f t="shared" si="4"/>
        <v>2</v>
      </c>
      <c r="E11">
        <f t="shared" si="0"/>
        <v>1</v>
      </c>
      <c r="F11" s="10">
        <f t="shared" si="1"/>
        <v>300</v>
      </c>
      <c r="G11" s="10" cm="1">
        <f t="array" ref="G11">ROUND(getParm(Tarifart,"alpha")/(2*Zahlweise)*BeiSum*(C11&lt;2)*E11,2)</f>
        <v>120</v>
      </c>
      <c r="H11" s="10" cm="1">
        <f t="array" ref="H11">ROUND(F11*getParm(Tarifart,"beta")*E11,2)</f>
        <v>15</v>
      </c>
      <c r="I11" s="10" cm="1">
        <f t="array" ref="I11">ROUND(F11*get_Üb(YEAR(A11),$I$8)*E11,2)</f>
        <v>3</v>
      </c>
      <c r="J11" s="10">
        <f t="shared" si="5"/>
        <v>135</v>
      </c>
      <c r="K11" s="10">
        <f t="shared" si="6"/>
        <v>168</v>
      </c>
      <c r="L11" s="10" cm="1">
        <f t="array" ref="L11">ROUND(1/12*MAX(MTSum-R11-K11,MRSum)*Act_qx(x+C11,Geschlecht,getParm(Tarifart,"Tafel"),YEAR(GebDat),x+Dauer,1),2)</f>
        <v>5.24</v>
      </c>
      <c r="M11" s="10" cm="1">
        <f t="array" ref="M11">ROUND(L11*get_Üb(YEAR(A11),$M$8),2)</f>
        <v>0.26</v>
      </c>
      <c r="N11" s="10" cm="1">
        <f t="array" ref="N11">ROUND(R11*getParm(Tarifart,IF(C11&lt;BZDauer,"gamma1","gamma2")),2)</f>
        <v>0.16</v>
      </c>
      <c r="O11" s="10" cm="1">
        <f t="array" ref="O11">ROUND(R11*get_Üb(YEAR(A11),$O$8),2)</f>
        <v>0.04</v>
      </c>
      <c r="P11" s="19">
        <f t="shared" si="7"/>
        <v>5.1282912600000001E-2</v>
      </c>
      <c r="Q11" s="19" cm="1">
        <f t="array" ref="Q11">ROUND(P11+1/getKurs(EDATE(A11,-1))*(K11-L11-N11-getParm(Tarifart,"StK")+M11+O11),10)*(C11&lt;Dauer)</f>
        <v>7.42459533E-2</v>
      </c>
      <c r="R11" s="10" cm="1">
        <f t="array" ref="R11">ROUND(P11*getKurs($A11),2)</f>
        <v>396.31</v>
      </c>
      <c r="S11" s="10" cm="1">
        <f t="array" ref="S11">ROUND(Q11*getKurs($A11),2)</f>
        <v>573.77</v>
      </c>
      <c r="T11" s="10">
        <f t="shared" si="2"/>
        <v>43200</v>
      </c>
      <c r="U11" s="10" cm="1">
        <f t="array" ref="U11">getParm(Tarifart,"StoSatz")*(Dauer-C11)*Beitrag*Zahlweise*(C11&lt;BZDauer)</f>
        <v>2160</v>
      </c>
      <c r="V11" s="10">
        <f t="shared" si="8"/>
        <v>0</v>
      </c>
    </row>
    <row r="12" spans="1:22" x14ac:dyDescent="0.45">
      <c r="A12" s="15">
        <f t="shared" si="9"/>
        <v>36617</v>
      </c>
      <c r="B12">
        <f t="shared" si="10"/>
        <v>3</v>
      </c>
      <c r="C12">
        <f t="shared" si="3"/>
        <v>0</v>
      </c>
      <c r="D12">
        <f t="shared" si="4"/>
        <v>3</v>
      </c>
      <c r="E12">
        <f t="shared" si="0"/>
        <v>1</v>
      </c>
      <c r="F12" s="10">
        <f t="shared" si="1"/>
        <v>300</v>
      </c>
      <c r="G12" s="10" cm="1">
        <f t="array" ref="G12">ROUND(getParm(Tarifart,"alpha")/(2*Zahlweise)*BeiSum*(C12&lt;2)*E12,2)</f>
        <v>120</v>
      </c>
      <c r="H12" s="10" cm="1">
        <f t="array" ref="H12">ROUND(F12*getParm(Tarifart,"beta")*E12,2)</f>
        <v>15</v>
      </c>
      <c r="I12" s="10" cm="1">
        <f t="array" ref="I12">ROUND(F12*get_Üb(YEAR(A12),$I$8)*E12,2)</f>
        <v>3</v>
      </c>
      <c r="J12" s="10">
        <f t="shared" si="5"/>
        <v>135</v>
      </c>
      <c r="K12" s="10">
        <f t="shared" si="6"/>
        <v>168</v>
      </c>
      <c r="L12" s="10" cm="1">
        <f t="array" ref="L12">ROUND(1/12*MAX(MTSum-R12-K12,MRSum)*Act_qx(x+C12,Geschlecht,getParm(Tarifart,"Tafel"),YEAR(GebDat),x+Dauer,1),2)</f>
        <v>5.23</v>
      </c>
      <c r="M12" s="10" cm="1">
        <f t="array" ref="M12">ROUND(L12*get_Üb(YEAR(A12),$M$8),2)</f>
        <v>0.26</v>
      </c>
      <c r="N12" s="10" cm="1">
        <f t="array" ref="N12">ROUND(R12*getParm(Tarifart,IF(C12&lt;BZDauer,"gamma1","gamma2")),2)</f>
        <v>0.22</v>
      </c>
      <c r="O12" s="10" cm="1">
        <f t="array" ref="O12">ROUND(R12*get_Üb(YEAR(A12),$O$8),2)</f>
        <v>0.06</v>
      </c>
      <c r="P12" s="19">
        <f t="shared" si="7"/>
        <v>7.42459533E-2</v>
      </c>
      <c r="Q12" s="19" cm="1">
        <f t="array" ref="Q12">ROUND(P12+1/getKurs(EDATE(A12,-1))*(K12-L12-N12-getParm(Tarifart,"StK")+M12+O12),10)*(C12&lt;Dauer)</f>
        <v>9.5192053999999998E-2</v>
      </c>
      <c r="R12" s="10" cm="1">
        <f t="array" ref="R12">ROUND(P12*getKurs($A12),2)</f>
        <v>551.59</v>
      </c>
      <c r="S12" s="10" cm="1">
        <f t="array" ref="S12">ROUND(Q12*getKurs($A12),2)</f>
        <v>707.2</v>
      </c>
      <c r="T12" s="10">
        <f t="shared" si="2"/>
        <v>43200</v>
      </c>
      <c r="U12" s="10" cm="1">
        <f t="array" ref="U12">getParm(Tarifart,"StoSatz")*(Dauer-C12)*Beitrag*Zahlweise*(C12&lt;BZDauer)</f>
        <v>2160</v>
      </c>
      <c r="V12" s="10">
        <f t="shared" si="8"/>
        <v>0</v>
      </c>
    </row>
    <row r="13" spans="1:22" x14ac:dyDescent="0.45">
      <c r="A13" s="15">
        <f t="shared" si="9"/>
        <v>36647</v>
      </c>
      <c r="B13">
        <f t="shared" si="10"/>
        <v>4</v>
      </c>
      <c r="C13">
        <f t="shared" si="3"/>
        <v>0</v>
      </c>
      <c r="D13">
        <f t="shared" si="4"/>
        <v>4</v>
      </c>
      <c r="E13">
        <f t="shared" si="0"/>
        <v>1</v>
      </c>
      <c r="F13" s="10">
        <f t="shared" si="1"/>
        <v>300</v>
      </c>
      <c r="G13" s="10" cm="1">
        <f t="array" ref="G13">ROUND(getParm(Tarifart,"alpha")/(2*Zahlweise)*BeiSum*(C13&lt;2)*E13,2)</f>
        <v>120</v>
      </c>
      <c r="H13" s="10" cm="1">
        <f t="array" ref="H13">ROUND(F13*getParm(Tarifart,"beta")*E13,2)</f>
        <v>15</v>
      </c>
      <c r="I13" s="10" cm="1">
        <f t="array" ref="I13">ROUND(F13*get_Üb(YEAR(A13),$I$8)*E13,2)</f>
        <v>3</v>
      </c>
      <c r="J13" s="10">
        <f t="shared" si="5"/>
        <v>135</v>
      </c>
      <c r="K13" s="10">
        <f t="shared" si="6"/>
        <v>168</v>
      </c>
      <c r="L13" s="10" cm="1">
        <f t="array" ref="L13">ROUND(1/12*MAX(MTSum-R13-K13,MRSum)*Act_qx(x+C13,Geschlecht,getParm(Tarifart,"Tafel"),YEAR(GebDat),x+Dauer,1),2)</f>
        <v>5.2</v>
      </c>
      <c r="M13" s="10" cm="1">
        <f t="array" ref="M13">ROUND(L13*get_Üb(YEAR(A13),$M$8),2)</f>
        <v>0.26</v>
      </c>
      <c r="N13" s="10" cm="1">
        <f t="array" ref="N13">ROUND(R13*getParm(Tarifart,IF(C13&lt;BZDauer,"gamma1","gamma2")),2)</f>
        <v>0.28999999999999998</v>
      </c>
      <c r="O13" s="10" cm="1">
        <f t="array" ref="O13">ROUND(R13*get_Üb(YEAR(A13),$O$8),2)</f>
        <v>7.0000000000000007E-2</v>
      </c>
      <c r="P13" s="19">
        <f t="shared" si="7"/>
        <v>9.5192053999999998E-2</v>
      </c>
      <c r="Q13" s="19" cm="1">
        <f t="array" ref="Q13">ROUND(P13+1/getKurs(EDATE(A13,-1))*(K13-L13-N13-getParm(Tarifart,"StK")+M13+O13),10)*(C13&lt;Dauer)</f>
        <v>0.11697630589999999</v>
      </c>
      <c r="R13" s="10" cm="1">
        <f t="array" ref="R13">ROUND(P13*getKurs($A13),2)</f>
        <v>719.26</v>
      </c>
      <c r="S13" s="10" cm="1">
        <f t="array" ref="S13">ROUND(Q13*getKurs($A13),2)</f>
        <v>883.86</v>
      </c>
      <c r="T13" s="10">
        <f t="shared" si="2"/>
        <v>43200</v>
      </c>
      <c r="U13" s="10" cm="1">
        <f t="array" ref="U13">getParm(Tarifart,"StoSatz")*(Dauer-C13)*Beitrag*Zahlweise*(C13&lt;BZDauer)</f>
        <v>2160</v>
      </c>
      <c r="V13" s="10">
        <f t="shared" si="8"/>
        <v>0</v>
      </c>
    </row>
    <row r="14" spans="1:22" x14ac:dyDescent="0.45">
      <c r="A14" s="15">
        <f t="shared" si="9"/>
        <v>36678</v>
      </c>
      <c r="B14">
        <f t="shared" si="10"/>
        <v>5</v>
      </c>
      <c r="C14">
        <f t="shared" si="3"/>
        <v>0</v>
      </c>
      <c r="D14">
        <f t="shared" si="4"/>
        <v>5</v>
      </c>
      <c r="E14">
        <f t="shared" si="0"/>
        <v>1</v>
      </c>
      <c r="F14" s="10">
        <f t="shared" si="1"/>
        <v>300</v>
      </c>
      <c r="G14" s="10" cm="1">
        <f t="array" ref="G14">ROUND(getParm(Tarifart,"alpha")/(2*Zahlweise)*BeiSum*(C14&lt;2)*E14,2)</f>
        <v>120</v>
      </c>
      <c r="H14" s="10" cm="1">
        <f t="array" ref="H14">ROUND(F14*getParm(Tarifart,"beta")*E14,2)</f>
        <v>15</v>
      </c>
      <c r="I14" s="10" cm="1">
        <f t="array" ref="I14">ROUND(F14*get_Üb(YEAR(A14),$I$8)*E14,2)</f>
        <v>3</v>
      </c>
      <c r="J14" s="10">
        <f t="shared" si="5"/>
        <v>135</v>
      </c>
      <c r="K14" s="10">
        <f t="shared" si="6"/>
        <v>168</v>
      </c>
      <c r="L14" s="10" cm="1">
        <f t="array" ref="L14">ROUND(1/12*MAX(MTSum-R14-K14,MRSum)*Act_qx(x+C14,Geschlecht,getParm(Tarifart,"Tafel"),YEAR(GebDat),x+Dauer,1),2)</f>
        <v>5.19</v>
      </c>
      <c r="M14" s="10" cm="1">
        <f t="array" ref="M14">ROUND(L14*get_Üb(YEAR(A14),$M$8),2)</f>
        <v>0.26</v>
      </c>
      <c r="N14" s="10" cm="1">
        <f t="array" ref="N14">ROUND(R14*getParm(Tarifart,IF(C14&lt;BZDauer,"gamma1","gamma2")),2)</f>
        <v>0.34</v>
      </c>
      <c r="O14" s="10" cm="1">
        <f t="array" ref="O14">ROUND(R14*get_Üb(YEAR(A14),$O$8),2)</f>
        <v>0.09</v>
      </c>
      <c r="P14" s="19">
        <f t="shared" si="7"/>
        <v>0.11697630589999999</v>
      </c>
      <c r="Q14" s="19" cm="1">
        <f t="array" ref="Q14">ROUND(P14+1/getKurs(EDATE(A14,-1))*(K14-L14-N14-getParm(Tarifart,"StK")+M14+O14),10)*(C14&lt;Dauer)</f>
        <v>0.1383926258</v>
      </c>
      <c r="R14" s="10" cm="1">
        <f t="array" ref="R14">ROUND(P14*getKurs($A14),2)</f>
        <v>850.74</v>
      </c>
      <c r="S14" s="10" cm="1">
        <f t="array" ref="S14">ROUND(Q14*getKurs($A14),2)</f>
        <v>1006.5</v>
      </c>
      <c r="T14" s="10">
        <f t="shared" si="2"/>
        <v>43200</v>
      </c>
      <c r="U14" s="10" cm="1">
        <f t="array" ref="U14">getParm(Tarifart,"StoSatz")*(Dauer-C14)*Beitrag*Zahlweise*(C14&lt;BZDauer)</f>
        <v>2160</v>
      </c>
      <c r="V14" s="10">
        <f t="shared" si="8"/>
        <v>0</v>
      </c>
    </row>
    <row r="15" spans="1:22" x14ac:dyDescent="0.45">
      <c r="A15" s="15">
        <f t="shared" si="9"/>
        <v>36708</v>
      </c>
      <c r="B15">
        <f t="shared" si="10"/>
        <v>6</v>
      </c>
      <c r="C15">
        <f t="shared" si="3"/>
        <v>0</v>
      </c>
      <c r="D15">
        <f t="shared" si="4"/>
        <v>6</v>
      </c>
      <c r="E15">
        <f t="shared" si="0"/>
        <v>1</v>
      </c>
      <c r="F15" s="10">
        <f t="shared" si="1"/>
        <v>300</v>
      </c>
      <c r="G15" s="10" cm="1">
        <f t="array" ref="G15">ROUND(getParm(Tarifart,"alpha")/(2*Zahlweise)*BeiSum*(C15&lt;2)*E15,2)</f>
        <v>120</v>
      </c>
      <c r="H15" s="10" cm="1">
        <f t="array" ref="H15">ROUND(F15*getParm(Tarifart,"beta")*E15,2)</f>
        <v>15</v>
      </c>
      <c r="I15" s="10" cm="1">
        <f t="array" ref="I15">ROUND(F15*get_Üb(YEAR(A15),$I$8)*E15,2)</f>
        <v>3</v>
      </c>
      <c r="J15" s="10">
        <f t="shared" si="5"/>
        <v>135</v>
      </c>
      <c r="K15" s="10">
        <f t="shared" si="6"/>
        <v>168</v>
      </c>
      <c r="L15" s="10" cm="1">
        <f t="array" ref="L15">ROUND(1/12*MAX(MTSum-R15-K15,MRSum)*Act_qx(x+C15,Geschlecht,getParm(Tarifart,"Tafel"),YEAR(GebDat),x+Dauer,1),2)</f>
        <v>5.17</v>
      </c>
      <c r="M15" s="10" cm="1">
        <f t="array" ref="M15">ROUND(L15*get_Üb(YEAR(A15),$M$8),2)</f>
        <v>0.26</v>
      </c>
      <c r="N15" s="10" cm="1">
        <f t="array" ref="N15">ROUND(R15*getParm(Tarifart,IF(C15&lt;BZDauer,"gamma1","gamma2")),2)</f>
        <v>0.39</v>
      </c>
      <c r="O15" s="10" cm="1">
        <f t="array" ref="O15">ROUND(R15*get_Üb(YEAR(A15),$O$8),2)</f>
        <v>0.1</v>
      </c>
      <c r="P15" s="19">
        <f t="shared" si="7"/>
        <v>0.1383926258</v>
      </c>
      <c r="Q15" s="19" cm="1">
        <f t="array" ref="Q15">ROUND(P15+1/getKurs(EDATE(A15,-1))*(K15-L15-N15-getParm(Tarifart,"StK")+M15+O15),10)*(C15&lt;Dauer)</f>
        <v>0.16064002569999999</v>
      </c>
      <c r="R15" s="10" cm="1">
        <f t="array" ref="R15">ROUND(P15*getKurs($A15),2)</f>
        <v>963.07</v>
      </c>
      <c r="S15" s="10" cm="1">
        <f t="array" ref="S15">ROUND(Q15*getKurs($A15),2)</f>
        <v>1117.8900000000001</v>
      </c>
      <c r="T15" s="10">
        <f t="shared" si="2"/>
        <v>43200</v>
      </c>
      <c r="U15" s="10" cm="1">
        <f t="array" ref="U15">getParm(Tarifart,"StoSatz")*(Dauer-C15)*Beitrag*Zahlweise*(C15&lt;BZDauer)</f>
        <v>2160</v>
      </c>
      <c r="V15" s="10">
        <f t="shared" si="8"/>
        <v>0</v>
      </c>
    </row>
    <row r="16" spans="1:22" x14ac:dyDescent="0.45">
      <c r="A16" s="15">
        <f t="shared" si="9"/>
        <v>36739</v>
      </c>
      <c r="B16">
        <f t="shared" si="10"/>
        <v>7</v>
      </c>
      <c r="C16">
        <f t="shared" si="3"/>
        <v>0</v>
      </c>
      <c r="D16">
        <f t="shared" si="4"/>
        <v>7</v>
      </c>
      <c r="E16">
        <f t="shared" si="0"/>
        <v>1</v>
      </c>
      <c r="F16" s="10">
        <f t="shared" si="1"/>
        <v>300</v>
      </c>
      <c r="G16" s="10" cm="1">
        <f t="array" ref="G16">ROUND(getParm(Tarifart,"alpha")/(2*Zahlweise)*BeiSum*(C16&lt;2)*E16,2)</f>
        <v>120</v>
      </c>
      <c r="H16" s="10" cm="1">
        <f t="array" ref="H16">ROUND(F16*getParm(Tarifart,"beta")*E16,2)</f>
        <v>15</v>
      </c>
      <c r="I16" s="10" cm="1">
        <f t="array" ref="I16">ROUND(F16*get_Üb(YEAR(A16),$I$8)*E16,2)</f>
        <v>3</v>
      </c>
      <c r="J16" s="10">
        <f t="shared" si="5"/>
        <v>135</v>
      </c>
      <c r="K16" s="10">
        <f t="shared" si="6"/>
        <v>168</v>
      </c>
      <c r="L16" s="10" cm="1">
        <f t="array" ref="L16">ROUND(1/12*MAX(MTSum-R16-K16,MRSum)*Act_qx(x+C16,Geschlecht,getParm(Tarifart,"Tafel"),YEAR(GebDat),x+Dauer,1),2)</f>
        <v>5.15</v>
      </c>
      <c r="M16" s="10" cm="1">
        <f t="array" ref="M16">ROUND(L16*get_Üb(YEAR(A16),$M$8),2)</f>
        <v>0.26</v>
      </c>
      <c r="N16" s="10" cm="1">
        <f t="array" ref="N16">ROUND(R16*getParm(Tarifart,IF(C16&lt;BZDauer,"gamma1","gamma2")),2)</f>
        <v>0.46</v>
      </c>
      <c r="O16" s="10" cm="1">
        <f t="array" ref="O16">ROUND(R16*get_Üb(YEAR(A16),$O$8),2)</f>
        <v>0.11</v>
      </c>
      <c r="P16" s="19">
        <f t="shared" si="7"/>
        <v>0.16064002569999999</v>
      </c>
      <c r="Q16" s="19" cm="1">
        <f t="array" ref="Q16">ROUND(P16+1/getKurs(EDATE(A16,-1))*(K16-L16-N16-getParm(Tarifart,"StK")+M16+O16),10)*(C16&lt;Dauer)</f>
        <v>0.18388487840000001</v>
      </c>
      <c r="R16" s="10" cm="1">
        <f t="array" ref="R16">ROUND(P16*getKurs($A16),2)</f>
        <v>1147.8599999999999</v>
      </c>
      <c r="S16" s="10" cm="1">
        <f t="array" ref="S16">ROUND(Q16*getKurs($A16),2)</f>
        <v>1313.95</v>
      </c>
      <c r="T16" s="10">
        <f t="shared" si="2"/>
        <v>43200</v>
      </c>
      <c r="U16" s="10" cm="1">
        <f t="array" ref="U16">getParm(Tarifart,"StoSatz")*(Dauer-C16)*Beitrag*Zahlweise*(C16&lt;BZDauer)</f>
        <v>2160</v>
      </c>
      <c r="V16" s="10">
        <f t="shared" si="8"/>
        <v>0</v>
      </c>
    </row>
    <row r="17" spans="1:22" x14ac:dyDescent="0.45">
      <c r="A17" s="15">
        <f t="shared" si="9"/>
        <v>36770</v>
      </c>
      <c r="B17">
        <f t="shared" si="10"/>
        <v>8</v>
      </c>
      <c r="C17">
        <f t="shared" si="3"/>
        <v>0</v>
      </c>
      <c r="D17">
        <f t="shared" si="4"/>
        <v>8</v>
      </c>
      <c r="E17">
        <f t="shared" si="0"/>
        <v>1</v>
      </c>
      <c r="F17" s="10">
        <f t="shared" si="1"/>
        <v>300</v>
      </c>
      <c r="G17" s="10" cm="1">
        <f t="array" ref="G17">ROUND(getParm(Tarifart,"alpha")/(2*Zahlweise)*BeiSum*(C17&lt;2)*E17,2)</f>
        <v>120</v>
      </c>
      <c r="H17" s="10" cm="1">
        <f t="array" ref="H17">ROUND(F17*getParm(Tarifart,"beta")*E17,2)</f>
        <v>15</v>
      </c>
      <c r="I17" s="10" cm="1">
        <f t="array" ref="I17">ROUND(F17*get_Üb(YEAR(A17),$I$8)*E17,2)</f>
        <v>3</v>
      </c>
      <c r="J17" s="10">
        <f t="shared" si="5"/>
        <v>135</v>
      </c>
      <c r="K17" s="10">
        <f t="shared" si="6"/>
        <v>168</v>
      </c>
      <c r="L17" s="10" cm="1">
        <f t="array" ref="L17">ROUND(1/12*MAX(MTSum-R17-K17,MRSum)*Act_qx(x+C17,Geschlecht,getParm(Tarifart,"Tafel"),YEAR(GebDat),x+Dauer,1),2)</f>
        <v>5.13</v>
      </c>
      <c r="M17" s="10" cm="1">
        <f t="array" ref="M17">ROUND(L17*get_Üb(YEAR(A17),$M$8),2)</f>
        <v>0.26</v>
      </c>
      <c r="N17" s="10" cm="1">
        <f t="array" ref="N17">ROUND(R17*getParm(Tarifart,IF(C17&lt;BZDauer,"gamma1","gamma2")),2)</f>
        <v>0.54</v>
      </c>
      <c r="O17" s="10" cm="1">
        <f t="array" ref="O17">ROUND(R17*get_Üb(YEAR(A17),$O$8),2)</f>
        <v>0.14000000000000001</v>
      </c>
      <c r="P17" s="19">
        <f t="shared" si="7"/>
        <v>0.18388487840000001</v>
      </c>
      <c r="Q17" s="19" cm="1">
        <f t="array" ref="Q17">ROUND(P17+1/getKurs(EDATE(A17,-1))*(K17-L17-N17-getParm(Tarifart,"StK")+M17+O17),10)*(C17&lt;Dauer)</f>
        <v>0.20651860890000001</v>
      </c>
      <c r="R17" s="10" cm="1">
        <f t="array" ref="R17">ROUND(P17*getKurs($A17),2)</f>
        <v>1350.57</v>
      </c>
      <c r="S17" s="10" cm="1">
        <f t="array" ref="S17">ROUND(Q17*getKurs($A17),2)</f>
        <v>1516.81</v>
      </c>
      <c r="T17" s="10">
        <f t="shared" si="2"/>
        <v>43200</v>
      </c>
      <c r="U17" s="10" cm="1">
        <f t="array" ref="U17">getParm(Tarifart,"StoSatz")*(Dauer-C17)*Beitrag*Zahlweise*(C17&lt;BZDauer)</f>
        <v>2160</v>
      </c>
      <c r="V17" s="10">
        <f t="shared" si="8"/>
        <v>0</v>
      </c>
    </row>
    <row r="18" spans="1:22" x14ac:dyDescent="0.45">
      <c r="A18" s="15">
        <f t="shared" si="9"/>
        <v>36800</v>
      </c>
      <c r="B18">
        <f t="shared" si="10"/>
        <v>9</v>
      </c>
      <c r="C18">
        <f t="shared" si="3"/>
        <v>0</v>
      </c>
      <c r="D18">
        <f t="shared" si="4"/>
        <v>9</v>
      </c>
      <c r="E18">
        <f t="shared" si="0"/>
        <v>1</v>
      </c>
      <c r="F18" s="10">
        <f t="shared" si="1"/>
        <v>300</v>
      </c>
      <c r="G18" s="10" cm="1">
        <f t="array" ref="G18">ROUND(getParm(Tarifart,"alpha")/(2*Zahlweise)*BeiSum*(C18&lt;2)*E18,2)</f>
        <v>120</v>
      </c>
      <c r="H18" s="10" cm="1">
        <f t="array" ref="H18">ROUND(F18*getParm(Tarifart,"beta")*E18,2)</f>
        <v>15</v>
      </c>
      <c r="I18" s="10" cm="1">
        <f t="array" ref="I18">ROUND(F18*get_Üb(YEAR(A18),$I$8)*E18,2)</f>
        <v>3</v>
      </c>
      <c r="J18" s="10">
        <f t="shared" si="5"/>
        <v>135</v>
      </c>
      <c r="K18" s="10">
        <f t="shared" si="6"/>
        <v>168</v>
      </c>
      <c r="L18" s="10" cm="1">
        <f t="array" ref="L18">ROUND(1/12*MAX(MTSum-R18-K18,MRSum)*Act_qx(x+C18,Geschlecht,getParm(Tarifart,"Tafel"),YEAR(GebDat),x+Dauer,1),2)</f>
        <v>5.12</v>
      </c>
      <c r="M18" s="10" cm="1">
        <f t="array" ref="M18">ROUND(L18*get_Üb(YEAR(A18),$M$8),2)</f>
        <v>0.26</v>
      </c>
      <c r="N18" s="10" cm="1">
        <f t="array" ref="N18">ROUND(R18*getParm(Tarifart,IF(C18&lt;BZDauer,"gamma1","gamma2")),2)</f>
        <v>0.56999999999999995</v>
      </c>
      <c r="O18" s="10" cm="1">
        <f t="array" ref="O18">ROUND(R18*get_Üb(YEAR(A18),$O$8),2)</f>
        <v>0.14000000000000001</v>
      </c>
      <c r="P18" s="19">
        <f t="shared" si="7"/>
        <v>0.20651860890000001</v>
      </c>
      <c r="Q18" s="19" cm="1">
        <f t="array" ref="Q18">ROUND(P18+1/getKurs(EDATE(A18,-1))*(K18-L18-N18-getParm(Tarifart,"StK")+M18+O18),10)*(C18&lt;Dauer)</f>
        <v>0.22853593580000001</v>
      </c>
      <c r="R18" s="10" cm="1">
        <f t="array" ref="R18">ROUND(P18*getKurs($A18),2)</f>
        <v>1417.18</v>
      </c>
      <c r="S18" s="10" cm="1">
        <f t="array" ref="S18">ROUND(Q18*getKurs($A18),2)</f>
        <v>1568.27</v>
      </c>
      <c r="T18" s="10">
        <f t="shared" si="2"/>
        <v>43200</v>
      </c>
      <c r="U18" s="10" cm="1">
        <f t="array" ref="U18">getParm(Tarifart,"StoSatz")*(Dauer-C18)*Beitrag*Zahlweise*(C18&lt;BZDauer)</f>
        <v>2160</v>
      </c>
      <c r="V18" s="10">
        <f t="shared" si="8"/>
        <v>0</v>
      </c>
    </row>
    <row r="19" spans="1:22" x14ac:dyDescent="0.45">
      <c r="A19" s="15">
        <f t="shared" si="9"/>
        <v>36831</v>
      </c>
      <c r="B19">
        <f t="shared" si="10"/>
        <v>10</v>
      </c>
      <c r="C19">
        <f t="shared" si="3"/>
        <v>0</v>
      </c>
      <c r="D19">
        <f t="shared" si="4"/>
        <v>10</v>
      </c>
      <c r="E19">
        <f t="shared" si="0"/>
        <v>1</v>
      </c>
      <c r="F19" s="10">
        <f t="shared" si="1"/>
        <v>300</v>
      </c>
      <c r="G19" s="10" cm="1">
        <f t="array" ref="G19">ROUND(getParm(Tarifart,"alpha")/(2*Zahlweise)*BeiSum*(C19&lt;2)*E19,2)</f>
        <v>120</v>
      </c>
      <c r="H19" s="10" cm="1">
        <f t="array" ref="H19">ROUND(F19*getParm(Tarifart,"beta")*E19,2)</f>
        <v>15</v>
      </c>
      <c r="I19" s="10" cm="1">
        <f t="array" ref="I19">ROUND(F19*get_Üb(YEAR(A19),$I$8)*E19,2)</f>
        <v>3</v>
      </c>
      <c r="J19" s="10">
        <f t="shared" si="5"/>
        <v>135</v>
      </c>
      <c r="K19" s="10">
        <f t="shared" si="6"/>
        <v>168</v>
      </c>
      <c r="L19" s="10" cm="1">
        <f t="array" ref="L19">ROUND(1/12*MAX(MTSum-R19-K19,MRSum)*Act_qx(x+C19,Geschlecht,getParm(Tarifart,"Tafel"),YEAR(GebDat),x+Dauer,1),2)</f>
        <v>5.09</v>
      </c>
      <c r="M19" s="10" cm="1">
        <f t="array" ref="M19">ROUND(L19*get_Üb(YEAR(A19),$M$8),2)</f>
        <v>0.25</v>
      </c>
      <c r="N19" s="10" cm="1">
        <f t="array" ref="N19">ROUND(R19*getParm(Tarifart,IF(C19&lt;BZDauer,"gamma1","gamma2")),2)</f>
        <v>0.65</v>
      </c>
      <c r="O19" s="10" cm="1">
        <f t="array" ref="O19">ROUND(R19*get_Üb(YEAR(A19),$O$8),2)</f>
        <v>0.16</v>
      </c>
      <c r="P19" s="19">
        <f t="shared" si="7"/>
        <v>0.22853593580000001</v>
      </c>
      <c r="Q19" s="19" cm="1">
        <f t="array" ref="Q19">ROUND(P19+1/getKurs(EDATE(A19,-1))*(K19-L19-N19-getParm(Tarifart,"StK")+M19+O19),10)*(C19&lt;Dauer)</f>
        <v>0.25209522969999998</v>
      </c>
      <c r="R19" s="10" cm="1">
        <f t="array" ref="R19">ROUND(P19*getKurs($A19),2)</f>
        <v>1613.25</v>
      </c>
      <c r="S19" s="10" cm="1">
        <f t="array" ref="S19">ROUND(Q19*getKurs($A19),2)</f>
        <v>1779.56</v>
      </c>
      <c r="T19" s="10">
        <f t="shared" si="2"/>
        <v>43200</v>
      </c>
      <c r="U19" s="10" cm="1">
        <f t="array" ref="U19">getParm(Tarifart,"StoSatz")*(Dauer-C19)*Beitrag*Zahlweise*(C19&lt;BZDauer)</f>
        <v>2160</v>
      </c>
      <c r="V19" s="10">
        <f t="shared" si="8"/>
        <v>0</v>
      </c>
    </row>
    <row r="20" spans="1:22" x14ac:dyDescent="0.45">
      <c r="A20" s="15">
        <f t="shared" si="9"/>
        <v>36861</v>
      </c>
      <c r="B20">
        <f t="shared" si="10"/>
        <v>11</v>
      </c>
      <c r="C20">
        <f t="shared" si="3"/>
        <v>0</v>
      </c>
      <c r="D20">
        <f t="shared" si="4"/>
        <v>11</v>
      </c>
      <c r="E20">
        <f t="shared" si="0"/>
        <v>1</v>
      </c>
      <c r="F20" s="10">
        <f t="shared" si="1"/>
        <v>300</v>
      </c>
      <c r="G20" s="10" cm="1">
        <f t="array" ref="G20">ROUND(getParm(Tarifart,"alpha")/(2*Zahlweise)*BeiSum*(C20&lt;2)*E20,2)</f>
        <v>120</v>
      </c>
      <c r="H20" s="10" cm="1">
        <f t="array" ref="H20">ROUND(F20*getParm(Tarifart,"beta")*E20,2)</f>
        <v>15</v>
      </c>
      <c r="I20" s="10" cm="1">
        <f t="array" ref="I20">ROUND(F20*get_Üb(YEAR(A20),$I$8)*E20,2)</f>
        <v>3</v>
      </c>
      <c r="J20" s="10">
        <f t="shared" si="5"/>
        <v>135</v>
      </c>
      <c r="K20" s="10">
        <f t="shared" si="6"/>
        <v>168</v>
      </c>
      <c r="L20" s="10" cm="1">
        <f t="array" ref="L20">ROUND(1/12*MAX(MTSum-R20-K20,MRSum)*Act_qx(x+C20,Geschlecht,getParm(Tarifart,"Tafel"),YEAR(GebDat),x+Dauer,1),2)</f>
        <v>5.09</v>
      </c>
      <c r="M20" s="10" cm="1">
        <f t="array" ref="M20">ROUND(L20*get_Üb(YEAR(A20),$M$8),2)</f>
        <v>0.25</v>
      </c>
      <c r="N20" s="10" cm="1">
        <f t="array" ref="N20">ROUND(R20*getParm(Tarifart,IF(C20&lt;BZDauer,"gamma1","gamma2")),2)</f>
        <v>0.66</v>
      </c>
      <c r="O20" s="10" cm="1">
        <f t="array" ref="O20">ROUND(R20*get_Üb(YEAR(A20),$O$8),2)</f>
        <v>0.16</v>
      </c>
      <c r="P20" s="19">
        <f t="shared" si="7"/>
        <v>0.25209522969999998</v>
      </c>
      <c r="Q20" s="19" cm="1">
        <f t="array" ref="Q20">ROUND(P20+1/getKurs(EDATE(A20,-1))*(K20-L20-N20-getParm(Tarifart,"StK")+M20+O20),10)*(C20&lt;Dauer)</f>
        <v>0.2749962634</v>
      </c>
      <c r="R20" s="10" cm="1">
        <f t="array" ref="R20">ROUND(P20*getKurs($A20),2)</f>
        <v>1641.87</v>
      </c>
      <c r="S20" s="10" cm="1">
        <f t="array" ref="S20">ROUND(Q20*getKurs($A20),2)</f>
        <v>1791.03</v>
      </c>
      <c r="T20" s="10">
        <f t="shared" si="2"/>
        <v>43200</v>
      </c>
      <c r="U20" s="10" cm="1">
        <f t="array" ref="U20">getParm(Tarifart,"StoSatz")*(Dauer-C20)*Beitrag*Zahlweise*(C20&lt;BZDauer)</f>
        <v>2160</v>
      </c>
      <c r="V20" s="10">
        <f t="shared" si="8"/>
        <v>0</v>
      </c>
    </row>
    <row r="21" spans="1:22" x14ac:dyDescent="0.45">
      <c r="A21" s="15">
        <f t="shared" si="9"/>
        <v>36892</v>
      </c>
      <c r="B21">
        <f t="shared" si="10"/>
        <v>12</v>
      </c>
      <c r="C21">
        <f t="shared" si="3"/>
        <v>1</v>
      </c>
      <c r="D21">
        <f t="shared" si="4"/>
        <v>0</v>
      </c>
      <c r="E21">
        <f t="shared" si="0"/>
        <v>1</v>
      </c>
      <c r="F21" s="10">
        <f t="shared" si="1"/>
        <v>300</v>
      </c>
      <c r="G21" s="10" cm="1">
        <f t="array" ref="G21">ROUND(getParm(Tarifart,"alpha")/(2*Zahlweise)*BeiSum*(C21&lt;2)*E21,2)</f>
        <v>120</v>
      </c>
      <c r="H21" s="10" cm="1">
        <f t="array" ref="H21">ROUND(F21*getParm(Tarifart,"beta")*E21,2)</f>
        <v>15</v>
      </c>
      <c r="I21" s="10" cm="1">
        <f t="array" ref="I21">ROUND(F21*get_Üb(YEAR(A21),$I$8)*E21,2)</f>
        <v>3</v>
      </c>
      <c r="J21" s="10">
        <f t="shared" si="5"/>
        <v>135</v>
      </c>
      <c r="K21" s="10">
        <f t="shared" si="6"/>
        <v>168</v>
      </c>
      <c r="L21" s="10" cm="1">
        <f t="array" ref="L21">ROUND(1/12*MAX(MTSum-R21-K21,MRSum)*Act_qx(x+C21,Geschlecht,getParm(Tarifart,"Tafel"),YEAR(GebDat),x+Dauer,1),2)</f>
        <v>5.12</v>
      </c>
      <c r="M21" s="10" cm="1">
        <f t="array" ref="M21">ROUND(L21*get_Üb(YEAR(A21),$M$8),2)</f>
        <v>0.26</v>
      </c>
      <c r="N21" s="10" cm="1">
        <f t="array" ref="N21">ROUND(R21*getParm(Tarifart,IF(C21&lt;BZDauer,"gamma1","gamma2")),2)</f>
        <v>0.69</v>
      </c>
      <c r="O21" s="10" cm="1">
        <f t="array" ref="O21">ROUND(R21*get_Üb(YEAR(A21),$O$8),2)</f>
        <v>0.17</v>
      </c>
      <c r="P21" s="19">
        <f t="shared" si="7"/>
        <v>0.2749962634</v>
      </c>
      <c r="Q21" s="19" cm="1">
        <f t="array" ref="Q21">ROUND(P21+1/getKurs(EDATE(A21,-1))*(K21-L21-N21-getParm(Tarifart,"StK")+M21+O21),10)*(C21&lt;Dauer)</f>
        <v>0.29981159169999999</v>
      </c>
      <c r="R21" s="10" cm="1">
        <f t="array" ref="R21">ROUND(P21*getKurs($A21),2)</f>
        <v>1729.68</v>
      </c>
      <c r="S21" s="10" cm="1">
        <f t="array" ref="S21">ROUND(Q21*getKurs($A21),2)</f>
        <v>1885.76</v>
      </c>
      <c r="T21" s="10">
        <f t="shared" si="2"/>
        <v>43200</v>
      </c>
      <c r="U21" s="10" cm="1">
        <f t="array" ref="U21">getParm(Tarifart,"StoSatz")*(Dauer-C21)*Beitrag*Zahlweise*(C21&lt;BZDauer)</f>
        <v>2088</v>
      </c>
      <c r="V21" s="10">
        <f t="shared" si="8"/>
        <v>0</v>
      </c>
    </row>
    <row r="22" spans="1:22" x14ac:dyDescent="0.45">
      <c r="A22" s="15">
        <f t="shared" si="9"/>
        <v>36923</v>
      </c>
      <c r="B22">
        <f t="shared" si="10"/>
        <v>13</v>
      </c>
      <c r="C22">
        <f t="shared" si="3"/>
        <v>1</v>
      </c>
      <c r="D22">
        <f t="shared" si="4"/>
        <v>1</v>
      </c>
      <c r="E22">
        <f t="shared" si="0"/>
        <v>1</v>
      </c>
      <c r="F22" s="10">
        <f t="shared" si="1"/>
        <v>300</v>
      </c>
      <c r="G22" s="10" cm="1">
        <f t="array" ref="G22">ROUND(getParm(Tarifart,"alpha")/(2*Zahlweise)*BeiSum*(C22&lt;2)*E22,2)</f>
        <v>120</v>
      </c>
      <c r="H22" s="10" cm="1">
        <f t="array" ref="H22">ROUND(F22*getParm(Tarifart,"beta")*E22,2)</f>
        <v>15</v>
      </c>
      <c r="I22" s="10" cm="1">
        <f t="array" ref="I22">ROUND(F22*get_Üb(YEAR(A22),$I$8)*E22,2)</f>
        <v>3</v>
      </c>
      <c r="J22" s="10">
        <f t="shared" si="5"/>
        <v>135</v>
      </c>
      <c r="K22" s="10">
        <f t="shared" si="6"/>
        <v>168</v>
      </c>
      <c r="L22" s="10" cm="1">
        <f t="array" ref="L22">ROUND(1/12*MAX(MTSum-R22-K22,MRSum)*Act_qx(x+C22,Geschlecht,getParm(Tarifart,"Tafel"),YEAR(GebDat),x+Dauer,1),2)</f>
        <v>5.09</v>
      </c>
      <c r="M22" s="10" cm="1">
        <f t="array" ref="M22">ROUND(L22*get_Üb(YEAR(A22),$M$8),2)</f>
        <v>0.25</v>
      </c>
      <c r="N22" s="10" cm="1">
        <f t="array" ref="N22">ROUND(R22*getParm(Tarifart,IF(C22&lt;BZDauer,"gamma1","gamma2")),2)</f>
        <v>0.8</v>
      </c>
      <c r="O22" s="10" cm="1">
        <f t="array" ref="O22">ROUND(R22*get_Üb(YEAR(A22),$O$8),2)</f>
        <v>0.2</v>
      </c>
      <c r="P22" s="19">
        <f t="shared" si="7"/>
        <v>0.29981159169999999</v>
      </c>
      <c r="Q22" s="19" cm="1">
        <f t="array" ref="Q22">ROUND(P22+1/getKurs(EDATE(A22,-1))*(K22-L22-N22-getParm(Tarifart,"StK")+M22+O22),10)*(C22&lt;Dauer)</f>
        <v>0.32549754139999998</v>
      </c>
      <c r="R22" s="10" cm="1">
        <f t="array" ref="R22">ROUND(P22*getKurs($A22),2)</f>
        <v>2010.14</v>
      </c>
      <c r="S22" s="10" cm="1">
        <f t="array" ref="S22">ROUND(Q22*getKurs($A22),2)</f>
        <v>2182.36</v>
      </c>
      <c r="T22" s="10">
        <f t="shared" si="2"/>
        <v>43200</v>
      </c>
      <c r="U22" s="10" cm="1">
        <f t="array" ref="U22">getParm(Tarifart,"StoSatz")*(Dauer-C22)*Beitrag*Zahlweise*(C22&lt;BZDauer)</f>
        <v>2088</v>
      </c>
      <c r="V22" s="10">
        <f t="shared" si="8"/>
        <v>94.360000000000127</v>
      </c>
    </row>
    <row r="23" spans="1:22" x14ac:dyDescent="0.45">
      <c r="A23" s="15">
        <f t="shared" si="9"/>
        <v>36951</v>
      </c>
      <c r="B23">
        <f t="shared" si="10"/>
        <v>14</v>
      </c>
      <c r="C23">
        <f t="shared" si="3"/>
        <v>1</v>
      </c>
      <c r="D23">
        <f t="shared" si="4"/>
        <v>2</v>
      </c>
      <c r="E23">
        <f t="shared" si="0"/>
        <v>1</v>
      </c>
      <c r="F23" s="10">
        <f t="shared" si="1"/>
        <v>300</v>
      </c>
      <c r="G23" s="10" cm="1">
        <f t="array" ref="G23">ROUND(getParm(Tarifart,"alpha")/(2*Zahlweise)*BeiSum*(C23&lt;2)*E23,2)</f>
        <v>120</v>
      </c>
      <c r="H23" s="10" cm="1">
        <f t="array" ref="H23">ROUND(F23*getParm(Tarifart,"beta")*E23,2)</f>
        <v>15</v>
      </c>
      <c r="I23" s="10" cm="1">
        <f t="array" ref="I23">ROUND(F23*get_Üb(YEAR(A23),$I$8)*E23,2)</f>
        <v>3</v>
      </c>
      <c r="J23" s="10">
        <f t="shared" si="5"/>
        <v>135</v>
      </c>
      <c r="K23" s="10">
        <f t="shared" si="6"/>
        <v>168</v>
      </c>
      <c r="L23" s="10" cm="1">
        <f t="array" ref="L23">ROUND(1/12*MAX(MTSum-R23-K23,MRSum)*Act_qx(x+C23,Geschlecht,getParm(Tarifart,"Tafel"),YEAR(GebDat),x+Dauer,1),2)</f>
        <v>5.09</v>
      </c>
      <c r="M23" s="10" cm="1">
        <f t="array" ref="M23">ROUND(L23*get_Üb(YEAR(A23),$M$8),2)</f>
        <v>0.25</v>
      </c>
      <c r="N23" s="10" cm="1">
        <f t="array" ref="N23">ROUND(R23*getParm(Tarifart,IF(C23&lt;BZDauer,"gamma1","gamma2")),2)</f>
        <v>0.8</v>
      </c>
      <c r="O23" s="10" cm="1">
        <f t="array" ref="O23">ROUND(R23*get_Üb(YEAR(A23),$O$8),2)</f>
        <v>0.2</v>
      </c>
      <c r="P23" s="19">
        <f t="shared" si="7"/>
        <v>0.32549754139999998</v>
      </c>
      <c r="Q23" s="19" cm="1">
        <f t="array" ref="Q23">ROUND(P23+1/getKurs(EDATE(A23,-1))*(K23-L23-N23-getParm(Tarifart,"StK")+M23+O23),10)*(C23&lt;Dauer)</f>
        <v>0.34959414259999999</v>
      </c>
      <c r="R23" s="10" cm="1">
        <f t="array" ref="R23">ROUND(P23*getKurs($A23),2)</f>
        <v>1993.15</v>
      </c>
      <c r="S23" s="10" cm="1">
        <f t="array" ref="S23">ROUND(Q23*getKurs($A23),2)</f>
        <v>2140.6999999999998</v>
      </c>
      <c r="T23" s="10">
        <f t="shared" si="2"/>
        <v>43200</v>
      </c>
      <c r="U23" s="10" cm="1">
        <f t="array" ref="U23">getParm(Tarifart,"StoSatz")*(Dauer-C23)*Beitrag*Zahlweise*(C23&lt;BZDauer)</f>
        <v>2088</v>
      </c>
      <c r="V23" s="10">
        <f t="shared" si="8"/>
        <v>52.699999999999818</v>
      </c>
    </row>
    <row r="24" spans="1:22" x14ac:dyDescent="0.45">
      <c r="A24" s="15">
        <f t="shared" si="9"/>
        <v>36982</v>
      </c>
      <c r="B24">
        <f t="shared" si="10"/>
        <v>15</v>
      </c>
      <c r="C24">
        <f t="shared" si="3"/>
        <v>1</v>
      </c>
      <c r="D24">
        <f t="shared" si="4"/>
        <v>3</v>
      </c>
      <c r="E24">
        <f t="shared" si="0"/>
        <v>1</v>
      </c>
      <c r="F24" s="10">
        <f t="shared" si="1"/>
        <v>300</v>
      </c>
      <c r="G24" s="10" cm="1">
        <f t="array" ref="G24">ROUND(getParm(Tarifart,"alpha")/(2*Zahlweise)*BeiSum*(C24&lt;2)*E24,2)</f>
        <v>120</v>
      </c>
      <c r="H24" s="10" cm="1">
        <f t="array" ref="H24">ROUND(F24*getParm(Tarifart,"beta")*E24,2)</f>
        <v>15</v>
      </c>
      <c r="I24" s="10" cm="1">
        <f t="array" ref="I24">ROUND(F24*get_Üb(YEAR(A24),$I$8)*E24,2)</f>
        <v>3</v>
      </c>
      <c r="J24" s="10">
        <f t="shared" si="5"/>
        <v>135</v>
      </c>
      <c r="K24" s="10">
        <f t="shared" si="6"/>
        <v>168</v>
      </c>
      <c r="L24" s="10" cm="1">
        <f t="array" ref="L24">ROUND(1/12*MAX(MTSum-R24-K24,MRSum)*Act_qx(x+C24,Geschlecht,getParm(Tarifart,"Tafel"),YEAR(GebDat),x+Dauer,1),2)</f>
        <v>5.09</v>
      </c>
      <c r="M24" s="10" cm="1">
        <f t="array" ref="M24">ROUND(L24*get_Üb(YEAR(A24),$M$8),2)</f>
        <v>0.25</v>
      </c>
      <c r="N24" s="10" cm="1">
        <f t="array" ref="N24">ROUND(R24*getParm(Tarifart,IF(C24&lt;BZDauer,"gamma1","gamma2")),2)</f>
        <v>0.81</v>
      </c>
      <c r="O24" s="10" cm="1">
        <f t="array" ref="O24">ROUND(R24*get_Üb(YEAR(A24),$O$8),2)</f>
        <v>0.2</v>
      </c>
      <c r="P24" s="19">
        <f t="shared" si="7"/>
        <v>0.34959414259999999</v>
      </c>
      <c r="Q24" s="19" cm="1">
        <f t="array" ref="Q24">ROUND(P24+1/getKurs(EDATE(A24,-1))*(K24-L24-N24-getParm(Tarifart,"StK")+M24+O24),10)*(C24&lt;Dauer)</f>
        <v>0.37597663069999998</v>
      </c>
      <c r="R24" s="10" cm="1">
        <f t="array" ref="R24">ROUND(P24*getKurs($A24),2)</f>
        <v>2013.93</v>
      </c>
      <c r="S24" s="10" cm="1">
        <f t="array" ref="S24">ROUND(Q24*getKurs($A24),2)</f>
        <v>2165.91</v>
      </c>
      <c r="T24" s="10">
        <f t="shared" si="2"/>
        <v>43200</v>
      </c>
      <c r="U24" s="10" cm="1">
        <f t="array" ref="U24">getParm(Tarifart,"StoSatz")*(Dauer-C24)*Beitrag*Zahlweise*(C24&lt;BZDauer)</f>
        <v>2088</v>
      </c>
      <c r="V24" s="10">
        <f t="shared" si="8"/>
        <v>77.909999999999854</v>
      </c>
    </row>
    <row r="25" spans="1:22" x14ac:dyDescent="0.45">
      <c r="A25" s="15">
        <f t="shared" si="9"/>
        <v>37012</v>
      </c>
      <c r="B25">
        <f t="shared" si="10"/>
        <v>16</v>
      </c>
      <c r="C25">
        <f t="shared" si="3"/>
        <v>1</v>
      </c>
      <c r="D25">
        <f t="shared" si="4"/>
        <v>4</v>
      </c>
      <c r="E25">
        <f t="shared" si="0"/>
        <v>1</v>
      </c>
      <c r="F25" s="10">
        <f t="shared" si="1"/>
        <v>300</v>
      </c>
      <c r="G25" s="10" cm="1">
        <f t="array" ref="G25">ROUND(getParm(Tarifart,"alpha")/(2*Zahlweise)*BeiSum*(C25&lt;2)*E25,2)</f>
        <v>120</v>
      </c>
      <c r="H25" s="10" cm="1">
        <f t="array" ref="H25">ROUND(F25*getParm(Tarifart,"beta")*E25,2)</f>
        <v>15</v>
      </c>
      <c r="I25" s="10" cm="1">
        <f t="array" ref="I25">ROUND(F25*get_Üb(YEAR(A25),$I$8)*E25,2)</f>
        <v>3</v>
      </c>
      <c r="J25" s="10">
        <f t="shared" si="5"/>
        <v>135</v>
      </c>
      <c r="K25" s="10">
        <f t="shared" si="6"/>
        <v>168</v>
      </c>
      <c r="L25" s="10" cm="1">
        <f t="array" ref="L25">ROUND(1/12*MAX(MTSum-R25-K25,MRSum)*Act_qx(x+C25,Geschlecht,getParm(Tarifart,"Tafel"),YEAR(GebDat),x+Dauer,1),2)</f>
        <v>5.05</v>
      </c>
      <c r="M25" s="10" cm="1">
        <f t="array" ref="M25">ROUND(L25*get_Üb(YEAR(A25),$M$8),2)</f>
        <v>0.25</v>
      </c>
      <c r="N25" s="10" cm="1">
        <f t="array" ref="N25">ROUND(R25*getParm(Tarifart,IF(C25&lt;BZDauer,"gamma1","gamma2")),2)</f>
        <v>0.93</v>
      </c>
      <c r="O25" s="10" cm="1">
        <f t="array" ref="O25">ROUND(R25*get_Üb(YEAR(A25),$O$8),2)</f>
        <v>0.23</v>
      </c>
      <c r="P25" s="19">
        <f t="shared" si="7"/>
        <v>0.37597663069999998</v>
      </c>
      <c r="Q25" s="19" cm="1">
        <f t="array" ref="Q25">ROUND(P25+1/getKurs(EDATE(A25,-1))*(K25-L25-N25-getParm(Tarifart,"StK")+M25+O25),10)*(C25&lt;Dauer)</f>
        <v>0.40401112610000001</v>
      </c>
      <c r="R25" s="10" cm="1">
        <f t="array" ref="R25">ROUND(P25*getKurs($A25),2)</f>
        <v>2336.2600000000002</v>
      </c>
      <c r="S25" s="10" cm="1">
        <f t="array" ref="S25">ROUND(Q25*getKurs($A25),2)</f>
        <v>2510.46</v>
      </c>
      <c r="T25" s="10">
        <f t="shared" si="2"/>
        <v>43200</v>
      </c>
      <c r="U25" s="10" cm="1">
        <f t="array" ref="U25">getParm(Tarifart,"StoSatz")*(Dauer-C25)*Beitrag*Zahlweise*(C25&lt;BZDauer)</f>
        <v>2088</v>
      </c>
      <c r="V25" s="10">
        <f t="shared" si="8"/>
        <v>422.46000000000004</v>
      </c>
    </row>
    <row r="26" spans="1:22" x14ac:dyDescent="0.45">
      <c r="A26" s="15">
        <f t="shared" si="9"/>
        <v>37043</v>
      </c>
      <c r="B26">
        <f t="shared" si="10"/>
        <v>17</v>
      </c>
      <c r="C26">
        <f t="shared" si="3"/>
        <v>1</v>
      </c>
      <c r="D26">
        <f t="shared" si="4"/>
        <v>5</v>
      </c>
      <c r="E26">
        <f t="shared" si="0"/>
        <v>1</v>
      </c>
      <c r="F26" s="10">
        <f t="shared" si="1"/>
        <v>300</v>
      </c>
      <c r="G26" s="10" cm="1">
        <f t="array" ref="G26">ROUND(getParm(Tarifart,"alpha")/(2*Zahlweise)*BeiSum*(C26&lt;2)*E26,2)</f>
        <v>120</v>
      </c>
      <c r="H26" s="10" cm="1">
        <f t="array" ref="H26">ROUND(F26*getParm(Tarifart,"beta")*E26,2)</f>
        <v>15</v>
      </c>
      <c r="I26" s="10" cm="1">
        <f t="array" ref="I26">ROUND(F26*get_Üb(YEAR(A26),$I$8)*E26,2)</f>
        <v>3</v>
      </c>
      <c r="J26" s="10">
        <f t="shared" si="5"/>
        <v>135</v>
      </c>
      <c r="K26" s="10">
        <f t="shared" si="6"/>
        <v>168</v>
      </c>
      <c r="L26" s="10" cm="1">
        <f t="array" ref="L26">ROUND(1/12*MAX(MTSum-R26-K26,MRSum)*Act_qx(x+C26,Geschlecht,getParm(Tarifart,"Tafel"),YEAR(GebDat),x+Dauer,1),2)</f>
        <v>5.03</v>
      </c>
      <c r="M26" s="10" cm="1">
        <f t="array" ref="M26">ROUND(L26*get_Üb(YEAR(A26),$M$8),2)</f>
        <v>0.25</v>
      </c>
      <c r="N26" s="10" cm="1">
        <f t="array" ref="N26">ROUND(R26*getParm(Tarifart,IF(C26&lt;BZDauer,"gamma1","gamma2")),2)</f>
        <v>0.99</v>
      </c>
      <c r="O26" s="10" cm="1">
        <f t="array" ref="O26">ROUND(R26*get_Üb(YEAR(A26),$O$8),2)</f>
        <v>0.25</v>
      </c>
      <c r="P26" s="19">
        <f t="shared" si="7"/>
        <v>0.40401112610000001</v>
      </c>
      <c r="Q26" s="19" cm="1">
        <f t="array" ref="Q26">ROUND(P26+1/getKurs(EDATE(A26,-1))*(K26-L26-N26-getParm(Tarifart,"StK")+M26+O26),10)*(C26&lt;Dauer)</f>
        <v>0.42999827740000002</v>
      </c>
      <c r="R26" s="10" cm="1">
        <f t="array" ref="R26">ROUND(P26*getKurs($A26),2)</f>
        <v>2474.64</v>
      </c>
      <c r="S26" s="10" cm="1">
        <f t="array" ref="S26">ROUND(Q26*getKurs($A26),2)</f>
        <v>2633.81</v>
      </c>
      <c r="T26" s="10">
        <f t="shared" si="2"/>
        <v>43200</v>
      </c>
      <c r="U26" s="10" cm="1">
        <f t="array" ref="U26">getParm(Tarifart,"StoSatz")*(Dauer-C26)*Beitrag*Zahlweise*(C26&lt;BZDauer)</f>
        <v>2088</v>
      </c>
      <c r="V26" s="10">
        <f t="shared" si="8"/>
        <v>545.80999999999995</v>
      </c>
    </row>
    <row r="27" spans="1:22" x14ac:dyDescent="0.45">
      <c r="A27" s="15">
        <f t="shared" si="9"/>
        <v>37073</v>
      </c>
      <c r="B27">
        <f t="shared" si="10"/>
        <v>18</v>
      </c>
      <c r="C27">
        <f t="shared" si="3"/>
        <v>1</v>
      </c>
      <c r="D27">
        <f t="shared" si="4"/>
        <v>6</v>
      </c>
      <c r="E27">
        <f t="shared" si="0"/>
        <v>1</v>
      </c>
      <c r="F27" s="10">
        <f t="shared" si="1"/>
        <v>300</v>
      </c>
      <c r="G27" s="10" cm="1">
        <f t="array" ref="G27">ROUND(getParm(Tarifart,"alpha")/(2*Zahlweise)*BeiSum*(C27&lt;2)*E27,2)</f>
        <v>120</v>
      </c>
      <c r="H27" s="10" cm="1">
        <f t="array" ref="H27">ROUND(F27*getParm(Tarifart,"beta")*E27,2)</f>
        <v>15</v>
      </c>
      <c r="I27" s="10" cm="1">
        <f t="array" ref="I27">ROUND(F27*get_Üb(YEAR(A27),$I$8)*E27,2)</f>
        <v>3</v>
      </c>
      <c r="J27" s="10">
        <f t="shared" si="5"/>
        <v>135</v>
      </c>
      <c r="K27" s="10">
        <f t="shared" si="6"/>
        <v>168</v>
      </c>
      <c r="L27" s="10" cm="1">
        <f t="array" ref="L27">ROUND(1/12*MAX(MTSum-R27-K27,MRSum)*Act_qx(x+C27,Geschlecht,getParm(Tarifart,"Tafel"),YEAR(GebDat),x+Dauer,1),2)</f>
        <v>5.01</v>
      </c>
      <c r="M27" s="10" cm="1">
        <f t="array" ref="M27">ROUND(L27*get_Üb(YEAR(A27),$M$8),2)</f>
        <v>0.25</v>
      </c>
      <c r="N27" s="10" cm="1">
        <f t="array" ref="N27">ROUND(R27*getParm(Tarifart,IF(C27&lt;BZDauer,"gamma1","gamma2")),2)</f>
        <v>1.05</v>
      </c>
      <c r="O27" s="10" cm="1">
        <f t="array" ref="O27">ROUND(R27*get_Üb(YEAR(A27),$O$8),2)</f>
        <v>0.26</v>
      </c>
      <c r="P27" s="19">
        <f t="shared" si="7"/>
        <v>0.42999827740000002</v>
      </c>
      <c r="Q27" s="19" cm="1">
        <f t="array" ref="Q27">ROUND(P27+1/getKurs(EDATE(A27,-1))*(K27-L27-N27-getParm(Tarifart,"StK")+M27+O27),10)*(C27&lt;Dauer)</f>
        <v>0.4563567295</v>
      </c>
      <c r="R27" s="10" cm="1">
        <f t="array" ref="R27">ROUND(P27*getKurs($A27),2)</f>
        <v>2627.07</v>
      </c>
      <c r="S27" s="10" cm="1">
        <f t="array" ref="S27">ROUND(Q27*getKurs($A27),2)</f>
        <v>2788.11</v>
      </c>
      <c r="T27" s="10">
        <f t="shared" si="2"/>
        <v>43200</v>
      </c>
      <c r="U27" s="10" cm="1">
        <f t="array" ref="U27">getParm(Tarifart,"StoSatz")*(Dauer-C27)*Beitrag*Zahlweise*(C27&lt;BZDauer)</f>
        <v>2088</v>
      </c>
      <c r="V27" s="10">
        <f t="shared" si="8"/>
        <v>700.11000000000013</v>
      </c>
    </row>
    <row r="28" spans="1:22" x14ac:dyDescent="0.45">
      <c r="A28" s="15">
        <f t="shared" si="9"/>
        <v>37104</v>
      </c>
      <c r="B28">
        <f t="shared" ref="B28:B31" si="11">B27+1</f>
        <v>19</v>
      </c>
      <c r="C28">
        <f t="shared" si="3"/>
        <v>1</v>
      </c>
      <c r="D28">
        <f t="shared" ref="D28:D31" si="12">MOD(B28,12)</f>
        <v>7</v>
      </c>
      <c r="E28">
        <f t="shared" si="0"/>
        <v>1</v>
      </c>
      <c r="F28" s="10">
        <f t="shared" si="1"/>
        <v>300</v>
      </c>
      <c r="G28" s="10" cm="1">
        <f t="array" ref="G28">ROUND(getParm(Tarifart,"alpha")/(2*Zahlweise)*BeiSum*(C28&lt;2)*E28,2)</f>
        <v>120</v>
      </c>
      <c r="H28" s="10" cm="1">
        <f t="array" ref="H28">ROUND(F28*getParm(Tarifart,"beta")*E28,2)</f>
        <v>15</v>
      </c>
      <c r="I28" s="10" cm="1">
        <f t="array" ref="I28">ROUND(F28*get_Üb(YEAR(A28),$I$8)*E28,2)</f>
        <v>3</v>
      </c>
      <c r="J28" s="10">
        <f t="shared" si="5"/>
        <v>135</v>
      </c>
      <c r="K28" s="10">
        <f t="shared" si="6"/>
        <v>168</v>
      </c>
      <c r="L28" s="10" cm="1">
        <f t="array" ref="L28">ROUND(1/12*MAX(MTSum-R28-K28,MRSum)*Act_qx(x+C28,Geschlecht,getParm(Tarifart,"Tafel"),YEAR(GebDat),x+Dauer,1),2)</f>
        <v>5.01</v>
      </c>
      <c r="M28" s="10" cm="1">
        <f t="array" ref="M28">ROUND(L28*get_Üb(YEAR(A28),$M$8),2)</f>
        <v>0.25</v>
      </c>
      <c r="N28" s="10" cm="1">
        <f t="array" ref="N28">ROUND(R28*getParm(Tarifart,IF(C28&lt;BZDauer,"gamma1","gamma2")),2)</f>
        <v>1.07</v>
      </c>
      <c r="O28" s="10" cm="1">
        <f t="array" ref="O28">ROUND(R28*get_Üb(YEAR(A28),$O$8),2)</f>
        <v>0.27</v>
      </c>
      <c r="P28" s="19">
        <f t="shared" si="7"/>
        <v>0.4563567295</v>
      </c>
      <c r="Q28" s="19" cm="1">
        <f t="array" ref="Q28">ROUND(P28+1/getKurs(EDATE(A28,-1))*(K28-L28-N28-getParm(Tarifart,"StK")+M28+O28),10)*(C28&lt;Dauer)</f>
        <v>0.48278115049999998</v>
      </c>
      <c r="R28" s="10" cm="1">
        <f t="array" ref="R28">ROUND(P28*getKurs($A28),2)</f>
        <v>2662.95</v>
      </c>
      <c r="S28" s="10" cm="1">
        <f t="array" ref="S28">ROUND(Q28*getKurs($A28),2)</f>
        <v>2817.14</v>
      </c>
      <c r="T28" s="10">
        <f t="shared" si="2"/>
        <v>43200</v>
      </c>
      <c r="U28" s="10" cm="1">
        <f t="array" ref="U28">getParm(Tarifart,"StoSatz")*(Dauer-C28)*Beitrag*Zahlweise*(C28&lt;BZDauer)</f>
        <v>2088</v>
      </c>
      <c r="V28" s="10">
        <f t="shared" si="8"/>
        <v>729.13999999999987</v>
      </c>
    </row>
    <row r="29" spans="1:22" x14ac:dyDescent="0.45">
      <c r="A29" s="15">
        <f t="shared" si="9"/>
        <v>37135</v>
      </c>
      <c r="B29">
        <f t="shared" si="11"/>
        <v>20</v>
      </c>
      <c r="C29">
        <f t="shared" si="3"/>
        <v>1</v>
      </c>
      <c r="D29">
        <f t="shared" si="12"/>
        <v>8</v>
      </c>
      <c r="E29">
        <f t="shared" si="0"/>
        <v>1</v>
      </c>
      <c r="F29" s="10">
        <f t="shared" si="1"/>
        <v>300</v>
      </c>
      <c r="G29" s="10" cm="1">
        <f t="array" ref="G29">ROUND(getParm(Tarifart,"alpha")/(2*Zahlweise)*BeiSum*(C29&lt;2)*E29,2)</f>
        <v>120</v>
      </c>
      <c r="H29" s="10" cm="1">
        <f t="array" ref="H29">ROUND(F29*getParm(Tarifart,"beta")*E29,2)</f>
        <v>15</v>
      </c>
      <c r="I29" s="10" cm="1">
        <f t="array" ref="I29">ROUND(F29*get_Üb(YEAR(A29),$I$8)*E29,2)</f>
        <v>3</v>
      </c>
      <c r="J29" s="10">
        <f t="shared" si="5"/>
        <v>135</v>
      </c>
      <c r="K29" s="10">
        <f t="shared" si="6"/>
        <v>168</v>
      </c>
      <c r="L29" s="10" cm="1">
        <f t="array" ref="L29">ROUND(1/12*MAX(MTSum-R29-K29,MRSum)*Act_qx(x+C29,Geschlecht,getParm(Tarifart,"Tafel"),YEAR(GebDat),x+Dauer,1),2)</f>
        <v>5.03</v>
      </c>
      <c r="M29" s="10" cm="1">
        <f t="array" ref="M29">ROUND(L29*get_Üb(YEAR(A29),$M$8),2)</f>
        <v>0.25</v>
      </c>
      <c r="N29" s="10" cm="1">
        <f t="array" ref="N29">ROUND(R29*getParm(Tarifart,IF(C29&lt;BZDauer,"gamma1","gamma2")),2)</f>
        <v>0.98</v>
      </c>
      <c r="O29" s="10" cm="1">
        <f t="array" ref="O29">ROUND(R29*get_Üb(YEAR(A29),$O$8),2)</f>
        <v>0.25</v>
      </c>
      <c r="P29" s="19">
        <f t="shared" si="7"/>
        <v>0.48278115049999998</v>
      </c>
      <c r="Q29" s="19" cm="1">
        <f t="array" ref="Q29">ROUND(P29+1/getKurs(EDATE(A29,-1))*(K29-L29-N29-getParm(Tarifart,"StK")+M29+O29),10)*(C29&lt;Dauer)</f>
        <v>0.51045615219999996</v>
      </c>
      <c r="R29" s="10" cm="1">
        <f t="array" ref="R29">ROUND(P29*getKurs($A29),2)</f>
        <v>2459.34</v>
      </c>
      <c r="S29" s="10" cm="1">
        <f t="array" ref="S29">ROUND(Q29*getKurs($A29),2)</f>
        <v>2600.31</v>
      </c>
      <c r="T29" s="10">
        <f t="shared" si="2"/>
        <v>43200</v>
      </c>
      <c r="U29" s="10" cm="1">
        <f t="array" ref="U29">getParm(Tarifart,"StoSatz")*(Dauer-C29)*Beitrag*Zahlweise*(C29&lt;BZDauer)</f>
        <v>2088</v>
      </c>
      <c r="V29" s="10">
        <f t="shared" si="8"/>
        <v>512.30999999999995</v>
      </c>
    </row>
    <row r="30" spans="1:22" x14ac:dyDescent="0.45">
      <c r="A30" s="15">
        <f t="shared" si="9"/>
        <v>37165</v>
      </c>
      <c r="B30">
        <f t="shared" si="11"/>
        <v>21</v>
      </c>
      <c r="C30">
        <f t="shared" si="3"/>
        <v>1</v>
      </c>
      <c r="D30">
        <f t="shared" si="12"/>
        <v>9</v>
      </c>
      <c r="E30">
        <f t="shared" si="0"/>
        <v>1</v>
      </c>
      <c r="F30" s="10">
        <f t="shared" si="1"/>
        <v>300</v>
      </c>
      <c r="G30" s="10" cm="1">
        <f t="array" ref="G30">ROUND(getParm(Tarifart,"alpha")/(2*Zahlweise)*BeiSum*(C30&lt;2)*E30,2)</f>
        <v>120</v>
      </c>
      <c r="H30" s="10" cm="1">
        <f t="array" ref="H30">ROUND(F30*getParm(Tarifart,"beta")*E30,2)</f>
        <v>15</v>
      </c>
      <c r="I30" s="10" cm="1">
        <f t="array" ref="I30">ROUND(F30*get_Üb(YEAR(A30),$I$8)*E30,2)</f>
        <v>3</v>
      </c>
      <c r="J30" s="10">
        <f t="shared" si="5"/>
        <v>135</v>
      </c>
      <c r="K30" s="10">
        <f t="shared" si="6"/>
        <v>168</v>
      </c>
      <c r="L30" s="10" cm="1">
        <f t="array" ref="L30">ROUND(1/12*MAX(MTSum-R30-K30,MRSum)*Act_qx(x+C30,Geschlecht,getParm(Tarifart,"Tafel"),YEAR(GebDat),x+Dauer,1),2)</f>
        <v>5.07</v>
      </c>
      <c r="M30" s="10" cm="1">
        <f t="array" ref="M30">ROUND(L30*get_Üb(YEAR(A30),$M$8),2)</f>
        <v>0.25</v>
      </c>
      <c r="N30" s="10" cm="1">
        <f t="array" ref="N30">ROUND(R30*getParm(Tarifart,IF(C30&lt;BZDauer,"gamma1","gamma2")),2)</f>
        <v>0.87</v>
      </c>
      <c r="O30" s="10" cm="1">
        <f t="array" ref="O30">ROUND(R30*get_Üb(YEAR(A30),$O$8),2)</f>
        <v>0.22</v>
      </c>
      <c r="P30" s="19">
        <f t="shared" si="7"/>
        <v>0.51045615219999996</v>
      </c>
      <c r="Q30" s="19" cm="1">
        <f t="array" ref="Q30">ROUND(P30+1/getKurs(EDATE(A30,-1))*(K30-L30-N30-getParm(Tarifart,"StK")+M30+O30),10)*(C30&lt;Dauer)</f>
        <v>0.54216538439999995</v>
      </c>
      <c r="R30" s="10" cm="1">
        <f t="array" ref="R30">ROUND(P30*getKurs($A30),2)</f>
        <v>2164.3200000000002</v>
      </c>
      <c r="S30" s="10" cm="1">
        <f t="array" ref="S30">ROUND(Q30*getKurs($A30),2)</f>
        <v>2298.7600000000002</v>
      </c>
      <c r="T30" s="10">
        <f t="shared" si="2"/>
        <v>43200</v>
      </c>
      <c r="U30" s="10" cm="1">
        <f t="array" ref="U30">getParm(Tarifart,"StoSatz")*(Dauer-C30)*Beitrag*Zahlweise*(C30&lt;BZDauer)</f>
        <v>2088</v>
      </c>
      <c r="V30" s="10">
        <f t="shared" si="8"/>
        <v>210.76000000000022</v>
      </c>
    </row>
    <row r="31" spans="1:22" x14ac:dyDescent="0.45">
      <c r="A31" s="15">
        <f t="shared" si="9"/>
        <v>37196</v>
      </c>
      <c r="B31">
        <f t="shared" si="11"/>
        <v>22</v>
      </c>
      <c r="C31">
        <f t="shared" si="3"/>
        <v>1</v>
      </c>
      <c r="D31">
        <f t="shared" si="12"/>
        <v>10</v>
      </c>
      <c r="E31">
        <f t="shared" si="0"/>
        <v>1</v>
      </c>
      <c r="F31" s="10">
        <f t="shared" si="1"/>
        <v>300</v>
      </c>
      <c r="G31" s="10" cm="1">
        <f t="array" ref="G31">ROUND(getParm(Tarifart,"alpha")/(2*Zahlweise)*BeiSum*(C31&lt;2)*E31,2)</f>
        <v>120</v>
      </c>
      <c r="H31" s="10" cm="1">
        <f t="array" ref="H31">ROUND(F31*getParm(Tarifart,"beta")*E31,2)</f>
        <v>15</v>
      </c>
      <c r="I31" s="10" cm="1">
        <f t="array" ref="I31">ROUND(F31*get_Üb(YEAR(A31),$I$8)*E31,2)</f>
        <v>3</v>
      </c>
      <c r="J31" s="10">
        <f t="shared" si="5"/>
        <v>135</v>
      </c>
      <c r="K31" s="10">
        <f t="shared" si="6"/>
        <v>168</v>
      </c>
      <c r="L31" s="10" cm="1">
        <f t="array" ref="L31">ROUND(1/12*MAX(MTSum-R31-K31,MRSum)*Act_qx(x+C31,Geschlecht,getParm(Tarifart,"Tafel"),YEAR(GebDat),x+Dauer,1),2)</f>
        <v>5.03</v>
      </c>
      <c r="M31" s="10" cm="1">
        <f t="array" ref="M31">ROUND(L31*get_Üb(YEAR(A31),$M$8),2)</f>
        <v>0.25</v>
      </c>
      <c r="N31" s="10" cm="1">
        <f t="array" ref="N31">ROUND(R31*getParm(Tarifart,IF(C31&lt;BZDauer,"gamma1","gamma2")),2)</f>
        <v>1.01</v>
      </c>
      <c r="O31" s="10" cm="1">
        <f t="array" ref="O31">ROUND(R31*get_Üb(YEAR(A31),$O$8),2)</f>
        <v>0.25</v>
      </c>
      <c r="P31" s="19">
        <f t="shared" si="7"/>
        <v>0.54216538439999995</v>
      </c>
      <c r="Q31" s="19" cm="1">
        <f t="array" ref="Q31">ROUND(P31+1/getKurs(EDATE(A31,-1))*(K31-L31-N31-getParm(Tarifart,"StK")+M31+O31),10)*(C31&lt;Dauer)</f>
        <v>0.5802458425</v>
      </c>
      <c r="R31" s="10" cm="1">
        <f t="array" ref="R31">ROUND(P31*getKurs($A31),2)</f>
        <v>2513.5500000000002</v>
      </c>
      <c r="S31" s="10" cm="1">
        <f t="array" ref="S31">ROUND(Q31*getKurs($A31),2)</f>
        <v>2690.1</v>
      </c>
      <c r="T31" s="10">
        <f t="shared" si="2"/>
        <v>43200</v>
      </c>
      <c r="U31" s="10" cm="1">
        <f t="array" ref="U31">getParm(Tarifart,"StoSatz")*(Dauer-C31)*Beitrag*Zahlweise*(C31&lt;BZDauer)</f>
        <v>2088</v>
      </c>
      <c r="V31" s="10">
        <f t="shared" si="8"/>
        <v>602.09999999999991</v>
      </c>
    </row>
    <row r="32" spans="1:22" x14ac:dyDescent="0.45">
      <c r="A32" s="15">
        <f t="shared" si="9"/>
        <v>37226</v>
      </c>
      <c r="B32">
        <f t="shared" ref="B32:B57" si="13">B31+1</f>
        <v>23</v>
      </c>
      <c r="C32">
        <f t="shared" si="3"/>
        <v>1</v>
      </c>
      <c r="D32">
        <f t="shared" ref="D32:D57" si="14">MOD(B32,12)</f>
        <v>11</v>
      </c>
      <c r="E32">
        <f t="shared" si="0"/>
        <v>1</v>
      </c>
      <c r="F32" s="10">
        <f t="shared" si="1"/>
        <v>300</v>
      </c>
      <c r="G32" s="10" cm="1">
        <f t="array" ref="G32">ROUND(getParm(Tarifart,"alpha")/(2*Zahlweise)*BeiSum*(C32&lt;2)*E32,2)</f>
        <v>120</v>
      </c>
      <c r="H32" s="10" cm="1">
        <f t="array" ref="H32">ROUND(F32*getParm(Tarifart,"beta")*E32,2)</f>
        <v>15</v>
      </c>
      <c r="I32" s="10" cm="1">
        <f t="array" ref="I32">ROUND(F32*get_Üb(YEAR(A32),$I$8)*E32,2)</f>
        <v>3</v>
      </c>
      <c r="J32" s="10">
        <f t="shared" si="5"/>
        <v>135</v>
      </c>
      <c r="K32" s="10">
        <f t="shared" si="6"/>
        <v>168</v>
      </c>
      <c r="L32" s="10" cm="1">
        <f t="array" ref="L32">ROUND(1/12*MAX(MTSum-R32-K32,MRSum)*Act_qx(x+C32,Geschlecht,getParm(Tarifart,"Tafel"),YEAR(GebDat),x+Dauer,1),2)</f>
        <v>4.9800000000000004</v>
      </c>
      <c r="M32" s="10" cm="1">
        <f t="array" ref="M32">ROUND(L32*get_Üb(YEAR(A32),$M$8),2)</f>
        <v>0.25</v>
      </c>
      <c r="N32" s="10" cm="1">
        <f t="array" ref="N32">ROUND(R32*getParm(Tarifart,IF(C32&lt;BZDauer,"gamma1","gamma2")),2)</f>
        <v>1.1599999999999999</v>
      </c>
      <c r="O32" s="10" cm="1">
        <f t="array" ref="O32">ROUND(R32*get_Üb(YEAR(A32),$O$8),2)</f>
        <v>0.28999999999999998</v>
      </c>
      <c r="P32" s="19">
        <f t="shared" si="7"/>
        <v>0.5802458425</v>
      </c>
      <c r="Q32" s="19" cm="1">
        <f t="array" ref="Q32">ROUND(P32+1/getKurs(EDATE(A32,-1))*(K32-L32-N32-getParm(Tarifart,"StK")+M32+O32),10)*(C32&lt;Dauer)</f>
        <v>0.61505936149999996</v>
      </c>
      <c r="R32" s="10" cm="1">
        <f t="array" ref="R32">ROUND(P32*getKurs($A32),2)</f>
        <v>2894.52</v>
      </c>
      <c r="S32" s="10" cm="1">
        <f t="array" ref="S32">ROUND(Q32*getKurs($A32),2)</f>
        <v>3068.19</v>
      </c>
      <c r="T32" s="10">
        <f t="shared" si="2"/>
        <v>43200</v>
      </c>
      <c r="U32" s="10" cm="1">
        <f t="array" ref="U32">getParm(Tarifart,"StoSatz")*(Dauer-C32)*Beitrag*Zahlweise*(C32&lt;BZDauer)</f>
        <v>2088</v>
      </c>
      <c r="V32" s="10">
        <f t="shared" si="8"/>
        <v>980.19</v>
      </c>
    </row>
    <row r="33" spans="1:22" x14ac:dyDescent="0.45">
      <c r="A33" s="15">
        <f t="shared" si="9"/>
        <v>37257</v>
      </c>
      <c r="B33">
        <f t="shared" si="13"/>
        <v>24</v>
      </c>
      <c r="C33">
        <f t="shared" si="3"/>
        <v>2</v>
      </c>
      <c r="D33">
        <f t="shared" si="14"/>
        <v>0</v>
      </c>
      <c r="E33">
        <f t="shared" si="0"/>
        <v>1</v>
      </c>
      <c r="F33" s="10">
        <f t="shared" si="1"/>
        <v>300</v>
      </c>
      <c r="G33" s="10" cm="1">
        <f t="array" ref="G33">ROUND(getParm(Tarifart,"alpha")/(2*Zahlweise)*BeiSum*(C33&lt;2)*E33,2)</f>
        <v>0</v>
      </c>
      <c r="H33" s="10" cm="1">
        <f t="array" ref="H33">ROUND(F33*getParm(Tarifart,"beta")*E33,2)</f>
        <v>15</v>
      </c>
      <c r="I33" s="10" cm="1">
        <f t="array" ref="I33">ROUND(F33*get_Üb(YEAR(A33),$I$8)*E33,2)</f>
        <v>1.5</v>
      </c>
      <c r="J33" s="10">
        <f t="shared" si="5"/>
        <v>15</v>
      </c>
      <c r="K33" s="10">
        <f t="shared" si="6"/>
        <v>286.5</v>
      </c>
      <c r="L33" s="10" cm="1">
        <f t="array" ref="L33">ROUND(1/12*MAX(MTSum-R33-K33,MRSum)*Act_qx(x+C33,Geschlecht,getParm(Tarifart,"Tafel"),YEAR(GebDat),x+Dauer,1),2)</f>
        <v>5.14</v>
      </c>
      <c r="M33" s="10" cm="1">
        <f t="array" ref="M33">ROUND(L33*get_Üb(YEAR(A33),$M$8),2)</f>
        <v>0.31</v>
      </c>
      <c r="N33" s="10" cm="1">
        <f t="array" ref="N33">ROUND(R33*getParm(Tarifart,IF(C33&lt;BZDauer,"gamma1","gamma2")),2)</f>
        <v>1.27</v>
      </c>
      <c r="O33" s="10" cm="1">
        <f t="array" ref="O33">ROUND(R33*get_Üb(YEAR(A33),$O$8),2)</f>
        <v>0.64</v>
      </c>
      <c r="P33" s="19">
        <f t="shared" si="7"/>
        <v>0.61505936149999996</v>
      </c>
      <c r="Q33" s="19" cm="1">
        <f t="array" ref="Q33">ROUND(P33+1/getKurs(EDATE(A33,-1))*(K33-L33-N33-getParm(Tarifart,"StK")+M33+O33),10)*(C33&lt;Dauer)</f>
        <v>0.67119715209999997</v>
      </c>
      <c r="R33" s="10" cm="1">
        <f t="array" ref="R33">ROUND(P33*getKurs($A33),2)</f>
        <v>3178.55</v>
      </c>
      <c r="S33" s="10" cm="1">
        <f t="array" ref="S33">ROUND(Q33*getKurs($A33),2)</f>
        <v>3468.67</v>
      </c>
      <c r="T33" s="10">
        <f t="shared" si="2"/>
        <v>43200</v>
      </c>
      <c r="U33" s="10" cm="1">
        <f t="array" ref="U33">getParm(Tarifart,"StoSatz")*(Dauer-C33)*Beitrag*Zahlweise*(C33&lt;BZDauer)</f>
        <v>2016.0000000000005</v>
      </c>
      <c r="V33" s="10">
        <f t="shared" si="8"/>
        <v>1452.6699999999996</v>
      </c>
    </row>
    <row r="34" spans="1:22" x14ac:dyDescent="0.45">
      <c r="A34" s="15">
        <f t="shared" si="9"/>
        <v>37288</v>
      </c>
      <c r="B34">
        <f t="shared" si="13"/>
        <v>25</v>
      </c>
      <c r="C34">
        <f t="shared" si="3"/>
        <v>2</v>
      </c>
      <c r="D34">
        <f t="shared" si="14"/>
        <v>1</v>
      </c>
      <c r="E34">
        <f t="shared" si="0"/>
        <v>1</v>
      </c>
      <c r="F34" s="10">
        <f t="shared" si="1"/>
        <v>300</v>
      </c>
      <c r="G34" s="10" cm="1">
        <f t="array" ref="G34">ROUND(getParm(Tarifart,"alpha")/(2*Zahlweise)*BeiSum*(C34&lt;2)*E34,2)</f>
        <v>0</v>
      </c>
      <c r="H34" s="10" cm="1">
        <f t="array" ref="H34">ROUND(F34*getParm(Tarifart,"beta")*E34,2)</f>
        <v>15</v>
      </c>
      <c r="I34" s="10" cm="1">
        <f t="array" ref="I34">ROUND(F34*get_Üb(YEAR(A34),$I$8)*E34,2)</f>
        <v>1.5</v>
      </c>
      <c r="J34" s="10">
        <f t="shared" si="5"/>
        <v>15</v>
      </c>
      <c r="K34" s="10">
        <f t="shared" si="6"/>
        <v>286.5</v>
      </c>
      <c r="L34" s="10" cm="1">
        <f t="array" ref="L34">ROUND(1/12*MAX(MTSum-R34-K34,MRSum)*Act_qx(x+C34,Geschlecht,getParm(Tarifart,"Tafel"),YEAR(GebDat),x+Dauer,1),2)</f>
        <v>5.0999999999999996</v>
      </c>
      <c r="M34" s="10" cm="1">
        <f t="array" ref="M34">ROUND(L34*get_Üb(YEAR(A34),$M$8),2)</f>
        <v>0.31</v>
      </c>
      <c r="N34" s="10" cm="1">
        <f t="array" ref="N34">ROUND(R34*getParm(Tarifart,IF(C34&lt;BZDauer,"gamma1","gamma2")),2)</f>
        <v>1.37</v>
      </c>
      <c r="O34" s="10" cm="1">
        <f t="array" ref="O34">ROUND(R34*get_Üb(YEAR(A34),$O$8),2)</f>
        <v>0.68</v>
      </c>
      <c r="P34" s="19">
        <f t="shared" si="7"/>
        <v>0.67119715209999997</v>
      </c>
      <c r="Q34" s="19" cm="1">
        <f t="array" ref="Q34">ROUND(P34+1/getKurs(EDATE(A34,-1))*(K34-L34-N34-getParm(Tarifart,"StK")+M34+O34),10)*(C34&lt;Dauer)</f>
        <v>0.72538184679999995</v>
      </c>
      <c r="R34" s="10" cm="1">
        <f t="array" ref="R34">ROUND(P34*getKurs($A34),2)</f>
        <v>3421.13</v>
      </c>
      <c r="S34" s="10" cm="1">
        <f t="array" ref="S34">ROUND(Q34*getKurs($A34),2)</f>
        <v>3697.31</v>
      </c>
      <c r="T34" s="10">
        <f t="shared" si="2"/>
        <v>43200</v>
      </c>
      <c r="U34" s="10" cm="1">
        <f t="array" ref="U34">getParm(Tarifart,"StoSatz")*(Dauer-C34)*Beitrag*Zahlweise*(C34&lt;BZDauer)</f>
        <v>2016.0000000000005</v>
      </c>
      <c r="V34" s="10">
        <f t="shared" si="8"/>
        <v>1681.3099999999995</v>
      </c>
    </row>
    <row r="35" spans="1:22" x14ac:dyDescent="0.45">
      <c r="A35" s="15">
        <f t="shared" si="9"/>
        <v>37316</v>
      </c>
      <c r="B35">
        <f t="shared" si="13"/>
        <v>26</v>
      </c>
      <c r="C35">
        <f t="shared" si="3"/>
        <v>2</v>
      </c>
      <c r="D35">
        <f t="shared" si="14"/>
        <v>2</v>
      </c>
      <c r="E35">
        <f t="shared" si="0"/>
        <v>1</v>
      </c>
      <c r="F35" s="10">
        <f t="shared" si="1"/>
        <v>300</v>
      </c>
      <c r="G35" s="10" cm="1">
        <f t="array" ref="G35">ROUND(getParm(Tarifart,"alpha")/(2*Zahlweise)*BeiSum*(C35&lt;2)*E35,2)</f>
        <v>0</v>
      </c>
      <c r="H35" s="10" cm="1">
        <f t="array" ref="H35">ROUND(F35*getParm(Tarifart,"beta")*E35,2)</f>
        <v>15</v>
      </c>
      <c r="I35" s="10" cm="1">
        <f t="array" ref="I35">ROUND(F35*get_Üb(YEAR(A35),$I$8)*E35,2)</f>
        <v>1.5</v>
      </c>
      <c r="J35" s="10">
        <f t="shared" si="5"/>
        <v>15</v>
      </c>
      <c r="K35" s="10">
        <f t="shared" si="6"/>
        <v>286.5</v>
      </c>
      <c r="L35" s="10" cm="1">
        <f t="array" ref="L35">ROUND(1/12*MAX(MTSum-R35-K35,MRSum)*Act_qx(x+C35,Geschlecht,getParm(Tarifart,"Tafel"),YEAR(GebDat),x+Dauer,1),2)</f>
        <v>5.07</v>
      </c>
      <c r="M35" s="10" cm="1">
        <f t="array" ref="M35">ROUND(L35*get_Üb(YEAR(A35),$M$8),2)</f>
        <v>0.3</v>
      </c>
      <c r="N35" s="10" cm="1">
        <f t="array" ref="N35">ROUND(R35*getParm(Tarifart,IF(C35&lt;BZDauer,"gamma1","gamma2")),2)</f>
        <v>1.48</v>
      </c>
      <c r="O35" s="10" cm="1">
        <f t="array" ref="O35">ROUND(R35*get_Üb(YEAR(A35),$O$8),2)</f>
        <v>0.74</v>
      </c>
      <c r="P35" s="19">
        <f t="shared" si="7"/>
        <v>0.72538184679999995</v>
      </c>
      <c r="Q35" s="19" cm="1">
        <f t="array" ref="Q35">ROUND(P35+1/getKurs(EDATE(A35,-1))*(K35-L35-N35-getParm(Tarifart,"StK")+M35+O35),10)*(C35&lt;Dauer)</f>
        <v>0.78031351329999998</v>
      </c>
      <c r="R35" s="10" cm="1">
        <f t="array" ref="R35">ROUND(P35*getKurs($A35),2)</f>
        <v>3697.57</v>
      </c>
      <c r="S35" s="10" cm="1">
        <f t="array" ref="S35">ROUND(Q35*getKurs($A35),2)</f>
        <v>3977.58</v>
      </c>
      <c r="T35" s="10">
        <f t="shared" si="2"/>
        <v>43200</v>
      </c>
      <c r="U35" s="10" cm="1">
        <f t="array" ref="U35">getParm(Tarifart,"StoSatz")*(Dauer-C35)*Beitrag*Zahlweise*(C35&lt;BZDauer)</f>
        <v>2016.0000000000005</v>
      </c>
      <c r="V35" s="10">
        <f t="shared" si="8"/>
        <v>1961.5799999999995</v>
      </c>
    </row>
    <row r="36" spans="1:22" x14ac:dyDescent="0.45">
      <c r="A36" s="15">
        <f t="shared" si="9"/>
        <v>37347</v>
      </c>
      <c r="B36">
        <f t="shared" si="13"/>
        <v>27</v>
      </c>
      <c r="C36">
        <f t="shared" si="3"/>
        <v>2</v>
      </c>
      <c r="D36">
        <f t="shared" si="14"/>
        <v>3</v>
      </c>
      <c r="E36">
        <f t="shared" si="0"/>
        <v>1</v>
      </c>
      <c r="F36" s="10">
        <f t="shared" si="1"/>
        <v>300</v>
      </c>
      <c r="G36" s="10" cm="1">
        <f t="array" ref="G36">ROUND(getParm(Tarifart,"alpha")/(2*Zahlweise)*BeiSum*(C36&lt;2)*E36,2)</f>
        <v>0</v>
      </c>
      <c r="H36" s="10" cm="1">
        <f t="array" ref="H36">ROUND(F36*getParm(Tarifart,"beta")*E36,2)</f>
        <v>15</v>
      </c>
      <c r="I36" s="10" cm="1">
        <f t="array" ref="I36">ROUND(F36*get_Üb(YEAR(A36),$I$8)*E36,2)</f>
        <v>1.5</v>
      </c>
      <c r="J36" s="10">
        <f t="shared" si="5"/>
        <v>15</v>
      </c>
      <c r="K36" s="10">
        <f t="shared" si="6"/>
        <v>286.5</v>
      </c>
      <c r="L36" s="10" cm="1">
        <f t="array" ref="L36">ROUND(1/12*MAX(MTSum-R36-K36,MRSum)*Act_qx(x+C36,Geschlecht,getParm(Tarifart,"Tafel"),YEAR(GebDat),x+Dauer,1),2)</f>
        <v>5.01</v>
      </c>
      <c r="M36" s="10" cm="1">
        <f t="array" ref="M36">ROUND(L36*get_Üb(YEAR(A36),$M$8),2)</f>
        <v>0.3</v>
      </c>
      <c r="N36" s="10" cm="1">
        <f t="array" ref="N36">ROUND(R36*getParm(Tarifart,IF(C36&lt;BZDauer,"gamma1","gamma2")),2)</f>
        <v>1.66</v>
      </c>
      <c r="O36" s="10" cm="1">
        <f t="array" ref="O36">ROUND(R36*get_Üb(YEAR(A36),$O$8),2)</f>
        <v>0.83</v>
      </c>
      <c r="P36" s="19">
        <f t="shared" si="7"/>
        <v>0.78031351329999998</v>
      </c>
      <c r="Q36" s="19" cm="1">
        <f t="array" ref="Q36">ROUND(P36+1/getKurs(EDATE(A36,-1))*(K36-L36-N36-getParm(Tarifart,"StK")+M36+O36),10)*(C36&lt;Dauer)</f>
        <v>0.83523552270000001</v>
      </c>
      <c r="R36" s="10" cm="1">
        <f t="array" ref="R36">ROUND(P36*getKurs($A36),2)</f>
        <v>4144.3100000000004</v>
      </c>
      <c r="S36" s="10" cm="1">
        <f t="array" ref="S36">ROUND(Q36*getKurs($A36),2)</f>
        <v>4436</v>
      </c>
      <c r="T36" s="10">
        <f t="shared" si="2"/>
        <v>43200</v>
      </c>
      <c r="U36" s="10" cm="1">
        <f t="array" ref="U36">getParm(Tarifart,"StoSatz")*(Dauer-C36)*Beitrag*Zahlweise*(C36&lt;BZDauer)</f>
        <v>2016.0000000000005</v>
      </c>
      <c r="V36" s="10">
        <f t="shared" si="8"/>
        <v>2419.9999999999995</v>
      </c>
    </row>
    <row r="37" spans="1:22" x14ac:dyDescent="0.45">
      <c r="A37" s="15">
        <f t="shared" si="9"/>
        <v>37377</v>
      </c>
      <c r="B37">
        <f t="shared" si="13"/>
        <v>28</v>
      </c>
      <c r="C37">
        <f t="shared" si="3"/>
        <v>2</v>
      </c>
      <c r="D37">
        <f t="shared" si="14"/>
        <v>4</v>
      </c>
      <c r="E37">
        <f t="shared" si="0"/>
        <v>1</v>
      </c>
      <c r="F37" s="10">
        <f t="shared" si="1"/>
        <v>300</v>
      </c>
      <c r="G37" s="10" cm="1">
        <f t="array" ref="G37">ROUND(getParm(Tarifart,"alpha")/(2*Zahlweise)*BeiSum*(C37&lt;2)*E37,2)</f>
        <v>0</v>
      </c>
      <c r="H37" s="10" cm="1">
        <f t="array" ref="H37">ROUND(F37*getParm(Tarifart,"beta")*E37,2)</f>
        <v>15</v>
      </c>
      <c r="I37" s="10" cm="1">
        <f t="array" ref="I37">ROUND(F37*get_Üb(YEAR(A37),$I$8)*E37,2)</f>
        <v>1.5</v>
      </c>
      <c r="J37" s="10">
        <f t="shared" si="5"/>
        <v>15</v>
      </c>
      <c r="K37" s="10">
        <f t="shared" si="6"/>
        <v>286.5</v>
      </c>
      <c r="L37" s="10" cm="1">
        <f t="array" ref="L37">ROUND(1/12*MAX(MTSum-R37-K37,MRSum)*Act_qx(x+C37,Geschlecht,getParm(Tarifart,"Tafel"),YEAR(GebDat),x+Dauer,1),2)</f>
        <v>5.01</v>
      </c>
      <c r="M37" s="10" cm="1">
        <f t="array" ref="M37">ROUND(L37*get_Üb(YEAR(A37),$M$8),2)</f>
        <v>0.3</v>
      </c>
      <c r="N37" s="10" cm="1">
        <f t="array" ref="N37">ROUND(R37*getParm(Tarifart,IF(C37&lt;BZDauer,"gamma1","gamma2")),2)</f>
        <v>1.66</v>
      </c>
      <c r="O37" s="10" cm="1">
        <f t="array" ref="O37">ROUND(R37*get_Üb(YEAR(A37),$O$8),2)</f>
        <v>0.83</v>
      </c>
      <c r="P37" s="19">
        <f t="shared" si="7"/>
        <v>0.83523552270000001</v>
      </c>
      <c r="Q37" s="19" cm="1">
        <f t="array" ref="Q37">ROUND(P37+1/getKurs(EDATE(A37,-1))*(K37-L37-N37-getParm(Tarifart,"StK")+M37+O37),10)*(C37&lt;Dauer)</f>
        <v>0.88794796539999998</v>
      </c>
      <c r="R37" s="10" cm="1">
        <f t="array" ref="R37">ROUND(P37*getKurs($A37),2)</f>
        <v>4146.58</v>
      </c>
      <c r="S37" s="10" cm="1">
        <f t="array" ref="S37">ROUND(Q37*getKurs($A37),2)</f>
        <v>4408.2700000000004</v>
      </c>
      <c r="T37" s="10">
        <f t="shared" si="2"/>
        <v>43200</v>
      </c>
      <c r="U37" s="10" cm="1">
        <f t="array" ref="U37">getParm(Tarifart,"StoSatz")*(Dauer-C37)*Beitrag*Zahlweise*(C37&lt;BZDauer)</f>
        <v>2016.0000000000005</v>
      </c>
      <c r="V37" s="10">
        <f t="shared" si="8"/>
        <v>2392.27</v>
      </c>
    </row>
    <row r="38" spans="1:22" x14ac:dyDescent="0.45">
      <c r="A38" s="15">
        <f t="shared" si="9"/>
        <v>37408</v>
      </c>
      <c r="B38">
        <f t="shared" si="13"/>
        <v>29</v>
      </c>
      <c r="C38">
        <f t="shared" si="3"/>
        <v>2</v>
      </c>
      <c r="D38">
        <f t="shared" si="14"/>
        <v>5</v>
      </c>
      <c r="E38">
        <f t="shared" si="0"/>
        <v>1</v>
      </c>
      <c r="F38" s="10">
        <f t="shared" si="1"/>
        <v>300</v>
      </c>
      <c r="G38" s="10" cm="1">
        <f t="array" ref="G38">ROUND(getParm(Tarifart,"alpha")/(2*Zahlweise)*BeiSum*(C38&lt;2)*E38,2)</f>
        <v>0</v>
      </c>
      <c r="H38" s="10" cm="1">
        <f t="array" ref="H38">ROUND(F38*getParm(Tarifart,"beta")*E38,2)</f>
        <v>15</v>
      </c>
      <c r="I38" s="10" cm="1">
        <f t="array" ref="I38">ROUND(F38*get_Üb(YEAR(A38),$I$8)*E38,2)</f>
        <v>1.5</v>
      </c>
      <c r="J38" s="10">
        <f t="shared" si="5"/>
        <v>15</v>
      </c>
      <c r="K38" s="10">
        <f t="shared" si="6"/>
        <v>286.5</v>
      </c>
      <c r="L38" s="10" cm="1">
        <f t="array" ref="L38">ROUND(1/12*MAX(MTSum-R38-K38,MRSum)*Act_qx(x+C38,Geschlecht,getParm(Tarifart,"Tafel"),YEAR(GebDat),x+Dauer,1),2)</f>
        <v>5</v>
      </c>
      <c r="M38" s="10" cm="1">
        <f t="array" ref="M38">ROUND(L38*get_Üb(YEAR(A38),$M$8),2)</f>
        <v>0.3</v>
      </c>
      <c r="N38" s="10" cm="1">
        <f t="array" ref="N38">ROUND(R38*getParm(Tarifart,IF(C38&lt;BZDauer,"gamma1","gamma2")),2)</f>
        <v>1.69</v>
      </c>
      <c r="O38" s="10" cm="1">
        <f t="array" ref="O38">ROUND(R38*get_Üb(YEAR(A38),$O$8),2)</f>
        <v>0.84</v>
      </c>
      <c r="P38" s="19">
        <f t="shared" si="7"/>
        <v>0.88794796539999998</v>
      </c>
      <c r="Q38" s="19" cm="1">
        <f t="array" ref="Q38">ROUND(P38+1/getKurs(EDATE(A38,-1))*(K38-L38-N38-getParm(Tarifart,"StK")+M38+O38),10)*(C38&lt;Dauer)</f>
        <v>0.94433765550000004</v>
      </c>
      <c r="R38" s="10" cm="1">
        <f t="array" ref="R38">ROUND(P38*getKurs($A38),2)</f>
        <v>4215.93</v>
      </c>
      <c r="S38" s="10" cm="1">
        <f t="array" ref="S38">ROUND(Q38*getKurs($A38),2)</f>
        <v>4483.67</v>
      </c>
      <c r="T38" s="10">
        <f t="shared" si="2"/>
        <v>43200</v>
      </c>
      <c r="U38" s="10" cm="1">
        <f t="array" ref="U38">getParm(Tarifart,"StoSatz")*(Dauer-C38)*Beitrag*Zahlweise*(C38&lt;BZDauer)</f>
        <v>2016.0000000000005</v>
      </c>
      <c r="V38" s="10">
        <f t="shared" si="8"/>
        <v>2467.6699999999996</v>
      </c>
    </row>
    <row r="39" spans="1:22" x14ac:dyDescent="0.45">
      <c r="A39" s="15">
        <f t="shared" si="9"/>
        <v>37438</v>
      </c>
      <c r="B39">
        <f t="shared" si="13"/>
        <v>30</v>
      </c>
      <c r="C39">
        <f t="shared" si="3"/>
        <v>2</v>
      </c>
      <c r="D39">
        <f t="shared" si="14"/>
        <v>6</v>
      </c>
      <c r="E39">
        <f t="shared" si="0"/>
        <v>1</v>
      </c>
      <c r="F39" s="10">
        <f t="shared" si="1"/>
        <v>300</v>
      </c>
      <c r="G39" s="10" cm="1">
        <f t="array" ref="G39">ROUND(getParm(Tarifart,"alpha")/(2*Zahlweise)*BeiSum*(C39&lt;2)*E39,2)</f>
        <v>0</v>
      </c>
      <c r="H39" s="10" cm="1">
        <f t="array" ref="H39">ROUND(F39*getParm(Tarifart,"beta")*E39,2)</f>
        <v>15</v>
      </c>
      <c r="I39" s="10" cm="1">
        <f t="array" ref="I39">ROUND(F39*get_Üb(YEAR(A39),$I$8)*E39,2)</f>
        <v>1.5</v>
      </c>
      <c r="J39" s="10">
        <f t="shared" si="5"/>
        <v>15</v>
      </c>
      <c r="K39" s="10">
        <f t="shared" si="6"/>
        <v>286.5</v>
      </c>
      <c r="L39" s="10" cm="1">
        <f t="array" ref="L39">ROUND(1/12*MAX(MTSum-R39-K39,MRSum)*Act_qx(x+C39,Geschlecht,getParm(Tarifart,"Tafel"),YEAR(GebDat),x+Dauer,1),2)</f>
        <v>5.01</v>
      </c>
      <c r="M39" s="10" cm="1">
        <f t="array" ref="M39">ROUND(L39*get_Üb(YEAR(A39),$M$8),2)</f>
        <v>0.3</v>
      </c>
      <c r="N39" s="10" cm="1">
        <f t="array" ref="N39">ROUND(R39*getParm(Tarifart,IF(C39&lt;BZDauer,"gamma1","gamma2")),2)</f>
        <v>1.65</v>
      </c>
      <c r="O39" s="10" cm="1">
        <f t="array" ref="O39">ROUND(R39*get_Üb(YEAR(A39),$O$8),2)</f>
        <v>0.82</v>
      </c>
      <c r="P39" s="19">
        <f t="shared" si="7"/>
        <v>0.94433765550000004</v>
      </c>
      <c r="Q39" s="19" cm="1">
        <f t="array" ref="Q39">ROUND(P39+1/getKurs(EDATE(A39,-1))*(K39-L39-N39-getParm(Tarifart,"StK")+M39+O39),10)*(C39&lt;Dauer)</f>
        <v>1.0033020506999999</v>
      </c>
      <c r="R39" s="10" cm="1">
        <f t="array" ref="R39">ROUND(P39*getKurs($A39),2)</f>
        <v>4123.74</v>
      </c>
      <c r="S39" s="10" cm="1">
        <f t="array" ref="S39">ROUND(Q39*getKurs($A39),2)</f>
        <v>4381.2299999999996</v>
      </c>
      <c r="T39" s="10">
        <f t="shared" si="2"/>
        <v>43200</v>
      </c>
      <c r="U39" s="10" cm="1">
        <f t="array" ref="U39">getParm(Tarifart,"StoSatz")*(Dauer-C39)*Beitrag*Zahlweise*(C39&lt;BZDauer)</f>
        <v>2016.0000000000005</v>
      </c>
      <c r="V39" s="10">
        <f t="shared" si="8"/>
        <v>2365.2299999999991</v>
      </c>
    </row>
    <row r="40" spans="1:22" x14ac:dyDescent="0.45">
      <c r="A40" s="15">
        <f t="shared" si="9"/>
        <v>37469</v>
      </c>
      <c r="B40">
        <f t="shared" si="13"/>
        <v>31</v>
      </c>
      <c r="C40">
        <f t="shared" si="3"/>
        <v>2</v>
      </c>
      <c r="D40">
        <f t="shared" si="14"/>
        <v>7</v>
      </c>
      <c r="E40">
        <f t="shared" si="0"/>
        <v>1</v>
      </c>
      <c r="F40" s="10">
        <f t="shared" si="1"/>
        <v>300</v>
      </c>
      <c r="G40" s="10" cm="1">
        <f t="array" ref="G40">ROUND(getParm(Tarifart,"alpha")/(2*Zahlweise)*BeiSum*(C40&lt;2)*E40,2)</f>
        <v>0</v>
      </c>
      <c r="H40" s="10" cm="1">
        <f t="array" ref="H40">ROUND(F40*getParm(Tarifart,"beta")*E40,2)</f>
        <v>15</v>
      </c>
      <c r="I40" s="10" cm="1">
        <f t="array" ref="I40">ROUND(F40*get_Üb(YEAR(A40),$I$8)*E40,2)</f>
        <v>1.5</v>
      </c>
      <c r="J40" s="10">
        <f t="shared" si="5"/>
        <v>15</v>
      </c>
      <c r="K40" s="10">
        <f t="shared" si="6"/>
        <v>286.5</v>
      </c>
      <c r="L40" s="10" cm="1">
        <f t="array" ref="L40">ROUND(1/12*MAX(MTSum-R40-K40,MRSum)*Act_qx(x+C40,Geschlecht,getParm(Tarifart,"Tafel"),YEAR(GebDat),x+Dauer,1),2)</f>
        <v>5.08</v>
      </c>
      <c r="M40" s="10" cm="1">
        <f t="array" ref="M40">ROUND(L40*get_Üb(YEAR(A40),$M$8),2)</f>
        <v>0.3</v>
      </c>
      <c r="N40" s="10" cm="1">
        <f t="array" ref="N40">ROUND(R40*getParm(Tarifart,IF(C40&lt;BZDauer,"gamma1","gamma2")),2)</f>
        <v>1.45</v>
      </c>
      <c r="O40" s="10" cm="1">
        <f t="array" ref="O40">ROUND(R40*get_Üb(YEAR(A40),$O$8),2)</f>
        <v>0.72</v>
      </c>
      <c r="P40" s="19">
        <f t="shared" si="7"/>
        <v>1.0033020506999999</v>
      </c>
      <c r="Q40" s="19" cm="1">
        <f t="array" ref="Q40">ROUND(P40+1/getKurs(EDATE(A40,-1))*(K40-L40-N40-getParm(Tarifart,"StK")+M40+O40),10)*(C40&lt;Dauer)</f>
        <v>1.0674197934</v>
      </c>
      <c r="R40" s="10" cm="1">
        <f t="array" ref="R40">ROUND(P40*getKurs($A40),2)</f>
        <v>3618.36</v>
      </c>
      <c r="S40" s="10" cm="1">
        <f t="array" ref="S40">ROUND(Q40*getKurs($A40),2)</f>
        <v>3849.6</v>
      </c>
      <c r="T40" s="10">
        <f t="shared" si="2"/>
        <v>43200</v>
      </c>
      <c r="U40" s="10" cm="1">
        <f t="array" ref="U40">getParm(Tarifart,"StoSatz")*(Dauer-C40)*Beitrag*Zahlweise*(C40&lt;BZDauer)</f>
        <v>2016.0000000000005</v>
      </c>
      <c r="V40" s="10">
        <f t="shared" si="8"/>
        <v>1833.5999999999995</v>
      </c>
    </row>
    <row r="41" spans="1:22" x14ac:dyDescent="0.45">
      <c r="A41" s="15">
        <f t="shared" si="9"/>
        <v>37500</v>
      </c>
      <c r="B41">
        <f t="shared" si="13"/>
        <v>32</v>
      </c>
      <c r="C41">
        <f t="shared" si="3"/>
        <v>2</v>
      </c>
      <c r="D41">
        <f t="shared" si="14"/>
        <v>8</v>
      </c>
      <c r="E41">
        <f t="shared" si="0"/>
        <v>1</v>
      </c>
      <c r="F41" s="10">
        <f t="shared" si="1"/>
        <v>300</v>
      </c>
      <c r="G41" s="10" cm="1">
        <f t="array" ref="G41">ROUND(getParm(Tarifart,"alpha")/(2*Zahlweise)*BeiSum*(C41&lt;2)*E41,2)</f>
        <v>0</v>
      </c>
      <c r="H41" s="10" cm="1">
        <f t="array" ref="H41">ROUND(F41*getParm(Tarifart,"beta")*E41,2)</f>
        <v>15</v>
      </c>
      <c r="I41" s="10" cm="1">
        <f t="array" ref="I41">ROUND(F41*get_Üb(YEAR(A41),$I$8)*E41,2)</f>
        <v>1.5</v>
      </c>
      <c r="J41" s="10">
        <f t="shared" si="5"/>
        <v>15</v>
      </c>
      <c r="K41" s="10">
        <f t="shared" si="6"/>
        <v>286.5</v>
      </c>
      <c r="L41" s="10" cm="1">
        <f t="array" ref="L41">ROUND(1/12*MAX(MTSum-R41-K41,MRSum)*Act_qx(x+C41,Geschlecht,getParm(Tarifart,"Tafel"),YEAR(GebDat),x+Dauer,1),2)</f>
        <v>5.05</v>
      </c>
      <c r="M41" s="10" cm="1">
        <f t="array" ref="M41">ROUND(L41*get_Üb(YEAR(A41),$M$8),2)</f>
        <v>0.3</v>
      </c>
      <c r="N41" s="10" cm="1">
        <f t="array" ref="N41">ROUND(R41*getParm(Tarifart,IF(C41&lt;BZDauer,"gamma1","gamma2")),2)</f>
        <v>1.54</v>
      </c>
      <c r="O41" s="10" cm="1">
        <f t="array" ref="O41">ROUND(R41*get_Üb(YEAR(A41),$O$8),2)</f>
        <v>0.77</v>
      </c>
      <c r="P41" s="19">
        <f t="shared" si="7"/>
        <v>1.0674197934</v>
      </c>
      <c r="Q41" s="19" cm="1">
        <f t="array" ref="Q41">ROUND(P41+1/getKurs(EDATE(A41,-1))*(K41-L41-N41-getParm(Tarifart,"StK")+M41+O41),10)*(C41&lt;Dauer)</f>
        <v>1.1450529228999999</v>
      </c>
      <c r="R41" s="10" cm="1">
        <f t="array" ref="R41">ROUND(P41*getKurs($A41),2)</f>
        <v>3852.76</v>
      </c>
      <c r="S41" s="10" cm="1">
        <f t="array" ref="S41">ROUND(Q41*getKurs($A41),2)</f>
        <v>4132.97</v>
      </c>
      <c r="T41" s="10">
        <f t="shared" si="2"/>
        <v>43200</v>
      </c>
      <c r="U41" s="10" cm="1">
        <f t="array" ref="U41">getParm(Tarifart,"StoSatz")*(Dauer-C41)*Beitrag*Zahlweise*(C41&lt;BZDauer)</f>
        <v>2016.0000000000005</v>
      </c>
      <c r="V41" s="10">
        <f t="shared" si="8"/>
        <v>2116.9699999999998</v>
      </c>
    </row>
    <row r="42" spans="1:22" x14ac:dyDescent="0.45">
      <c r="A42" s="15">
        <f t="shared" si="9"/>
        <v>37530</v>
      </c>
      <c r="B42">
        <f t="shared" si="13"/>
        <v>33</v>
      </c>
      <c r="C42">
        <f t="shared" si="3"/>
        <v>2</v>
      </c>
      <c r="D42">
        <f t="shared" si="14"/>
        <v>9</v>
      </c>
      <c r="E42">
        <f t="shared" si="0"/>
        <v>1</v>
      </c>
      <c r="F42" s="10">
        <f t="shared" si="1"/>
        <v>300</v>
      </c>
      <c r="G42" s="10" cm="1">
        <f t="array" ref="G42">ROUND(getParm(Tarifart,"alpha")/(2*Zahlweise)*BeiSum*(C42&lt;2)*E42,2)</f>
        <v>0</v>
      </c>
      <c r="H42" s="10" cm="1">
        <f t="array" ref="H42">ROUND(F42*getParm(Tarifart,"beta")*E42,2)</f>
        <v>15</v>
      </c>
      <c r="I42" s="10" cm="1">
        <f t="array" ref="I42">ROUND(F42*get_Üb(YEAR(A42),$I$8)*E42,2)</f>
        <v>1.5</v>
      </c>
      <c r="J42" s="10">
        <f t="shared" si="5"/>
        <v>15</v>
      </c>
      <c r="K42" s="10">
        <f t="shared" si="6"/>
        <v>286.5</v>
      </c>
      <c r="L42" s="10" cm="1">
        <f t="array" ref="L42">ROUND(1/12*MAX(MTSum-R42-K42,MRSum)*Act_qx(x+C42,Geschlecht,getParm(Tarifart,"Tafel"),YEAR(GebDat),x+Dauer,1),2)</f>
        <v>5.12</v>
      </c>
      <c r="M42" s="10" cm="1">
        <f t="array" ref="M42">ROUND(L42*get_Üb(YEAR(A42),$M$8),2)</f>
        <v>0.31</v>
      </c>
      <c r="N42" s="10" cm="1">
        <f t="array" ref="N42">ROUND(R42*getParm(Tarifart,IF(C42&lt;BZDauer,"gamma1","gamma2")),2)</f>
        <v>1.31</v>
      </c>
      <c r="O42" s="10" cm="1">
        <f t="array" ref="O42">ROUND(R42*get_Üb(YEAR(A42),$O$8),2)</f>
        <v>0.66</v>
      </c>
      <c r="P42" s="19">
        <f t="shared" si="7"/>
        <v>1.1450529228999999</v>
      </c>
      <c r="Q42" s="19" cm="1">
        <f t="array" ref="Q42">ROUND(P42+1/getKurs(EDATE(A42,-1))*(K42-L42-N42-getParm(Tarifart,"StK")+M42+O42),10)*(C42&lt;Dauer)</f>
        <v>1.2226390104</v>
      </c>
      <c r="R42" s="10" cm="1">
        <f t="array" ref="R42">ROUND(P42*getKurs($A42),2)</f>
        <v>3280.84</v>
      </c>
      <c r="S42" s="10" cm="1">
        <f t="array" ref="S42">ROUND(Q42*getKurs($A42),2)</f>
        <v>3503.14</v>
      </c>
      <c r="T42" s="10">
        <f t="shared" si="2"/>
        <v>43200</v>
      </c>
      <c r="U42" s="10" cm="1">
        <f t="array" ref="U42">getParm(Tarifart,"StoSatz")*(Dauer-C42)*Beitrag*Zahlweise*(C42&lt;BZDauer)</f>
        <v>2016.0000000000005</v>
      </c>
      <c r="V42" s="10">
        <f t="shared" si="8"/>
        <v>1487.1399999999994</v>
      </c>
    </row>
    <row r="43" spans="1:22" x14ac:dyDescent="0.45">
      <c r="A43" s="15">
        <f t="shared" si="9"/>
        <v>37561</v>
      </c>
      <c r="B43">
        <f t="shared" si="13"/>
        <v>34</v>
      </c>
      <c r="C43">
        <f t="shared" si="3"/>
        <v>2</v>
      </c>
      <c r="D43">
        <f t="shared" si="14"/>
        <v>10</v>
      </c>
      <c r="E43">
        <f t="shared" si="0"/>
        <v>1</v>
      </c>
      <c r="F43" s="10">
        <f t="shared" si="1"/>
        <v>300</v>
      </c>
      <c r="G43" s="10" cm="1">
        <f t="array" ref="G43">ROUND(getParm(Tarifart,"alpha")/(2*Zahlweise)*BeiSum*(C43&lt;2)*E43,2)</f>
        <v>0</v>
      </c>
      <c r="H43" s="10" cm="1">
        <f t="array" ref="H43">ROUND(F43*getParm(Tarifart,"beta")*E43,2)</f>
        <v>15</v>
      </c>
      <c r="I43" s="10" cm="1">
        <f t="array" ref="I43">ROUND(F43*get_Üb(YEAR(A43),$I$8)*E43,2)</f>
        <v>1.5</v>
      </c>
      <c r="J43" s="10">
        <f t="shared" si="5"/>
        <v>15</v>
      </c>
      <c r="K43" s="10">
        <f t="shared" si="6"/>
        <v>286.5</v>
      </c>
      <c r="L43" s="10" cm="1">
        <f t="array" ref="L43">ROUND(1/12*MAX(MTSum-R43-K43,MRSum)*Act_qx(x+C43,Geschlecht,getParm(Tarifart,"Tafel"),YEAR(GebDat),x+Dauer,1),2)</f>
        <v>5.05</v>
      </c>
      <c r="M43" s="10" cm="1">
        <f t="array" ref="M43">ROUND(L43*get_Üb(YEAR(A43),$M$8),2)</f>
        <v>0.3</v>
      </c>
      <c r="N43" s="10" cm="1">
        <f t="array" ref="N43">ROUND(R43*getParm(Tarifart,IF(C43&lt;BZDauer,"gamma1","gamma2")),2)</f>
        <v>1.55</v>
      </c>
      <c r="O43" s="10" cm="1">
        <f t="array" ref="O43">ROUND(R43*get_Üb(YEAR(A43),$O$8),2)</f>
        <v>0.77</v>
      </c>
      <c r="P43" s="19">
        <f t="shared" si="7"/>
        <v>1.2226390104</v>
      </c>
      <c r="Q43" s="19" cm="1">
        <f t="array" ref="Q43">ROUND(P43+1/getKurs(EDATE(A43,-1))*(K43-L43-N43-getParm(Tarifart,"StK")+M43+O43),10)*(C43&lt;Dauer)</f>
        <v>1.3203519340000001</v>
      </c>
      <c r="R43" s="10" cm="1">
        <f t="array" ref="R43">ROUND(P43*getKurs($A43),2)</f>
        <v>3869.85</v>
      </c>
      <c r="S43" s="10" cm="1">
        <f t="array" ref="S43">ROUND(Q43*getKurs($A43),2)</f>
        <v>4179.13</v>
      </c>
      <c r="T43" s="10">
        <f t="shared" si="2"/>
        <v>43200</v>
      </c>
      <c r="U43" s="10" cm="1">
        <f t="array" ref="U43">getParm(Tarifart,"StoSatz")*(Dauer-C43)*Beitrag*Zahlweise*(C43&lt;BZDauer)</f>
        <v>2016.0000000000005</v>
      </c>
      <c r="V43" s="10">
        <f t="shared" si="8"/>
        <v>2163.1299999999997</v>
      </c>
    </row>
    <row r="44" spans="1:22" x14ac:dyDescent="0.45">
      <c r="A44" s="15">
        <f t="shared" si="9"/>
        <v>37591</v>
      </c>
      <c r="B44">
        <f t="shared" si="13"/>
        <v>35</v>
      </c>
      <c r="C44">
        <f t="shared" si="3"/>
        <v>2</v>
      </c>
      <c r="D44">
        <f t="shared" si="14"/>
        <v>11</v>
      </c>
      <c r="E44">
        <f t="shared" si="0"/>
        <v>1</v>
      </c>
      <c r="F44" s="10">
        <f t="shared" si="1"/>
        <v>300</v>
      </c>
      <c r="G44" s="10" cm="1">
        <f t="array" ref="G44">ROUND(getParm(Tarifart,"alpha")/(2*Zahlweise)*BeiSum*(C44&lt;2)*E44,2)</f>
        <v>0</v>
      </c>
      <c r="H44" s="10" cm="1">
        <f t="array" ref="H44">ROUND(F44*getParm(Tarifart,"beta")*E44,2)</f>
        <v>15</v>
      </c>
      <c r="I44" s="10" cm="1">
        <f t="array" ref="I44">ROUND(F44*get_Üb(YEAR(A44),$I$8)*E44,2)</f>
        <v>1.5</v>
      </c>
      <c r="J44" s="10">
        <f t="shared" si="5"/>
        <v>15</v>
      </c>
      <c r="K44" s="10">
        <f t="shared" si="6"/>
        <v>286.5</v>
      </c>
      <c r="L44" s="10" cm="1">
        <f t="array" ref="L44">ROUND(1/12*MAX(MTSum-R44-K44,MRSum)*Act_qx(x+C44,Geschlecht,getParm(Tarifart,"Tafel"),YEAR(GebDat),x+Dauer,1),2)</f>
        <v>4.97</v>
      </c>
      <c r="M44" s="10" cm="1">
        <f t="array" ref="M44">ROUND(L44*get_Üb(YEAR(A44),$M$8),2)</f>
        <v>0.3</v>
      </c>
      <c r="N44" s="10" cm="1">
        <f t="array" ref="N44">ROUND(R44*getParm(Tarifart,IF(C44&lt;BZDauer,"gamma1","gamma2")),2)</f>
        <v>1.79</v>
      </c>
      <c r="O44" s="10" cm="1">
        <f t="array" ref="O44">ROUND(R44*get_Üb(YEAR(A44),$O$8),2)</f>
        <v>0.89</v>
      </c>
      <c r="P44" s="19">
        <f t="shared" si="7"/>
        <v>1.3203519340000001</v>
      </c>
      <c r="Q44" s="19" cm="1">
        <f t="array" ref="Q44">ROUND(P44+1/getKurs(EDATE(A44,-1))*(K44-L44-N44-getParm(Tarifart,"StK")+M44+O44),10)*(C44&lt;Dauer)</f>
        <v>1.4087929607</v>
      </c>
      <c r="R44" s="10" cm="1">
        <f t="array" ref="R44">ROUND(P44*getKurs($A44),2)</f>
        <v>4463.05</v>
      </c>
      <c r="S44" s="10" cm="1">
        <f t="array" ref="S44">ROUND(Q44*getKurs($A44),2)</f>
        <v>4762</v>
      </c>
      <c r="T44" s="10">
        <f t="shared" si="2"/>
        <v>43200</v>
      </c>
      <c r="U44" s="10" cm="1">
        <f t="array" ref="U44">getParm(Tarifart,"StoSatz")*(Dauer-C44)*Beitrag*Zahlweise*(C44&lt;BZDauer)</f>
        <v>2016.0000000000005</v>
      </c>
      <c r="V44" s="10">
        <f t="shared" si="8"/>
        <v>2745.9999999999995</v>
      </c>
    </row>
    <row r="45" spans="1:22" x14ac:dyDescent="0.45">
      <c r="A45" s="15">
        <f t="shared" si="9"/>
        <v>37622</v>
      </c>
      <c r="B45">
        <f t="shared" si="13"/>
        <v>36</v>
      </c>
      <c r="C45">
        <f t="shared" si="3"/>
        <v>3</v>
      </c>
      <c r="D45">
        <f t="shared" si="14"/>
        <v>0</v>
      </c>
      <c r="E45">
        <f t="shared" si="0"/>
        <v>1</v>
      </c>
      <c r="F45" s="10">
        <f t="shared" si="1"/>
        <v>300</v>
      </c>
      <c r="G45" s="10" cm="1">
        <f t="array" ref="G45">ROUND(getParm(Tarifart,"alpha")/(2*Zahlweise)*BeiSum*(C45&lt;2)*E45,2)</f>
        <v>0</v>
      </c>
      <c r="H45" s="10" cm="1">
        <f t="array" ref="H45">ROUND(F45*getParm(Tarifart,"beta")*E45,2)</f>
        <v>15</v>
      </c>
      <c r="I45" s="10" cm="1">
        <f t="array" ref="I45">ROUND(F45*get_Üb(YEAR(A45),$I$8)*E45,2)</f>
        <v>1.5</v>
      </c>
      <c r="J45" s="10">
        <f t="shared" si="5"/>
        <v>15</v>
      </c>
      <c r="K45" s="10">
        <f t="shared" si="6"/>
        <v>286.5</v>
      </c>
      <c r="L45" s="10" cm="1">
        <f t="array" ref="L45">ROUND(1/12*MAX(MTSum-R45-K45,MRSum)*Act_qx(x+C45,Geschlecht,getParm(Tarifart,"Tafel"),YEAR(GebDat),x+Dauer,1),2)</f>
        <v>5.27</v>
      </c>
      <c r="M45" s="10" cm="1">
        <f t="array" ref="M45">ROUND(L45*get_Üb(YEAR(A45),$M$8),2)</f>
        <v>0.32</v>
      </c>
      <c r="N45" s="10" cm="1">
        <f t="array" ref="N45">ROUND(R45*getParm(Tarifart,IF(C45&lt;BZDauer,"gamma1","gamma2")),2)</f>
        <v>1.75</v>
      </c>
      <c r="O45" s="10" cm="1">
        <f t="array" ref="O45">ROUND(R45*get_Üb(YEAR(A45),$O$8),2)</f>
        <v>0.87</v>
      </c>
      <c r="P45" s="19">
        <f t="shared" si="7"/>
        <v>1.4087929607</v>
      </c>
      <c r="Q45" s="19" cm="1">
        <f t="array" ref="Q45">ROUND(P45+1/getKurs(EDATE(A45,-1))*(K45-L45-N45-getParm(Tarifart,"StK")+M45+O45),10)*(C45&lt;Dauer)</f>
        <v>1.4915306685</v>
      </c>
      <c r="R45" s="10" cm="1">
        <f t="array" ref="R45">ROUND(P45*getKurs($A45),2)</f>
        <v>4374.3599999999997</v>
      </c>
      <c r="S45" s="10" cm="1">
        <f t="array" ref="S45">ROUND(Q45*getKurs($A45),2)</f>
        <v>4631.26</v>
      </c>
      <c r="T45" s="10">
        <f t="shared" si="2"/>
        <v>43200</v>
      </c>
      <c r="U45" s="10" cm="1">
        <f t="array" ref="U45">getParm(Tarifart,"StoSatz")*(Dauer-C45)*Beitrag*Zahlweise*(C45&lt;BZDauer)</f>
        <v>1944</v>
      </c>
      <c r="V45" s="10">
        <f t="shared" si="8"/>
        <v>2687.26</v>
      </c>
    </row>
    <row r="46" spans="1:22" x14ac:dyDescent="0.45">
      <c r="A46" s="15">
        <f t="shared" si="9"/>
        <v>37653</v>
      </c>
      <c r="B46">
        <f t="shared" si="13"/>
        <v>37</v>
      </c>
      <c r="C46">
        <f t="shared" si="3"/>
        <v>3</v>
      </c>
      <c r="D46">
        <f t="shared" si="14"/>
        <v>1</v>
      </c>
      <c r="E46">
        <f t="shared" si="0"/>
        <v>1</v>
      </c>
      <c r="F46" s="10">
        <f t="shared" si="1"/>
        <v>300</v>
      </c>
      <c r="G46" s="10" cm="1">
        <f t="array" ref="G46">ROUND(getParm(Tarifart,"alpha")/(2*Zahlweise)*BeiSum*(C46&lt;2)*E46,2)</f>
        <v>0</v>
      </c>
      <c r="H46" s="10" cm="1">
        <f t="array" ref="H46">ROUND(F46*getParm(Tarifart,"beta")*E46,2)</f>
        <v>15</v>
      </c>
      <c r="I46" s="10" cm="1">
        <f t="array" ref="I46">ROUND(F46*get_Üb(YEAR(A46),$I$8)*E46,2)</f>
        <v>1.5</v>
      </c>
      <c r="J46" s="10">
        <f t="shared" si="5"/>
        <v>15</v>
      </c>
      <c r="K46" s="10">
        <f t="shared" si="6"/>
        <v>286.5</v>
      </c>
      <c r="L46" s="10" cm="1">
        <f t="array" ref="L46">ROUND(1/12*MAX(MTSum-R46-K46,MRSum)*Act_qx(x+C46,Geschlecht,getParm(Tarifart,"Tafel"),YEAR(GebDat),x+Dauer,1),2)</f>
        <v>5.31</v>
      </c>
      <c r="M46" s="10" cm="1">
        <f t="array" ref="M46">ROUND(L46*get_Üb(YEAR(A46),$M$8),2)</f>
        <v>0.32</v>
      </c>
      <c r="N46" s="10" cm="1">
        <f t="array" ref="N46">ROUND(R46*getParm(Tarifart,IF(C46&lt;BZDauer,"gamma1","gamma2")),2)</f>
        <v>1.64</v>
      </c>
      <c r="O46" s="10" cm="1">
        <f t="array" ref="O46">ROUND(R46*get_Üb(YEAR(A46),$O$8),2)</f>
        <v>0.82</v>
      </c>
      <c r="P46" s="19">
        <f t="shared" si="7"/>
        <v>1.4915306685</v>
      </c>
      <c r="Q46" s="19" cm="1">
        <f t="array" ref="Q46">ROUND(P46+1/getKurs(EDATE(A46,-1))*(K46-L46-N46-getParm(Tarifart,"StK")+M46+O46),10)*(C46&lt;Dauer)</f>
        <v>1.5816068028000001</v>
      </c>
      <c r="R46" s="10" cm="1">
        <f t="array" ref="R46">ROUND(P46*getKurs($A46),2)</f>
        <v>4104.68</v>
      </c>
      <c r="S46" s="10" cm="1">
        <f t="array" ref="S46">ROUND(Q46*getKurs($A46),2)</f>
        <v>4352.57</v>
      </c>
      <c r="T46" s="10">
        <f t="shared" si="2"/>
        <v>43200</v>
      </c>
      <c r="U46" s="10" cm="1">
        <f t="array" ref="U46">getParm(Tarifart,"StoSatz")*(Dauer-C46)*Beitrag*Zahlweise*(C46&lt;BZDauer)</f>
        <v>1944</v>
      </c>
      <c r="V46" s="10">
        <f t="shared" si="8"/>
        <v>2408.5699999999997</v>
      </c>
    </row>
    <row r="47" spans="1:22" x14ac:dyDescent="0.45">
      <c r="A47" s="15">
        <f t="shared" si="9"/>
        <v>37681</v>
      </c>
      <c r="B47">
        <f t="shared" si="13"/>
        <v>38</v>
      </c>
      <c r="C47">
        <f t="shared" si="3"/>
        <v>3</v>
      </c>
      <c r="D47">
        <f t="shared" si="14"/>
        <v>2</v>
      </c>
      <c r="E47">
        <f t="shared" si="0"/>
        <v>1</v>
      </c>
      <c r="F47" s="10">
        <f t="shared" si="1"/>
        <v>300</v>
      </c>
      <c r="G47" s="10" cm="1">
        <f t="array" ref="G47">ROUND(getParm(Tarifart,"alpha")/(2*Zahlweise)*BeiSum*(C47&lt;2)*E47,2)</f>
        <v>0</v>
      </c>
      <c r="H47" s="10" cm="1">
        <f t="array" ref="H47">ROUND(F47*getParm(Tarifart,"beta")*E47,2)</f>
        <v>15</v>
      </c>
      <c r="I47" s="10" cm="1">
        <f t="array" ref="I47">ROUND(F47*get_Üb(YEAR(A47),$I$8)*E47,2)</f>
        <v>1.5</v>
      </c>
      <c r="J47" s="10">
        <f t="shared" si="5"/>
        <v>15</v>
      </c>
      <c r="K47" s="10">
        <f t="shared" si="6"/>
        <v>286.5</v>
      </c>
      <c r="L47" s="10" cm="1">
        <f t="array" ref="L47">ROUND(1/12*MAX(MTSum-R47-K47,MRSum)*Act_qx(x+C47,Geschlecht,getParm(Tarifart,"Tafel"),YEAR(GebDat),x+Dauer,1),2)</f>
        <v>5.32</v>
      </c>
      <c r="M47" s="10" cm="1">
        <f t="array" ref="M47">ROUND(L47*get_Üb(YEAR(A47),$M$8),2)</f>
        <v>0.32</v>
      </c>
      <c r="N47" s="10" cm="1">
        <f t="array" ref="N47">ROUND(R47*getParm(Tarifart,IF(C47&lt;BZDauer,"gamma1","gamma2")),2)</f>
        <v>1.61</v>
      </c>
      <c r="O47" s="10" cm="1">
        <f t="array" ref="O47">ROUND(R47*get_Üb(YEAR(A47),$O$8),2)</f>
        <v>0.81</v>
      </c>
      <c r="P47" s="19">
        <f t="shared" si="7"/>
        <v>1.5816068028000001</v>
      </c>
      <c r="Q47" s="19" cm="1">
        <f t="array" ref="Q47">ROUND(P47+1/getKurs(EDATE(A47,-1))*(K47-L47-N47-getParm(Tarifart,"StK")+M47+O47),10)*(C47&lt;Dauer)</f>
        <v>1.6832423464999999</v>
      </c>
      <c r="R47" s="10" cm="1">
        <f t="array" ref="R47">ROUND(P47*getKurs($A47),2)</f>
        <v>4032.54</v>
      </c>
      <c r="S47" s="10" cm="1">
        <f t="array" ref="S47">ROUND(Q47*getKurs($A47),2)</f>
        <v>4291.68</v>
      </c>
      <c r="T47" s="10">
        <f t="shared" si="2"/>
        <v>43200</v>
      </c>
      <c r="U47" s="10" cm="1">
        <f t="array" ref="U47">getParm(Tarifart,"StoSatz")*(Dauer-C47)*Beitrag*Zahlweise*(C47&lt;BZDauer)</f>
        <v>1944</v>
      </c>
      <c r="V47" s="10">
        <f t="shared" si="8"/>
        <v>2347.6800000000003</v>
      </c>
    </row>
    <row r="48" spans="1:22" x14ac:dyDescent="0.45">
      <c r="A48" s="15">
        <f t="shared" si="9"/>
        <v>37712</v>
      </c>
      <c r="B48">
        <f t="shared" si="13"/>
        <v>39</v>
      </c>
      <c r="C48">
        <f t="shared" si="3"/>
        <v>3</v>
      </c>
      <c r="D48">
        <f t="shared" si="14"/>
        <v>3</v>
      </c>
      <c r="E48">
        <f t="shared" si="0"/>
        <v>1</v>
      </c>
      <c r="F48" s="10">
        <f t="shared" si="1"/>
        <v>300</v>
      </c>
      <c r="G48" s="10" cm="1">
        <f t="array" ref="G48">ROUND(getParm(Tarifart,"alpha")/(2*Zahlweise)*BeiSum*(C48&lt;2)*E48,2)</f>
        <v>0</v>
      </c>
      <c r="H48" s="10" cm="1">
        <f t="array" ref="H48">ROUND(F48*getParm(Tarifart,"beta")*E48,2)</f>
        <v>15</v>
      </c>
      <c r="I48" s="10" cm="1">
        <f t="array" ref="I48">ROUND(F48*get_Üb(YEAR(A48),$I$8)*E48,2)</f>
        <v>1.5</v>
      </c>
      <c r="J48" s="10">
        <f t="shared" si="5"/>
        <v>15</v>
      </c>
      <c r="K48" s="10">
        <f t="shared" si="6"/>
        <v>286.5</v>
      </c>
      <c r="L48" s="10" cm="1">
        <f t="array" ref="L48">ROUND(1/12*MAX(MTSum-R48-K48,MRSum)*Act_qx(x+C48,Geschlecht,getParm(Tarifart,"Tafel"),YEAR(GebDat),x+Dauer,1),2)</f>
        <v>5.3</v>
      </c>
      <c r="M48" s="10" cm="1">
        <f t="array" ref="M48">ROUND(L48*get_Üb(YEAR(A48),$M$8),2)</f>
        <v>0.32</v>
      </c>
      <c r="N48" s="10" cm="1">
        <f t="array" ref="N48">ROUND(R48*getParm(Tarifart,IF(C48&lt;BZDauer,"gamma1","gamma2")),2)</f>
        <v>1.65</v>
      </c>
      <c r="O48" s="10" cm="1">
        <f t="array" ref="O48">ROUND(R48*get_Üb(YEAR(A48),$O$8),2)</f>
        <v>0.82</v>
      </c>
      <c r="P48" s="19">
        <f t="shared" si="7"/>
        <v>1.6832423464999999</v>
      </c>
      <c r="Q48" s="19" cm="1">
        <f t="array" ref="Q48">ROUND(P48+1/getKurs(EDATE(A48,-1))*(K48-L48-N48-getParm(Tarifart,"StK")+M48+O48),10)*(C48&lt;Dauer)</f>
        <v>1.7929397559</v>
      </c>
      <c r="R48" s="10" cm="1">
        <f t="array" ref="R48">ROUND(P48*getKurs($A48),2)</f>
        <v>4124.26</v>
      </c>
      <c r="S48" s="10" cm="1">
        <f t="array" ref="S48">ROUND(Q48*getKurs($A48),2)</f>
        <v>4393.04</v>
      </c>
      <c r="T48" s="10">
        <f t="shared" si="2"/>
        <v>43200</v>
      </c>
      <c r="U48" s="10" cm="1">
        <f t="array" ref="U48">getParm(Tarifart,"StoSatz")*(Dauer-C48)*Beitrag*Zahlweise*(C48&lt;BZDauer)</f>
        <v>1944</v>
      </c>
      <c r="V48" s="10">
        <f t="shared" si="8"/>
        <v>2449.04</v>
      </c>
    </row>
    <row r="49" spans="1:22" x14ac:dyDescent="0.45">
      <c r="A49" s="15">
        <f t="shared" si="9"/>
        <v>37742</v>
      </c>
      <c r="B49">
        <f t="shared" si="13"/>
        <v>40</v>
      </c>
      <c r="C49">
        <f t="shared" si="3"/>
        <v>3</v>
      </c>
      <c r="D49">
        <f t="shared" si="14"/>
        <v>4</v>
      </c>
      <c r="E49">
        <f t="shared" si="0"/>
        <v>1</v>
      </c>
      <c r="F49" s="10">
        <f t="shared" si="1"/>
        <v>300</v>
      </c>
      <c r="G49" s="10" cm="1">
        <f t="array" ref="G49">ROUND(getParm(Tarifart,"alpha")/(2*Zahlweise)*BeiSum*(C49&lt;2)*E49,2)</f>
        <v>0</v>
      </c>
      <c r="H49" s="10" cm="1">
        <f t="array" ref="H49">ROUND(F49*getParm(Tarifart,"beta")*E49,2)</f>
        <v>15</v>
      </c>
      <c r="I49" s="10" cm="1">
        <f t="array" ref="I49">ROUND(F49*get_Üb(YEAR(A49),$I$8)*E49,2)</f>
        <v>1.5</v>
      </c>
      <c r="J49" s="10">
        <f t="shared" si="5"/>
        <v>15</v>
      </c>
      <c r="K49" s="10">
        <f t="shared" si="6"/>
        <v>286.5</v>
      </c>
      <c r="L49" s="10" cm="1">
        <f t="array" ref="L49">ROUND(1/12*MAX(MTSum-R49-K49,MRSum)*Act_qx(x+C49,Geschlecht,getParm(Tarifart,"Tafel"),YEAR(GebDat),x+Dauer,1),2)</f>
        <v>5.14</v>
      </c>
      <c r="M49" s="10" cm="1">
        <f t="array" ref="M49">ROUND(L49*get_Üb(YEAR(A49),$M$8),2)</f>
        <v>0.31</v>
      </c>
      <c r="N49" s="10" cm="1">
        <f t="array" ref="N49">ROUND(R49*getParm(Tarifart,IF(C49&lt;BZDauer,"gamma1","gamma2")),2)</f>
        <v>2.14</v>
      </c>
      <c r="O49" s="10" cm="1">
        <f t="array" ref="O49">ROUND(R49*get_Üb(YEAR(A49),$O$8),2)</f>
        <v>1.07</v>
      </c>
      <c r="P49" s="19">
        <f t="shared" si="7"/>
        <v>1.7929397559</v>
      </c>
      <c r="Q49" s="19" cm="1">
        <f t="array" ref="Q49">ROUND(P49+1/getKurs(EDATE(A49,-1))*(K49-L49-N49-getParm(Tarifart,"StK")+M49+O49),10)*(C49&lt;Dauer)</f>
        <v>1.9070533553</v>
      </c>
      <c r="R49" s="10" cm="1">
        <f t="array" ref="R49">ROUND(P49*getKurs($A49),2)</f>
        <v>5353.72</v>
      </c>
      <c r="S49" s="10" cm="1">
        <f t="array" ref="S49">ROUND(Q49*getKurs($A49),2)</f>
        <v>5694.46</v>
      </c>
      <c r="T49" s="10">
        <f t="shared" si="2"/>
        <v>43200</v>
      </c>
      <c r="U49" s="10" cm="1">
        <f t="array" ref="U49">getParm(Tarifart,"StoSatz")*(Dauer-C49)*Beitrag*Zahlweise*(C49&lt;BZDauer)</f>
        <v>1944</v>
      </c>
      <c r="V49" s="10">
        <f t="shared" si="8"/>
        <v>3750.46</v>
      </c>
    </row>
    <row r="50" spans="1:22" x14ac:dyDescent="0.45">
      <c r="A50" s="15">
        <f t="shared" si="9"/>
        <v>37773</v>
      </c>
      <c r="B50">
        <f t="shared" si="13"/>
        <v>41</v>
      </c>
      <c r="C50">
        <f t="shared" si="3"/>
        <v>3</v>
      </c>
      <c r="D50">
        <f t="shared" si="14"/>
        <v>5</v>
      </c>
      <c r="E50">
        <f t="shared" si="0"/>
        <v>1</v>
      </c>
      <c r="F50" s="10">
        <f t="shared" si="1"/>
        <v>300</v>
      </c>
      <c r="G50" s="10" cm="1">
        <f t="array" ref="G50">ROUND(getParm(Tarifart,"alpha")/(2*Zahlweise)*BeiSum*(C50&lt;2)*E50,2)</f>
        <v>0</v>
      </c>
      <c r="H50" s="10" cm="1">
        <f t="array" ref="H50">ROUND(F50*getParm(Tarifart,"beta")*E50,2)</f>
        <v>15</v>
      </c>
      <c r="I50" s="10" cm="1">
        <f t="array" ref="I50">ROUND(F50*get_Üb(YEAR(A50),$I$8)*E50,2)</f>
        <v>1.5</v>
      </c>
      <c r="J50" s="10">
        <f t="shared" si="5"/>
        <v>15</v>
      </c>
      <c r="K50" s="10">
        <f t="shared" si="6"/>
        <v>286.5</v>
      </c>
      <c r="L50" s="10" cm="1">
        <f t="array" ref="L50">ROUND(1/12*MAX(MTSum-R50-K50,MRSum)*Act_qx(x+C50,Geschlecht,getParm(Tarifart,"Tafel"),YEAR(GebDat),x+Dauer,1),2)</f>
        <v>5.07</v>
      </c>
      <c r="M50" s="10" cm="1">
        <f t="array" ref="M50">ROUND(L50*get_Üb(YEAR(A50),$M$8),2)</f>
        <v>0.3</v>
      </c>
      <c r="N50" s="10" cm="1">
        <f t="array" ref="N50">ROUND(R50*getParm(Tarifart,IF(C50&lt;BZDauer,"gamma1","gamma2")),2)</f>
        <v>2.34</v>
      </c>
      <c r="O50" s="10" cm="1">
        <f t="array" ref="O50">ROUND(R50*get_Üb(YEAR(A50),$O$8),2)</f>
        <v>1.17</v>
      </c>
      <c r="P50" s="19">
        <f t="shared" si="7"/>
        <v>1.9070533553</v>
      </c>
      <c r="Q50" s="19" cm="1">
        <f t="array" ref="Q50">ROUND(P50+1/getKurs(EDATE(A50,-1))*(K50-L50-N50-getParm(Tarifart,"StK")+M50+O50),10)*(C50&lt;Dauer)</f>
        <v>2.0006769320000002</v>
      </c>
      <c r="R50" s="10" cm="1">
        <f t="array" ref="R50">ROUND(P50*getKurs($A50),2)</f>
        <v>5844.28</v>
      </c>
      <c r="S50" s="10" cm="1">
        <f t="array" ref="S50">ROUND(Q50*getKurs($A50),2)</f>
        <v>6131.19</v>
      </c>
      <c r="T50" s="10">
        <f t="shared" si="2"/>
        <v>43200</v>
      </c>
      <c r="U50" s="10" cm="1">
        <f t="array" ref="U50">getParm(Tarifart,"StoSatz")*(Dauer-C50)*Beitrag*Zahlweise*(C50&lt;BZDauer)</f>
        <v>1944</v>
      </c>
      <c r="V50" s="10">
        <f t="shared" si="8"/>
        <v>4187.1899999999996</v>
      </c>
    </row>
    <row r="51" spans="1:22" x14ac:dyDescent="0.45">
      <c r="A51" s="15">
        <f t="shared" si="9"/>
        <v>37803</v>
      </c>
      <c r="B51">
        <f t="shared" si="13"/>
        <v>42</v>
      </c>
      <c r="C51">
        <f t="shared" si="3"/>
        <v>3</v>
      </c>
      <c r="D51">
        <f t="shared" si="14"/>
        <v>6</v>
      </c>
      <c r="E51">
        <f t="shared" si="0"/>
        <v>1</v>
      </c>
      <c r="F51" s="10">
        <f t="shared" si="1"/>
        <v>300</v>
      </c>
      <c r="G51" s="10" cm="1">
        <f t="array" ref="G51">ROUND(getParm(Tarifart,"alpha")/(2*Zahlweise)*BeiSum*(C51&lt;2)*E51,2)</f>
        <v>0</v>
      </c>
      <c r="H51" s="10" cm="1">
        <f t="array" ref="H51">ROUND(F51*getParm(Tarifart,"beta")*E51,2)</f>
        <v>15</v>
      </c>
      <c r="I51" s="10" cm="1">
        <f t="array" ref="I51">ROUND(F51*get_Üb(YEAR(A51),$I$8)*E51,2)</f>
        <v>1.5</v>
      </c>
      <c r="J51" s="10">
        <f t="shared" si="5"/>
        <v>15</v>
      </c>
      <c r="K51" s="10">
        <f t="shared" si="6"/>
        <v>286.5</v>
      </c>
      <c r="L51" s="10" cm="1">
        <f t="array" ref="L51">ROUND(1/12*MAX(MTSum-R51-K51,MRSum)*Act_qx(x+C51,Geschlecht,getParm(Tarifart,"Tafel"),YEAR(GebDat),x+Dauer,1),2)</f>
        <v>5.01</v>
      </c>
      <c r="M51" s="10" cm="1">
        <f t="array" ref="M51">ROUND(L51*get_Üb(YEAR(A51),$M$8),2)</f>
        <v>0.3</v>
      </c>
      <c r="N51" s="10" cm="1">
        <f t="array" ref="N51">ROUND(R51*getParm(Tarifart,IF(C51&lt;BZDauer,"gamma1","gamma2")),2)</f>
        <v>2.52</v>
      </c>
      <c r="O51" s="10" cm="1">
        <f t="array" ref="O51">ROUND(R51*get_Üb(YEAR(A51),$O$8),2)</f>
        <v>1.26</v>
      </c>
      <c r="P51" s="19">
        <f t="shared" si="7"/>
        <v>2.0006769320000002</v>
      </c>
      <c r="Q51" s="19" cm="1">
        <f t="array" ref="Q51">ROUND(P51+1/getKurs(EDATE(A51,-1))*(K51-L51-N51-getParm(Tarifart,"StK")+M51+O51),10)*(C51&lt;Dauer)</f>
        <v>2.0918906788</v>
      </c>
      <c r="R51" s="10" cm="1">
        <f t="array" ref="R51">ROUND(P51*getKurs($A51),2)</f>
        <v>6295.23</v>
      </c>
      <c r="S51" s="10" cm="1">
        <f t="array" ref="S51">ROUND(Q51*getKurs($A51),2)</f>
        <v>6582.24</v>
      </c>
      <c r="T51" s="10">
        <f t="shared" si="2"/>
        <v>43200</v>
      </c>
      <c r="U51" s="10" cm="1">
        <f t="array" ref="U51">getParm(Tarifart,"StoSatz")*(Dauer-C51)*Beitrag*Zahlweise*(C51&lt;BZDauer)</f>
        <v>1944</v>
      </c>
      <c r="V51" s="10">
        <f t="shared" si="8"/>
        <v>4638.24</v>
      </c>
    </row>
    <row r="52" spans="1:22" x14ac:dyDescent="0.45">
      <c r="A52" s="15">
        <f t="shared" si="9"/>
        <v>37834</v>
      </c>
      <c r="B52">
        <f t="shared" si="13"/>
        <v>43</v>
      </c>
      <c r="C52">
        <f t="shared" si="3"/>
        <v>3</v>
      </c>
      <c r="D52">
        <f t="shared" si="14"/>
        <v>7</v>
      </c>
      <c r="E52">
        <f t="shared" si="0"/>
        <v>1</v>
      </c>
      <c r="F52" s="10">
        <f t="shared" si="1"/>
        <v>300</v>
      </c>
      <c r="G52" s="10" cm="1">
        <f t="array" ref="G52">ROUND(getParm(Tarifart,"alpha")/(2*Zahlweise)*BeiSum*(C52&lt;2)*E52,2)</f>
        <v>0</v>
      </c>
      <c r="H52" s="10" cm="1">
        <f t="array" ref="H52">ROUND(F52*getParm(Tarifart,"beta")*E52,2)</f>
        <v>15</v>
      </c>
      <c r="I52" s="10" cm="1">
        <f t="array" ref="I52">ROUND(F52*get_Üb(YEAR(A52),$I$8)*E52,2)</f>
        <v>1.5</v>
      </c>
      <c r="J52" s="10">
        <f t="shared" si="5"/>
        <v>15</v>
      </c>
      <c r="K52" s="10">
        <f t="shared" si="6"/>
        <v>286.5</v>
      </c>
      <c r="L52" s="10" cm="1">
        <f t="array" ref="L52">ROUND(1/12*MAX(MTSum-R52-K52,MRSum)*Act_qx(x+C52,Geschlecht,getParm(Tarifart,"Tafel"),YEAR(GebDat),x+Dauer,1),2)</f>
        <v>4.88</v>
      </c>
      <c r="M52" s="10" cm="1">
        <f t="array" ref="M52">ROUND(L52*get_Üb(YEAR(A52),$M$8),2)</f>
        <v>0.28999999999999998</v>
      </c>
      <c r="N52" s="10" cm="1">
        <f t="array" ref="N52">ROUND(R52*getParm(Tarifart,IF(C52&lt;BZDauer,"gamma1","gamma2")),2)</f>
        <v>2.88</v>
      </c>
      <c r="O52" s="10" cm="1">
        <f t="array" ref="O52">ROUND(R52*get_Üb(YEAR(A52),$O$8),2)</f>
        <v>1.44</v>
      </c>
      <c r="P52" s="19">
        <f t="shared" si="7"/>
        <v>2.0918906788</v>
      </c>
      <c r="Q52" s="19" cm="1">
        <f t="array" ref="Q52">ROUND(P52+1/getKurs(EDATE(A52,-1))*(K52-L52-N52-getParm(Tarifart,"StK")+M52+O52),10)*(C52&lt;Dauer)</f>
        <v>2.1807085905000001</v>
      </c>
      <c r="R52" s="10" cm="1">
        <f t="array" ref="R52">ROUND(P52*getKurs($A52),2)</f>
        <v>7193.78</v>
      </c>
      <c r="S52" s="10" cm="1">
        <f t="array" ref="S52">ROUND(Q52*getKurs($A52),2)</f>
        <v>7499.22</v>
      </c>
      <c r="T52" s="10">
        <f t="shared" si="2"/>
        <v>43200</v>
      </c>
      <c r="U52" s="10" cm="1">
        <f t="array" ref="U52">getParm(Tarifart,"StoSatz")*(Dauer-C52)*Beitrag*Zahlweise*(C52&lt;BZDauer)</f>
        <v>1944</v>
      </c>
      <c r="V52" s="10">
        <f t="shared" si="8"/>
        <v>5555.22</v>
      </c>
    </row>
    <row r="53" spans="1:22" x14ac:dyDescent="0.45">
      <c r="A53" s="15">
        <f t="shared" si="9"/>
        <v>37865</v>
      </c>
      <c r="B53">
        <f t="shared" si="13"/>
        <v>44</v>
      </c>
      <c r="C53">
        <f t="shared" si="3"/>
        <v>3</v>
      </c>
      <c r="D53">
        <f t="shared" si="14"/>
        <v>8</v>
      </c>
      <c r="E53">
        <f t="shared" si="0"/>
        <v>1</v>
      </c>
      <c r="F53" s="10">
        <f t="shared" si="1"/>
        <v>300</v>
      </c>
      <c r="G53" s="10" cm="1">
        <f t="array" ref="G53">ROUND(getParm(Tarifart,"alpha")/(2*Zahlweise)*BeiSum*(C53&lt;2)*E53,2)</f>
        <v>0</v>
      </c>
      <c r="H53" s="10" cm="1">
        <f t="array" ref="H53">ROUND(F53*getParm(Tarifart,"beta")*E53,2)</f>
        <v>15</v>
      </c>
      <c r="I53" s="10" cm="1">
        <f t="array" ref="I53">ROUND(F53*get_Üb(YEAR(A53),$I$8)*E53,2)</f>
        <v>1.5</v>
      </c>
      <c r="J53" s="10">
        <f t="shared" si="5"/>
        <v>15</v>
      </c>
      <c r="K53" s="10">
        <f t="shared" si="6"/>
        <v>286.5</v>
      </c>
      <c r="L53" s="10" cm="1">
        <f t="array" ref="L53">ROUND(1/12*MAX(MTSum-R53-K53,MRSum)*Act_qx(x+C53,Geschlecht,getParm(Tarifart,"Tafel"),YEAR(GebDat),x+Dauer,1),2)</f>
        <v>4.8</v>
      </c>
      <c r="M53" s="10" cm="1">
        <f t="array" ref="M53">ROUND(L53*get_Üb(YEAR(A53),$M$8),2)</f>
        <v>0.28999999999999998</v>
      </c>
      <c r="N53" s="10" cm="1">
        <f t="array" ref="N53">ROUND(R53*getParm(Tarifart,IF(C53&lt;BZDauer,"gamma1","gamma2")),2)</f>
        <v>3.12</v>
      </c>
      <c r="O53" s="10" cm="1">
        <f t="array" ref="O53">ROUND(R53*get_Üb(YEAR(A53),$O$8),2)</f>
        <v>1.56</v>
      </c>
      <c r="P53" s="19">
        <f t="shared" si="7"/>
        <v>2.1807085905000001</v>
      </c>
      <c r="Q53" s="19" cm="1">
        <f t="array" ref="Q53">ROUND(P53+1/getKurs(EDATE(A53,-1))*(K53-L53-N53-getParm(Tarifart,"StK")+M53+O53),10)*(C53&lt;Dauer)</f>
        <v>2.2619644608999998</v>
      </c>
      <c r="R53" s="10" cm="1">
        <f t="array" ref="R53">ROUND(P53*getKurs($A53),2)</f>
        <v>7787.79</v>
      </c>
      <c r="S53" s="10" cm="1">
        <f t="array" ref="S53">ROUND(Q53*getKurs($A53),2)</f>
        <v>8077.97</v>
      </c>
      <c r="T53" s="10">
        <f t="shared" si="2"/>
        <v>43200</v>
      </c>
      <c r="U53" s="10" cm="1">
        <f t="array" ref="U53">getParm(Tarifart,"StoSatz")*(Dauer-C53)*Beitrag*Zahlweise*(C53&lt;BZDauer)</f>
        <v>1944</v>
      </c>
      <c r="V53" s="10">
        <f t="shared" si="8"/>
        <v>6133.97</v>
      </c>
    </row>
    <row r="54" spans="1:22" x14ac:dyDescent="0.45">
      <c r="A54" s="15">
        <f t="shared" si="9"/>
        <v>37895</v>
      </c>
      <c r="B54">
        <f t="shared" si="13"/>
        <v>45</v>
      </c>
      <c r="C54">
        <f t="shared" si="3"/>
        <v>3</v>
      </c>
      <c r="D54">
        <f t="shared" si="14"/>
        <v>9</v>
      </c>
      <c r="E54">
        <f t="shared" si="0"/>
        <v>1</v>
      </c>
      <c r="F54" s="10">
        <f t="shared" si="1"/>
        <v>300</v>
      </c>
      <c r="G54" s="10" cm="1">
        <f t="array" ref="G54">ROUND(getParm(Tarifart,"alpha")/(2*Zahlweise)*BeiSum*(C54&lt;2)*E54,2)</f>
        <v>0</v>
      </c>
      <c r="H54" s="10" cm="1">
        <f t="array" ref="H54">ROUND(F54*getParm(Tarifart,"beta")*E54,2)</f>
        <v>15</v>
      </c>
      <c r="I54" s="10" cm="1">
        <f t="array" ref="I54">ROUND(F54*get_Üb(YEAR(A54),$I$8)*E54,2)</f>
        <v>1.5</v>
      </c>
      <c r="J54" s="10">
        <f t="shared" si="5"/>
        <v>15</v>
      </c>
      <c r="K54" s="10">
        <f t="shared" si="6"/>
        <v>286.5</v>
      </c>
      <c r="L54" s="10" cm="1">
        <f t="array" ref="L54">ROUND(1/12*MAX(MTSum-R54-K54,MRSum)*Act_qx(x+C54,Geschlecht,getParm(Tarifart,"Tafel"),YEAR(GebDat),x+Dauer,1),2)</f>
        <v>4.84</v>
      </c>
      <c r="M54" s="10" cm="1">
        <f t="array" ref="M54">ROUND(L54*get_Üb(YEAR(A54),$M$8),2)</f>
        <v>0.28999999999999998</v>
      </c>
      <c r="N54" s="10" cm="1">
        <f t="array" ref="N54">ROUND(R54*getParm(Tarifart,IF(C54&lt;BZDauer,"gamma1","gamma2")),2)</f>
        <v>3.01</v>
      </c>
      <c r="O54" s="10" cm="1">
        <f t="array" ref="O54">ROUND(R54*get_Üb(YEAR(A54),$O$8),2)</f>
        <v>1.51</v>
      </c>
      <c r="P54" s="19">
        <f t="shared" si="7"/>
        <v>2.2619644608999998</v>
      </c>
      <c r="Q54" s="19" cm="1">
        <f t="array" ref="Q54">ROUND(P54+1/getKurs(EDATE(A54,-1))*(K54-L54-N54-getParm(Tarifart,"StK")+M54+O54),10)*(C54&lt;Dauer)</f>
        <v>2.3402150307</v>
      </c>
      <c r="R54" s="10" cm="1">
        <f t="array" ref="R54">ROUND(P54*getKurs($A54),2)</f>
        <v>7531.96</v>
      </c>
      <c r="S54" s="10" cm="1">
        <f t="array" ref="S54">ROUND(Q54*getKurs($A54),2)</f>
        <v>7792.52</v>
      </c>
      <c r="T54" s="10">
        <f t="shared" si="2"/>
        <v>43200</v>
      </c>
      <c r="U54" s="10" cm="1">
        <f t="array" ref="U54">getParm(Tarifart,"StoSatz")*(Dauer-C54)*Beitrag*Zahlweise*(C54&lt;BZDauer)</f>
        <v>1944</v>
      </c>
      <c r="V54" s="10">
        <f t="shared" si="8"/>
        <v>5848.52</v>
      </c>
    </row>
    <row r="55" spans="1:22" x14ac:dyDescent="0.45">
      <c r="A55" s="15">
        <f t="shared" si="9"/>
        <v>37926</v>
      </c>
      <c r="B55">
        <f t="shared" si="13"/>
        <v>46</v>
      </c>
      <c r="C55">
        <f t="shared" si="3"/>
        <v>3</v>
      </c>
      <c r="D55">
        <f t="shared" si="14"/>
        <v>10</v>
      </c>
      <c r="E55">
        <f t="shared" si="0"/>
        <v>1</v>
      </c>
      <c r="F55" s="10">
        <f t="shared" si="1"/>
        <v>300</v>
      </c>
      <c r="G55" s="10" cm="1">
        <f t="array" ref="G55">ROUND(getParm(Tarifart,"alpha")/(2*Zahlweise)*BeiSum*(C55&lt;2)*E55,2)</f>
        <v>0</v>
      </c>
      <c r="H55" s="10" cm="1">
        <f t="array" ref="H55">ROUND(F55*getParm(Tarifart,"beta")*E55,2)</f>
        <v>15</v>
      </c>
      <c r="I55" s="10" cm="1">
        <f t="array" ref="I55">ROUND(F55*get_Üb(YEAR(A55),$I$8)*E55,2)</f>
        <v>1.5</v>
      </c>
      <c r="J55" s="10">
        <f t="shared" si="5"/>
        <v>15</v>
      </c>
      <c r="K55" s="10">
        <f t="shared" si="6"/>
        <v>286.5</v>
      </c>
      <c r="L55" s="10" cm="1">
        <f t="array" ref="L55">ROUND(1/12*MAX(MTSum-R55-K55,MRSum)*Act_qx(x+C55,Geschlecht,getParm(Tarifart,"Tafel"),YEAR(GebDat),x+Dauer,1),2)</f>
        <v>4.67</v>
      </c>
      <c r="M55" s="10" cm="1">
        <f t="array" ref="M55">ROUND(L55*get_Üb(YEAR(A55),$M$8),2)</f>
        <v>0.28000000000000003</v>
      </c>
      <c r="N55" s="10" cm="1">
        <f t="array" ref="N55">ROUND(R55*getParm(Tarifart,IF(C55&lt;BZDauer,"gamma1","gamma2")),2)</f>
        <v>3.51</v>
      </c>
      <c r="O55" s="10" cm="1">
        <f t="array" ref="O55">ROUND(R55*get_Üb(YEAR(A55),$O$8),2)</f>
        <v>1.75</v>
      </c>
      <c r="P55" s="19">
        <f t="shared" si="7"/>
        <v>2.3402150307</v>
      </c>
      <c r="Q55" s="19" cm="1">
        <f t="array" ref="Q55">ROUND(P55+1/getKurs(EDATE(A55,-1))*(K55-L55-N55-getParm(Tarifart,"StK")+M55+O55),10)*(C55&lt;Dauer)</f>
        <v>2.4241082023999998</v>
      </c>
      <c r="R55" s="10" cm="1">
        <f t="array" ref="R55">ROUND(P55*getKurs($A55),2)</f>
        <v>8762.94</v>
      </c>
      <c r="S55" s="10" cm="1">
        <f t="array" ref="S55">ROUND(Q55*getKurs($A55),2)</f>
        <v>9077.07</v>
      </c>
      <c r="T55" s="10">
        <f t="shared" si="2"/>
        <v>43200</v>
      </c>
      <c r="U55" s="10" cm="1">
        <f t="array" ref="U55">getParm(Tarifart,"StoSatz")*(Dauer-C55)*Beitrag*Zahlweise*(C55&lt;BZDauer)</f>
        <v>1944</v>
      </c>
      <c r="V55" s="10">
        <f t="shared" si="8"/>
        <v>7133.07</v>
      </c>
    </row>
    <row r="56" spans="1:22" x14ac:dyDescent="0.45">
      <c r="A56" s="15">
        <f t="shared" si="9"/>
        <v>37956</v>
      </c>
      <c r="B56">
        <f t="shared" si="13"/>
        <v>47</v>
      </c>
      <c r="C56">
        <f t="shared" si="3"/>
        <v>3</v>
      </c>
      <c r="D56">
        <f t="shared" si="14"/>
        <v>11</v>
      </c>
      <c r="E56">
        <f t="shared" si="0"/>
        <v>1</v>
      </c>
      <c r="F56" s="10">
        <f t="shared" si="1"/>
        <v>300</v>
      </c>
      <c r="G56" s="10" cm="1">
        <f t="array" ref="G56">ROUND(getParm(Tarifart,"alpha")/(2*Zahlweise)*BeiSum*(C56&lt;2)*E56,2)</f>
        <v>0</v>
      </c>
      <c r="H56" s="10" cm="1">
        <f t="array" ref="H56">ROUND(F56*getParm(Tarifart,"beta")*E56,2)</f>
        <v>15</v>
      </c>
      <c r="I56" s="10" cm="1">
        <f t="array" ref="I56">ROUND(F56*get_Üb(YEAR(A56),$I$8)*E56,2)</f>
        <v>1.5</v>
      </c>
      <c r="J56" s="10">
        <f t="shared" si="5"/>
        <v>15</v>
      </c>
      <c r="K56" s="10">
        <f t="shared" si="6"/>
        <v>286.5</v>
      </c>
      <c r="L56" s="10" cm="1">
        <f t="array" ref="L56">ROUND(1/12*MAX(MTSum-R56-K56,MRSum)*Act_qx(x+C56,Geschlecht,getParm(Tarifart,"Tafel"),YEAR(GebDat),x+Dauer,1),2)</f>
        <v>4.5999999999999996</v>
      </c>
      <c r="M56" s="10" cm="1">
        <f t="array" ref="M56">ROUND(L56*get_Üb(YEAR(A56),$M$8),2)</f>
        <v>0.28000000000000003</v>
      </c>
      <c r="N56" s="10" cm="1">
        <f t="array" ref="N56">ROUND(R56*getParm(Tarifart,IF(C56&lt;BZDauer,"gamma1","gamma2")),2)</f>
        <v>3.71</v>
      </c>
      <c r="O56" s="10" cm="1">
        <f t="array" ref="O56">ROUND(R56*get_Üb(YEAR(A56),$O$8),2)</f>
        <v>1.85</v>
      </c>
      <c r="P56" s="19">
        <f t="shared" si="7"/>
        <v>2.4241082023999998</v>
      </c>
      <c r="Q56" s="19" cm="1">
        <f t="array" ref="Q56">ROUND(P56+1/getKurs(EDATE(A56,-1))*(K56-L56-N56-getParm(Tarifart,"StK")+M56+O56),10)*(C56&lt;Dauer)</f>
        <v>2.4987029413999999</v>
      </c>
      <c r="R56" s="10" cm="1">
        <f t="array" ref="R56">ROUND(P56*getKurs($A56),2)</f>
        <v>9263</v>
      </c>
      <c r="S56" s="10" cm="1">
        <f t="array" ref="S56">ROUND(Q56*getKurs($A56),2)</f>
        <v>9548.0400000000009</v>
      </c>
      <c r="T56" s="10">
        <f t="shared" si="2"/>
        <v>43200</v>
      </c>
      <c r="U56" s="10" cm="1">
        <f t="array" ref="U56">getParm(Tarifart,"StoSatz")*(Dauer-C56)*Beitrag*Zahlweise*(C56&lt;BZDauer)</f>
        <v>1944</v>
      </c>
      <c r="V56" s="10">
        <f t="shared" si="8"/>
        <v>7604.0400000000009</v>
      </c>
    </row>
    <row r="57" spans="1:22" x14ac:dyDescent="0.45">
      <c r="A57" s="15">
        <f t="shared" si="9"/>
        <v>37987</v>
      </c>
      <c r="B57">
        <f t="shared" si="13"/>
        <v>48</v>
      </c>
      <c r="C57">
        <f t="shared" si="3"/>
        <v>4</v>
      </c>
      <c r="D57">
        <f t="shared" si="14"/>
        <v>0</v>
      </c>
      <c r="E57">
        <f t="shared" si="0"/>
        <v>1</v>
      </c>
      <c r="F57" s="10">
        <f t="shared" si="1"/>
        <v>300</v>
      </c>
      <c r="G57" s="10" cm="1">
        <f t="array" ref="G57">ROUND(getParm(Tarifart,"alpha")/(2*Zahlweise)*BeiSum*(C57&lt;2)*E57,2)</f>
        <v>0</v>
      </c>
      <c r="H57" s="10" cm="1">
        <f t="array" ref="H57">ROUND(F57*getParm(Tarifart,"beta")*E57,2)</f>
        <v>15</v>
      </c>
      <c r="I57" s="10" cm="1">
        <f t="array" ref="I57">ROUND(F57*get_Üb(YEAR(A57),$I$8)*E57,2)</f>
        <v>3.6</v>
      </c>
      <c r="J57" s="10">
        <f t="shared" si="5"/>
        <v>15</v>
      </c>
      <c r="K57" s="10">
        <f t="shared" si="6"/>
        <v>288.60000000000002</v>
      </c>
      <c r="L57" s="10" cm="1">
        <f t="array" ref="L57">ROUND(1/12*MAX(MTSum-R57-K57,MRSum)*Act_qx(x+C57,Geschlecht,getParm(Tarifart,"Tafel"),YEAR(GebDat),x+Dauer,1),2)</f>
        <v>4.79</v>
      </c>
      <c r="M57" s="10" cm="1">
        <f t="array" ref="M57">ROUND(L57*get_Üb(YEAR(A57),$M$8),2)</f>
        <v>0.24</v>
      </c>
      <c r="N57" s="10" cm="1">
        <f t="array" ref="N57">ROUND(R57*getParm(Tarifart,IF(C57&lt;BZDauer,"gamma1","gamma2")),2)</f>
        <v>4.0199999999999996</v>
      </c>
      <c r="O57" s="10" cm="1">
        <f t="array" ref="O57">ROUND(R57*get_Üb(YEAR(A57),$O$8),2)</f>
        <v>1</v>
      </c>
      <c r="P57" s="19">
        <f t="shared" si="7"/>
        <v>2.4987029413999999</v>
      </c>
      <c r="Q57" s="19" cm="1">
        <f t="array" ref="Q57">ROUND(P57+1/getKurs(EDATE(A57,-1))*(K57-L57-N57-getParm(Tarifart,"StK")+M57+O57),10)*(C57&lt;Dauer)</f>
        <v>2.5719862031999998</v>
      </c>
      <c r="R57" s="10" cm="1">
        <f t="array" ref="R57">ROUND(P57*getKurs($A57),2)</f>
        <v>10041.040000000001</v>
      </c>
      <c r="S57" s="10" cm="1">
        <f t="array" ref="S57">ROUND(Q57*getKurs($A57),2)</f>
        <v>10335.530000000001</v>
      </c>
      <c r="T57" s="10">
        <f t="shared" si="2"/>
        <v>43200</v>
      </c>
      <c r="U57" s="10" cm="1">
        <f t="array" ref="U57">getParm(Tarifart,"StoSatz")*(Dauer-C57)*Beitrag*Zahlweise*(C57&lt;BZDauer)</f>
        <v>1872</v>
      </c>
      <c r="V57" s="10">
        <f t="shared" si="8"/>
        <v>8463.5300000000007</v>
      </c>
    </row>
    <row r="58" spans="1:22" x14ac:dyDescent="0.45">
      <c r="A58" s="15">
        <f t="shared" si="9"/>
        <v>38018</v>
      </c>
      <c r="B58">
        <f t="shared" ref="B58:B121" si="15">B57+1</f>
        <v>49</v>
      </c>
      <c r="C58">
        <f t="shared" si="3"/>
        <v>4</v>
      </c>
      <c r="D58">
        <f t="shared" ref="D58:D121" si="16">MOD(B58,12)</f>
        <v>1</v>
      </c>
      <c r="E58">
        <f t="shared" si="0"/>
        <v>1</v>
      </c>
      <c r="F58" s="10">
        <f t="shared" si="1"/>
        <v>300</v>
      </c>
      <c r="G58" s="10" cm="1">
        <f t="array" ref="G58">ROUND(getParm(Tarifart,"alpha")/(2*Zahlweise)*BeiSum*(C58&lt;2)*E58,2)</f>
        <v>0</v>
      </c>
      <c r="H58" s="10" cm="1">
        <f t="array" ref="H58">ROUND(F58*getParm(Tarifart,"beta")*E58,2)</f>
        <v>15</v>
      </c>
      <c r="I58" s="10" cm="1">
        <f t="array" ref="I58">ROUND(F58*get_Üb(YEAR(A58),$I$8)*E58,2)</f>
        <v>3.6</v>
      </c>
      <c r="J58" s="10">
        <f t="shared" si="5"/>
        <v>15</v>
      </c>
      <c r="K58" s="10">
        <f t="shared" si="6"/>
        <v>288.60000000000002</v>
      </c>
      <c r="L58" s="10" cm="1">
        <f t="array" ref="L58">ROUND(1/12*MAX(MTSum-R58-K58,MRSum)*Act_qx(x+C58,Geschlecht,getParm(Tarifart,"Tafel"),YEAR(GebDat),x+Dauer,1),2)</f>
        <v>4.72</v>
      </c>
      <c r="M58" s="10" cm="1">
        <f t="array" ref="M58">ROUND(L58*get_Üb(YEAR(A58),$M$8),2)</f>
        <v>0.24</v>
      </c>
      <c r="N58" s="10" cm="1">
        <f t="array" ref="N58">ROUND(R58*getParm(Tarifart,IF(C58&lt;BZDauer,"gamma1","gamma2")),2)</f>
        <v>4.1900000000000004</v>
      </c>
      <c r="O58" s="10" cm="1">
        <f t="array" ref="O58">ROUND(R58*get_Üb(YEAR(A58),$O$8),2)</f>
        <v>1.05</v>
      </c>
      <c r="P58" s="19">
        <f t="shared" si="7"/>
        <v>2.5719862031999998</v>
      </c>
      <c r="Q58" s="19" cm="1">
        <f t="array" ref="Q58">ROUND(P58+1/getKurs(EDATE(A58,-1))*(K58-L58-N58-getParm(Tarifart,"StK")+M58+O58),10)*(C58&lt;Dauer)</f>
        <v>2.6416589667000001</v>
      </c>
      <c r="R58" s="10" cm="1">
        <f t="array" ref="R58">ROUND(P58*getKurs($A58),2)</f>
        <v>10472.1</v>
      </c>
      <c r="S58" s="10" cm="1">
        <f t="array" ref="S58">ROUND(Q58*getKurs($A58),2)</f>
        <v>10755.78</v>
      </c>
      <c r="T58" s="10">
        <f t="shared" si="2"/>
        <v>43200</v>
      </c>
      <c r="U58" s="10" cm="1">
        <f t="array" ref="U58">getParm(Tarifart,"StoSatz")*(Dauer-C58)*Beitrag*Zahlweise*(C58&lt;BZDauer)</f>
        <v>1872</v>
      </c>
      <c r="V58" s="10">
        <f t="shared" si="8"/>
        <v>8883.7800000000007</v>
      </c>
    </row>
    <row r="59" spans="1:22" x14ac:dyDescent="0.45">
      <c r="A59" s="15">
        <f t="shared" si="9"/>
        <v>38047</v>
      </c>
      <c r="B59">
        <f t="shared" si="15"/>
        <v>50</v>
      </c>
      <c r="C59">
        <f t="shared" si="3"/>
        <v>4</v>
      </c>
      <c r="D59">
        <f t="shared" si="16"/>
        <v>2</v>
      </c>
      <c r="E59">
        <f t="shared" si="0"/>
        <v>1</v>
      </c>
      <c r="F59" s="10">
        <f t="shared" si="1"/>
        <v>300</v>
      </c>
      <c r="G59" s="10" cm="1">
        <f t="array" ref="G59">ROUND(getParm(Tarifart,"alpha")/(2*Zahlweise)*BeiSum*(C59&lt;2)*E59,2)</f>
        <v>0</v>
      </c>
      <c r="H59" s="10" cm="1">
        <f t="array" ref="H59">ROUND(F59*getParm(Tarifart,"beta")*E59,2)</f>
        <v>15</v>
      </c>
      <c r="I59" s="10" cm="1">
        <f t="array" ref="I59">ROUND(F59*get_Üb(YEAR(A59),$I$8)*E59,2)</f>
        <v>3.6</v>
      </c>
      <c r="J59" s="10">
        <f t="shared" si="5"/>
        <v>15</v>
      </c>
      <c r="K59" s="10">
        <f t="shared" si="6"/>
        <v>288.60000000000002</v>
      </c>
      <c r="L59" s="10" cm="1">
        <f t="array" ref="L59">ROUND(1/12*MAX(MTSum-R59-K59,MRSum)*Act_qx(x+C59,Geschlecht,getParm(Tarifart,"Tafel"),YEAR(GebDat),x+Dauer,1),2)</f>
        <v>4.6900000000000004</v>
      </c>
      <c r="M59" s="10" cm="1">
        <f t="array" ref="M59">ROUND(L59*get_Üb(YEAR(A59),$M$8),2)</f>
        <v>0.23</v>
      </c>
      <c r="N59" s="10" cm="1">
        <f t="array" ref="N59">ROUND(R59*getParm(Tarifart,IF(C59&lt;BZDauer,"gamma1","gamma2")),2)</f>
        <v>4.28</v>
      </c>
      <c r="O59" s="10" cm="1">
        <f t="array" ref="O59">ROUND(R59*get_Üb(YEAR(A59),$O$8),2)</f>
        <v>1.07</v>
      </c>
      <c r="P59" s="19">
        <f t="shared" si="7"/>
        <v>2.6416589667000001</v>
      </c>
      <c r="Q59" s="19" cm="1">
        <f t="array" ref="Q59">ROUND(P59+1/getKurs(EDATE(A59,-1))*(K59-L59-N59-getParm(Tarifart,"StK")+M59+O59),10)*(C59&lt;Dauer)</f>
        <v>2.7104108086999998</v>
      </c>
      <c r="R59" s="10" cm="1">
        <f t="array" ref="R59">ROUND(P59*getKurs($A59),2)</f>
        <v>10710.42</v>
      </c>
      <c r="S59" s="10" cm="1">
        <f t="array" ref="S59">ROUND(Q59*getKurs($A59),2)</f>
        <v>10989.17</v>
      </c>
      <c r="T59" s="10">
        <f t="shared" si="2"/>
        <v>43200</v>
      </c>
      <c r="U59" s="10" cm="1">
        <f t="array" ref="U59">getParm(Tarifart,"StoSatz")*(Dauer-C59)*Beitrag*Zahlweise*(C59&lt;BZDauer)</f>
        <v>1872</v>
      </c>
      <c r="V59" s="10">
        <f t="shared" si="8"/>
        <v>9117.17</v>
      </c>
    </row>
    <row r="60" spans="1:22" x14ac:dyDescent="0.45">
      <c r="A60" s="15">
        <f t="shared" si="9"/>
        <v>38078</v>
      </c>
      <c r="B60">
        <f t="shared" si="15"/>
        <v>51</v>
      </c>
      <c r="C60">
        <f t="shared" si="3"/>
        <v>4</v>
      </c>
      <c r="D60">
        <f t="shared" si="16"/>
        <v>3</v>
      </c>
      <c r="E60">
        <f t="shared" si="0"/>
        <v>1</v>
      </c>
      <c r="F60" s="10">
        <f t="shared" si="1"/>
        <v>300</v>
      </c>
      <c r="G60" s="10" cm="1">
        <f t="array" ref="G60">ROUND(getParm(Tarifart,"alpha")/(2*Zahlweise)*BeiSum*(C60&lt;2)*E60,2)</f>
        <v>0</v>
      </c>
      <c r="H60" s="10" cm="1">
        <f t="array" ref="H60">ROUND(F60*getParm(Tarifart,"beta")*E60,2)</f>
        <v>15</v>
      </c>
      <c r="I60" s="10" cm="1">
        <f t="array" ref="I60">ROUND(F60*get_Üb(YEAR(A60),$I$8)*E60,2)</f>
        <v>3.6</v>
      </c>
      <c r="J60" s="10">
        <f t="shared" si="5"/>
        <v>15</v>
      </c>
      <c r="K60" s="10">
        <f t="shared" si="6"/>
        <v>288.60000000000002</v>
      </c>
      <c r="L60" s="10" cm="1">
        <f t="array" ref="L60">ROUND(1/12*MAX(MTSum-R60-K60,MRSum)*Act_qx(x+C60,Geschlecht,getParm(Tarifart,"Tafel"),YEAR(GebDat),x+Dauer,1),2)</f>
        <v>4.7</v>
      </c>
      <c r="M60" s="10" cm="1">
        <f t="array" ref="M60">ROUND(L60*get_Üb(YEAR(A60),$M$8),2)</f>
        <v>0.24</v>
      </c>
      <c r="N60" s="10" cm="1">
        <f t="array" ref="N60">ROUND(R60*getParm(Tarifart,IF(C60&lt;BZDauer,"gamma1","gamma2")),2)</f>
        <v>4.26</v>
      </c>
      <c r="O60" s="10" cm="1">
        <f t="array" ref="O60">ROUND(R60*get_Üb(YEAR(A60),$O$8),2)</f>
        <v>1.06</v>
      </c>
      <c r="P60" s="19">
        <f t="shared" si="7"/>
        <v>2.7104108086999998</v>
      </c>
      <c r="Q60" s="19" cm="1">
        <f t="array" ref="Q60">ROUND(P60+1/getKurs(EDATE(A60,-1))*(K60-L60-N60-getParm(Tarifart,"StK")+M60+O60),10)*(C60&lt;Dauer)</f>
        <v>2.7794562726000001</v>
      </c>
      <c r="R60" s="10" cm="1">
        <f t="array" ref="R60">ROUND(P60*getKurs($A60),2)</f>
        <v>10637.96</v>
      </c>
      <c r="S60" s="10" cm="1">
        <f t="array" ref="S60">ROUND(Q60*getKurs($A60),2)</f>
        <v>10908.95</v>
      </c>
      <c r="T60" s="10">
        <f t="shared" si="2"/>
        <v>43200</v>
      </c>
      <c r="U60" s="10" cm="1">
        <f t="array" ref="U60">getParm(Tarifart,"StoSatz")*(Dauer-C60)*Beitrag*Zahlweise*(C60&lt;BZDauer)</f>
        <v>1872</v>
      </c>
      <c r="V60" s="10">
        <f t="shared" si="8"/>
        <v>9036.9500000000007</v>
      </c>
    </row>
    <row r="61" spans="1:22" x14ac:dyDescent="0.45">
      <c r="A61" s="15">
        <f t="shared" si="9"/>
        <v>38108</v>
      </c>
      <c r="B61">
        <f t="shared" si="15"/>
        <v>52</v>
      </c>
      <c r="C61">
        <f t="shared" si="3"/>
        <v>4</v>
      </c>
      <c r="D61">
        <f t="shared" si="16"/>
        <v>4</v>
      </c>
      <c r="E61">
        <f t="shared" si="0"/>
        <v>1</v>
      </c>
      <c r="F61" s="10">
        <f t="shared" si="1"/>
        <v>300</v>
      </c>
      <c r="G61" s="10" cm="1">
        <f t="array" ref="G61">ROUND(getParm(Tarifart,"alpha")/(2*Zahlweise)*BeiSum*(C61&lt;2)*E61,2)</f>
        <v>0</v>
      </c>
      <c r="H61" s="10" cm="1">
        <f t="array" ref="H61">ROUND(F61*getParm(Tarifart,"beta")*E61,2)</f>
        <v>15</v>
      </c>
      <c r="I61" s="10" cm="1">
        <f t="array" ref="I61">ROUND(F61*get_Üb(YEAR(A61),$I$8)*E61,2)</f>
        <v>3.6</v>
      </c>
      <c r="J61" s="10">
        <f t="shared" si="5"/>
        <v>15</v>
      </c>
      <c r="K61" s="10">
        <f t="shared" si="6"/>
        <v>288.60000000000002</v>
      </c>
      <c r="L61" s="10" cm="1">
        <f t="array" ref="L61">ROUND(1/12*MAX(MTSum-R61-K61,MRSum)*Act_qx(x+C61,Geschlecht,getParm(Tarifart,"Tafel"),YEAR(GebDat),x+Dauer,1),2)</f>
        <v>4.63</v>
      </c>
      <c r="M61" s="10" cm="1">
        <f t="array" ref="M61">ROUND(L61*get_Üb(YEAR(A61),$M$8),2)</f>
        <v>0.23</v>
      </c>
      <c r="N61" s="10" cm="1">
        <f t="array" ref="N61">ROUND(R61*getParm(Tarifart,IF(C61&lt;BZDauer,"gamma1","gamma2")),2)</f>
        <v>4.46</v>
      </c>
      <c r="O61" s="10" cm="1">
        <f t="array" ref="O61">ROUND(R61*get_Üb(YEAR(A61),$O$8),2)</f>
        <v>1.1100000000000001</v>
      </c>
      <c r="P61" s="19">
        <f t="shared" si="7"/>
        <v>2.7794562726000001</v>
      </c>
      <c r="Q61" s="19" cm="1">
        <f t="array" ref="Q61">ROUND(P61+1/getKurs(EDATE(A61,-1))*(K61-L61-N61-getParm(Tarifart,"StK")+M61+O61),10)*(C61&lt;Dauer)</f>
        <v>2.8507583606</v>
      </c>
      <c r="R61" s="10" cm="1">
        <f t="array" ref="R61">ROUND(P61*getKurs($A61),2)</f>
        <v>11139.09</v>
      </c>
      <c r="S61" s="10" cm="1">
        <f t="array" ref="S61">ROUND(Q61*getKurs($A61),2)</f>
        <v>11424.84</v>
      </c>
      <c r="T61" s="10">
        <f t="shared" si="2"/>
        <v>43200</v>
      </c>
      <c r="U61" s="10" cm="1">
        <f t="array" ref="U61">getParm(Tarifart,"StoSatz")*(Dauer-C61)*Beitrag*Zahlweise*(C61&lt;BZDauer)</f>
        <v>1872</v>
      </c>
      <c r="V61" s="10">
        <f t="shared" si="8"/>
        <v>9552.84</v>
      </c>
    </row>
    <row r="62" spans="1:22" x14ac:dyDescent="0.45">
      <c r="A62" s="15">
        <f t="shared" si="9"/>
        <v>38139</v>
      </c>
      <c r="B62">
        <f t="shared" si="15"/>
        <v>53</v>
      </c>
      <c r="C62">
        <f t="shared" si="3"/>
        <v>4</v>
      </c>
      <c r="D62">
        <f t="shared" si="16"/>
        <v>5</v>
      </c>
      <c r="E62">
        <f t="shared" si="0"/>
        <v>1</v>
      </c>
      <c r="F62" s="10">
        <f t="shared" si="1"/>
        <v>300</v>
      </c>
      <c r="G62" s="10" cm="1">
        <f t="array" ref="G62">ROUND(getParm(Tarifart,"alpha")/(2*Zahlweise)*BeiSum*(C62&lt;2)*E62,2)</f>
        <v>0</v>
      </c>
      <c r="H62" s="10" cm="1">
        <f t="array" ref="H62">ROUND(F62*getParm(Tarifart,"beta")*E62,2)</f>
        <v>15</v>
      </c>
      <c r="I62" s="10" cm="1">
        <f t="array" ref="I62">ROUND(F62*get_Üb(YEAR(A62),$I$8)*E62,2)</f>
        <v>3.6</v>
      </c>
      <c r="J62" s="10">
        <f t="shared" si="5"/>
        <v>15</v>
      </c>
      <c r="K62" s="10">
        <f t="shared" si="6"/>
        <v>288.60000000000002</v>
      </c>
      <c r="L62" s="10" cm="1">
        <f t="array" ref="L62">ROUND(1/12*MAX(MTSum-R62-K62,MRSum)*Act_qx(x+C62,Geschlecht,getParm(Tarifart,"Tafel"),YEAR(GebDat),x+Dauer,1),2)</f>
        <v>4.6399999999999997</v>
      </c>
      <c r="M62" s="10" cm="1">
        <f t="array" ref="M62">ROUND(L62*get_Üb(YEAR(A62),$M$8),2)</f>
        <v>0.23</v>
      </c>
      <c r="N62" s="10" cm="1">
        <f t="array" ref="N62">ROUND(R62*getParm(Tarifart,IF(C62&lt;BZDauer,"gamma1","gamma2")),2)</f>
        <v>4.41</v>
      </c>
      <c r="O62" s="10" cm="1">
        <f t="array" ref="O62">ROUND(R62*get_Üb(YEAR(A62),$O$8),2)</f>
        <v>1.1000000000000001</v>
      </c>
      <c r="P62" s="19">
        <f t="shared" si="7"/>
        <v>2.8507583606</v>
      </c>
      <c r="Q62" s="19" cm="1">
        <f t="array" ref="Q62">ROUND(P62+1/getKurs(EDATE(A62,-1))*(K62-L62-N62-getParm(Tarifart,"StK")+M62+O62),10)*(C62&lt;Dauer)</f>
        <v>2.9205947983999998</v>
      </c>
      <c r="R62" s="10" cm="1">
        <f t="array" ref="R62">ROUND(P62*getKurs($A62),2)</f>
        <v>11015.84</v>
      </c>
      <c r="S62" s="10" cm="1">
        <f t="array" ref="S62">ROUND(Q62*getKurs($A62),2)</f>
        <v>11285.7</v>
      </c>
      <c r="T62" s="10">
        <f t="shared" si="2"/>
        <v>43200</v>
      </c>
      <c r="U62" s="10" cm="1">
        <f t="array" ref="U62">getParm(Tarifart,"StoSatz")*(Dauer-C62)*Beitrag*Zahlweise*(C62&lt;BZDauer)</f>
        <v>1872</v>
      </c>
      <c r="V62" s="10">
        <f t="shared" si="8"/>
        <v>9413.7000000000007</v>
      </c>
    </row>
    <row r="63" spans="1:22" x14ac:dyDescent="0.45">
      <c r="A63" s="15">
        <f t="shared" si="9"/>
        <v>38169</v>
      </c>
      <c r="B63">
        <f t="shared" si="15"/>
        <v>54</v>
      </c>
      <c r="C63">
        <f t="shared" si="3"/>
        <v>4</v>
      </c>
      <c r="D63">
        <f t="shared" si="16"/>
        <v>6</v>
      </c>
      <c r="E63">
        <f t="shared" si="0"/>
        <v>1</v>
      </c>
      <c r="F63" s="10">
        <f t="shared" si="1"/>
        <v>300</v>
      </c>
      <c r="G63" s="10" cm="1">
        <f t="array" ref="G63">ROUND(getParm(Tarifart,"alpha")/(2*Zahlweise)*BeiSum*(C63&lt;2)*E63,2)</f>
        <v>0</v>
      </c>
      <c r="H63" s="10" cm="1">
        <f t="array" ref="H63">ROUND(F63*getParm(Tarifart,"beta")*E63,2)</f>
        <v>15</v>
      </c>
      <c r="I63" s="10" cm="1">
        <f t="array" ref="I63">ROUND(F63*get_Üb(YEAR(A63),$I$8)*E63,2)</f>
        <v>3.6</v>
      </c>
      <c r="J63" s="10">
        <f t="shared" si="5"/>
        <v>15</v>
      </c>
      <c r="K63" s="10">
        <f t="shared" si="6"/>
        <v>288.60000000000002</v>
      </c>
      <c r="L63" s="10" cm="1">
        <f t="array" ref="L63">ROUND(1/12*MAX(MTSum-R63-K63,MRSum)*Act_qx(x+C63,Geschlecht,getParm(Tarifart,"Tafel"),YEAR(GebDat),x+Dauer,1),2)</f>
        <v>4.53</v>
      </c>
      <c r="M63" s="10" cm="1">
        <f t="array" ref="M63">ROUND(L63*get_Üb(YEAR(A63),$M$8),2)</f>
        <v>0.23</v>
      </c>
      <c r="N63" s="10" cm="1">
        <f t="array" ref="N63">ROUND(R63*getParm(Tarifart,IF(C63&lt;BZDauer,"gamma1","gamma2")),2)</f>
        <v>4.71</v>
      </c>
      <c r="O63" s="10" cm="1">
        <f t="array" ref="O63">ROUND(R63*get_Üb(YEAR(A63),$O$8),2)</f>
        <v>1.18</v>
      </c>
      <c r="P63" s="19">
        <f t="shared" si="7"/>
        <v>2.9205947983999998</v>
      </c>
      <c r="Q63" s="19" cm="1">
        <f t="array" ref="Q63">ROUND(P63+1/getKurs(EDATE(A63,-1))*(K63-L63-N63-getParm(Tarifart,"StK")+M63+O63),10)*(C63&lt;Dauer)</f>
        <v>2.99299567</v>
      </c>
      <c r="R63" s="10" cm="1">
        <f t="array" ref="R63">ROUND(P63*getKurs($A63),2)</f>
        <v>11784.66</v>
      </c>
      <c r="S63" s="10" cm="1">
        <f t="array" ref="S63">ROUND(Q63*getKurs($A63),2)</f>
        <v>12076.8</v>
      </c>
      <c r="T63" s="10">
        <f t="shared" si="2"/>
        <v>43200</v>
      </c>
      <c r="U63" s="10" cm="1">
        <f t="array" ref="U63">getParm(Tarifart,"StoSatz")*(Dauer-C63)*Beitrag*Zahlweise*(C63&lt;BZDauer)</f>
        <v>1872</v>
      </c>
      <c r="V63" s="10">
        <f t="shared" si="8"/>
        <v>10204.799999999999</v>
      </c>
    </row>
    <row r="64" spans="1:22" x14ac:dyDescent="0.45">
      <c r="A64" s="15">
        <f t="shared" si="9"/>
        <v>38200</v>
      </c>
      <c r="B64">
        <f t="shared" si="15"/>
        <v>55</v>
      </c>
      <c r="C64">
        <f t="shared" si="3"/>
        <v>4</v>
      </c>
      <c r="D64">
        <f t="shared" si="16"/>
        <v>7</v>
      </c>
      <c r="E64">
        <f t="shared" si="0"/>
        <v>1</v>
      </c>
      <c r="F64" s="10">
        <f t="shared" si="1"/>
        <v>300</v>
      </c>
      <c r="G64" s="10" cm="1">
        <f t="array" ref="G64">ROUND(getParm(Tarifart,"alpha")/(2*Zahlweise)*BeiSum*(C64&lt;2)*E64,2)</f>
        <v>0</v>
      </c>
      <c r="H64" s="10" cm="1">
        <f t="array" ref="H64">ROUND(F64*getParm(Tarifart,"beta")*E64,2)</f>
        <v>15</v>
      </c>
      <c r="I64" s="10" cm="1">
        <f t="array" ref="I64">ROUND(F64*get_Üb(YEAR(A64),$I$8)*E64,2)</f>
        <v>3.6</v>
      </c>
      <c r="J64" s="10">
        <f t="shared" si="5"/>
        <v>15</v>
      </c>
      <c r="K64" s="10">
        <f t="shared" si="6"/>
        <v>288.60000000000002</v>
      </c>
      <c r="L64" s="10" cm="1">
        <f t="array" ref="L64">ROUND(1/12*MAX(MTSum-R64-K64,MRSum)*Act_qx(x+C64,Geschlecht,getParm(Tarifart,"Tafel"),YEAR(GebDat),x+Dauer,1),2)</f>
        <v>4.5599999999999996</v>
      </c>
      <c r="M64" s="10" cm="1">
        <f t="array" ref="M64">ROUND(L64*get_Üb(YEAR(A64),$M$8),2)</f>
        <v>0.23</v>
      </c>
      <c r="N64" s="10" cm="1">
        <f t="array" ref="N64">ROUND(R64*getParm(Tarifart,IF(C64&lt;BZDauer,"gamma1","gamma2")),2)</f>
        <v>4.62</v>
      </c>
      <c r="O64" s="10" cm="1">
        <f t="array" ref="O64">ROUND(R64*get_Üb(YEAR(A64),$O$8),2)</f>
        <v>1.1599999999999999</v>
      </c>
      <c r="P64" s="19">
        <f t="shared" si="7"/>
        <v>2.99299567</v>
      </c>
      <c r="Q64" s="19" cm="1">
        <f t="array" ref="Q64">ROUND(P64+1/getKurs(EDATE(A64,-1))*(K64-L64-N64-getParm(Tarifart,"StK")+M64+O64),10)*(C64&lt;Dauer)</f>
        <v>3.0623410512000002</v>
      </c>
      <c r="R64" s="10" cm="1">
        <f t="array" ref="R64">ROUND(P64*getKurs($A64),2)</f>
        <v>11561.07</v>
      </c>
      <c r="S64" s="10" cm="1">
        <f t="array" ref="S64">ROUND(Q64*getKurs($A64),2)</f>
        <v>11828.94</v>
      </c>
      <c r="T64" s="10">
        <f t="shared" si="2"/>
        <v>43200</v>
      </c>
      <c r="U64" s="10" cm="1">
        <f t="array" ref="U64">getParm(Tarifart,"StoSatz")*(Dauer-C64)*Beitrag*Zahlweise*(C64&lt;BZDauer)</f>
        <v>1872</v>
      </c>
      <c r="V64" s="10">
        <f t="shared" si="8"/>
        <v>9956.94</v>
      </c>
    </row>
    <row r="65" spans="1:22" x14ac:dyDescent="0.45">
      <c r="A65" s="15">
        <f t="shared" si="9"/>
        <v>38231</v>
      </c>
      <c r="B65">
        <f t="shared" si="15"/>
        <v>56</v>
      </c>
      <c r="C65">
        <f t="shared" si="3"/>
        <v>4</v>
      </c>
      <c r="D65">
        <f t="shared" si="16"/>
        <v>8</v>
      </c>
      <c r="E65">
        <f t="shared" si="0"/>
        <v>1</v>
      </c>
      <c r="F65" s="10">
        <f t="shared" si="1"/>
        <v>300</v>
      </c>
      <c r="G65" s="10" cm="1">
        <f t="array" ref="G65">ROUND(getParm(Tarifart,"alpha")/(2*Zahlweise)*BeiSum*(C65&lt;2)*E65,2)</f>
        <v>0</v>
      </c>
      <c r="H65" s="10" cm="1">
        <f t="array" ref="H65">ROUND(F65*getParm(Tarifart,"beta")*E65,2)</f>
        <v>15</v>
      </c>
      <c r="I65" s="10" cm="1">
        <f t="array" ref="I65">ROUND(F65*get_Üb(YEAR(A65),$I$8)*E65,2)</f>
        <v>3.6</v>
      </c>
      <c r="J65" s="10">
        <f t="shared" si="5"/>
        <v>15</v>
      </c>
      <c r="K65" s="10">
        <f t="shared" si="6"/>
        <v>288.60000000000002</v>
      </c>
      <c r="L65" s="10" cm="1">
        <f t="array" ref="L65">ROUND(1/12*MAX(MTSum-R65-K65,MRSum)*Act_qx(x+C65,Geschlecht,getParm(Tarifart,"Tafel"),YEAR(GebDat),x+Dauer,1),2)</f>
        <v>4.55</v>
      </c>
      <c r="M65" s="10" cm="1">
        <f t="array" ref="M65">ROUND(L65*get_Üb(YEAR(A65),$M$8),2)</f>
        <v>0.23</v>
      </c>
      <c r="N65" s="10" cm="1">
        <f t="array" ref="N65">ROUND(R65*getParm(Tarifart,IF(C65&lt;BZDauer,"gamma1","gamma2")),2)</f>
        <v>4.68</v>
      </c>
      <c r="O65" s="10" cm="1">
        <f t="array" ref="O65">ROUND(R65*get_Üb(YEAR(A65),$O$8),2)</f>
        <v>1.17</v>
      </c>
      <c r="P65" s="19">
        <f t="shared" si="7"/>
        <v>3.0623410512000002</v>
      </c>
      <c r="Q65" s="19" cm="1">
        <f t="array" ref="Q65">ROUND(P65+1/getKurs(EDATE(A65,-1))*(K65-L65-N65-getParm(Tarifart,"StK")+M65+O65),10)*(C65&lt;Dauer)</f>
        <v>3.1347694758000002</v>
      </c>
      <c r="R65" s="10" cm="1">
        <f t="array" ref="R65">ROUND(P65*getKurs($A65),2)</f>
        <v>11690.85</v>
      </c>
      <c r="S65" s="10" cm="1">
        <f t="array" ref="S65">ROUND(Q65*getKurs($A65),2)</f>
        <v>11967.36</v>
      </c>
      <c r="T65" s="10">
        <f t="shared" si="2"/>
        <v>43200</v>
      </c>
      <c r="U65" s="10" cm="1">
        <f t="array" ref="U65">getParm(Tarifart,"StoSatz")*(Dauer-C65)*Beitrag*Zahlweise*(C65&lt;BZDauer)</f>
        <v>1872</v>
      </c>
      <c r="V65" s="10">
        <f t="shared" si="8"/>
        <v>10095.36</v>
      </c>
    </row>
    <row r="66" spans="1:22" x14ac:dyDescent="0.45">
      <c r="A66" s="15">
        <f t="shared" si="9"/>
        <v>38261</v>
      </c>
      <c r="B66">
        <f t="shared" si="15"/>
        <v>57</v>
      </c>
      <c r="C66">
        <f t="shared" si="3"/>
        <v>4</v>
      </c>
      <c r="D66">
        <f t="shared" si="16"/>
        <v>9</v>
      </c>
      <c r="E66">
        <f t="shared" si="0"/>
        <v>1</v>
      </c>
      <c r="F66" s="10">
        <f t="shared" si="1"/>
        <v>300</v>
      </c>
      <c r="G66" s="10" cm="1">
        <f t="array" ref="G66">ROUND(getParm(Tarifart,"alpha")/(2*Zahlweise)*BeiSum*(C66&lt;2)*E66,2)</f>
        <v>0</v>
      </c>
      <c r="H66" s="10" cm="1">
        <f t="array" ref="H66">ROUND(F66*getParm(Tarifart,"beta")*E66,2)</f>
        <v>15</v>
      </c>
      <c r="I66" s="10" cm="1">
        <f t="array" ref="I66">ROUND(F66*get_Üb(YEAR(A66),$I$8)*E66,2)</f>
        <v>3.6</v>
      </c>
      <c r="J66" s="10">
        <f t="shared" si="5"/>
        <v>15</v>
      </c>
      <c r="K66" s="10">
        <f t="shared" si="6"/>
        <v>288.60000000000002</v>
      </c>
      <c r="L66" s="10" cm="1">
        <f t="array" ref="L66">ROUND(1/12*MAX(MTSum-R66-K66,MRSum)*Act_qx(x+C66,Geschlecht,getParm(Tarifart,"Tafel"),YEAR(GebDat),x+Dauer,1),2)</f>
        <v>4.42</v>
      </c>
      <c r="M66" s="10" cm="1">
        <f t="array" ref="M66">ROUND(L66*get_Üb(YEAR(A66),$M$8),2)</f>
        <v>0.22</v>
      </c>
      <c r="N66" s="10" cm="1">
        <f t="array" ref="N66">ROUND(R66*getParm(Tarifart,IF(C66&lt;BZDauer,"gamma1","gamma2")),2)</f>
        <v>5.01</v>
      </c>
      <c r="O66" s="10" cm="1">
        <f t="array" ref="O66">ROUND(R66*get_Üb(YEAR(A66),$O$8),2)</f>
        <v>1.25</v>
      </c>
      <c r="P66" s="19">
        <f t="shared" si="7"/>
        <v>3.1347694758000002</v>
      </c>
      <c r="Q66" s="19" cm="1">
        <f t="array" ref="Q66">ROUND(P66+1/getKurs(EDATE(A66,-1))*(K66-L66-N66-getParm(Tarifart,"StK")+M66+O66),10)*(C66&lt;Dauer)</f>
        <v>3.2080193015999998</v>
      </c>
      <c r="R66" s="10" cm="1">
        <f t="array" ref="R66">ROUND(P66*getKurs($A66),2)</f>
        <v>12523.28</v>
      </c>
      <c r="S66" s="10" cm="1">
        <f t="array" ref="S66">ROUND(Q66*getKurs($A66),2)</f>
        <v>12815.91</v>
      </c>
      <c r="T66" s="10">
        <f t="shared" si="2"/>
        <v>43200</v>
      </c>
      <c r="U66" s="10" cm="1">
        <f t="array" ref="U66">getParm(Tarifart,"StoSatz")*(Dauer-C66)*Beitrag*Zahlweise*(C66&lt;BZDauer)</f>
        <v>1872</v>
      </c>
      <c r="V66" s="10">
        <f t="shared" si="8"/>
        <v>10943.91</v>
      </c>
    </row>
    <row r="67" spans="1:22" x14ac:dyDescent="0.45">
      <c r="A67" s="15">
        <f t="shared" si="9"/>
        <v>38292</v>
      </c>
      <c r="B67">
        <f t="shared" si="15"/>
        <v>58</v>
      </c>
      <c r="C67">
        <f t="shared" si="3"/>
        <v>4</v>
      </c>
      <c r="D67">
        <f t="shared" si="16"/>
        <v>10</v>
      </c>
      <c r="E67">
        <f t="shared" si="0"/>
        <v>1</v>
      </c>
      <c r="F67" s="10">
        <f t="shared" si="1"/>
        <v>300</v>
      </c>
      <c r="G67" s="10" cm="1">
        <f t="array" ref="G67">ROUND(getParm(Tarifart,"alpha")/(2*Zahlweise)*BeiSum*(C67&lt;2)*E67,2)</f>
        <v>0</v>
      </c>
      <c r="H67" s="10" cm="1">
        <f t="array" ref="H67">ROUND(F67*getParm(Tarifart,"beta")*E67,2)</f>
        <v>15</v>
      </c>
      <c r="I67" s="10" cm="1">
        <f t="array" ref="I67">ROUND(F67*get_Üb(YEAR(A67),$I$8)*E67,2)</f>
        <v>3.6</v>
      </c>
      <c r="J67" s="10">
        <f t="shared" si="5"/>
        <v>15</v>
      </c>
      <c r="K67" s="10">
        <f t="shared" si="6"/>
        <v>288.60000000000002</v>
      </c>
      <c r="L67" s="10" cm="1">
        <f t="array" ref="L67">ROUND(1/12*MAX(MTSum-R67-K67,MRSum)*Act_qx(x+C67,Geschlecht,getParm(Tarifart,"Tafel"),YEAR(GebDat),x+Dauer,1),2)</f>
        <v>4.37</v>
      </c>
      <c r="M67" s="10" cm="1">
        <f t="array" ref="M67">ROUND(L67*get_Üb(YEAR(A67),$M$8),2)</f>
        <v>0.22</v>
      </c>
      <c r="N67" s="10" cm="1">
        <f t="array" ref="N67">ROUND(R67*getParm(Tarifart,IF(C67&lt;BZDauer,"gamma1","gamma2")),2)</f>
        <v>5.15</v>
      </c>
      <c r="O67" s="10" cm="1">
        <f t="array" ref="O67">ROUND(R67*get_Üb(YEAR(A67),$O$8),2)</f>
        <v>1.29</v>
      </c>
      <c r="P67" s="19">
        <f t="shared" si="7"/>
        <v>3.2080193015999998</v>
      </c>
      <c r="Q67" s="19" cm="1">
        <f t="array" ref="Q67">ROUND(P67+1/getKurs(EDATE(A67,-1))*(K67-L67-N67-getParm(Tarifart,"StK")+M67+O67),10)*(C67&lt;Dauer)</f>
        <v>3.2780049835999998</v>
      </c>
      <c r="R67" s="10" cm="1">
        <f t="array" ref="R67">ROUND(P67*getKurs($A67),2)</f>
        <v>12872.63</v>
      </c>
      <c r="S67" s="10" cm="1">
        <f t="array" ref="S67">ROUND(Q67*getKurs($A67),2)</f>
        <v>13153.45</v>
      </c>
      <c r="T67" s="10">
        <f t="shared" si="2"/>
        <v>43200</v>
      </c>
      <c r="U67" s="10" cm="1">
        <f t="array" ref="U67">getParm(Tarifart,"StoSatz")*(Dauer-C67)*Beitrag*Zahlweise*(C67&lt;BZDauer)</f>
        <v>1872</v>
      </c>
      <c r="V67" s="10">
        <f t="shared" si="8"/>
        <v>11281.45</v>
      </c>
    </row>
    <row r="68" spans="1:22" x14ac:dyDescent="0.45">
      <c r="A68" s="15">
        <f t="shared" si="9"/>
        <v>38322</v>
      </c>
      <c r="B68">
        <f t="shared" si="15"/>
        <v>59</v>
      </c>
      <c r="C68">
        <f t="shared" si="3"/>
        <v>4</v>
      </c>
      <c r="D68">
        <f t="shared" si="16"/>
        <v>11</v>
      </c>
      <c r="E68">
        <f t="shared" si="0"/>
        <v>1</v>
      </c>
      <c r="F68" s="10">
        <f t="shared" si="1"/>
        <v>300</v>
      </c>
      <c r="G68" s="10" cm="1">
        <f t="array" ref="G68">ROUND(getParm(Tarifart,"alpha")/(2*Zahlweise)*BeiSum*(C68&lt;2)*E68,2)</f>
        <v>0</v>
      </c>
      <c r="H68" s="10" cm="1">
        <f t="array" ref="H68">ROUND(F68*getParm(Tarifart,"beta")*E68,2)</f>
        <v>15</v>
      </c>
      <c r="I68" s="10" cm="1">
        <f t="array" ref="I68">ROUND(F68*get_Üb(YEAR(A68),$I$8)*E68,2)</f>
        <v>3.6</v>
      </c>
      <c r="J68" s="10">
        <f t="shared" si="5"/>
        <v>15</v>
      </c>
      <c r="K68" s="10">
        <f t="shared" si="6"/>
        <v>288.60000000000002</v>
      </c>
      <c r="L68" s="10" cm="1">
        <f t="array" ref="L68">ROUND(1/12*MAX(MTSum-R68-K68,MRSum)*Act_qx(x+C68,Geschlecht,getParm(Tarifart,"Tafel"),YEAR(GebDat),x+Dauer,1),2)</f>
        <v>4.25</v>
      </c>
      <c r="M68" s="10" cm="1">
        <f t="array" ref="M68">ROUND(L68*get_Üb(YEAR(A68),$M$8),2)</f>
        <v>0.21</v>
      </c>
      <c r="N68" s="10" cm="1">
        <f t="array" ref="N68">ROUND(R68*getParm(Tarifart,IF(C68&lt;BZDauer,"gamma1","gamma2")),2)</f>
        <v>5.49</v>
      </c>
      <c r="O68" s="10" cm="1">
        <f t="array" ref="O68">ROUND(R68*get_Üb(YEAR(A68),$O$8),2)</f>
        <v>1.37</v>
      </c>
      <c r="P68" s="19">
        <f t="shared" si="7"/>
        <v>3.2780049835999998</v>
      </c>
      <c r="Q68" s="19" cm="1">
        <f t="array" ref="Q68">ROUND(P68+1/getKurs(EDATE(A68,-1))*(K68-L68-N68-getParm(Tarifart,"StK")+M68+O68),10)*(C68&lt;Dauer)</f>
        <v>3.3476449214000001</v>
      </c>
      <c r="R68" s="10" cm="1">
        <f t="array" ref="R68">ROUND(P68*getKurs($A68),2)</f>
        <v>13721.83</v>
      </c>
      <c r="S68" s="10" cm="1">
        <f t="array" ref="S68">ROUND(Q68*getKurs($A68),2)</f>
        <v>14013.34</v>
      </c>
      <c r="T68" s="10">
        <f t="shared" si="2"/>
        <v>43200</v>
      </c>
      <c r="U68" s="10" cm="1">
        <f t="array" ref="U68">getParm(Tarifart,"StoSatz")*(Dauer-C68)*Beitrag*Zahlweise*(C68&lt;BZDauer)</f>
        <v>1872</v>
      </c>
      <c r="V68" s="10">
        <f t="shared" si="8"/>
        <v>12141.34</v>
      </c>
    </row>
    <row r="69" spans="1:22" x14ac:dyDescent="0.45">
      <c r="A69" s="15">
        <f t="shared" si="9"/>
        <v>38353</v>
      </c>
      <c r="B69">
        <f t="shared" si="15"/>
        <v>60</v>
      </c>
      <c r="C69">
        <f t="shared" si="3"/>
        <v>5</v>
      </c>
      <c r="D69">
        <f t="shared" si="16"/>
        <v>0</v>
      </c>
      <c r="E69">
        <f t="shared" si="0"/>
        <v>1</v>
      </c>
      <c r="F69" s="10">
        <f t="shared" si="1"/>
        <v>300</v>
      </c>
      <c r="G69" s="10" cm="1">
        <f t="array" ref="G69">ROUND(getParm(Tarifart,"alpha")/(2*Zahlweise)*BeiSum*(C69&lt;2)*E69,2)</f>
        <v>0</v>
      </c>
      <c r="H69" s="10" cm="1">
        <f t="array" ref="H69">ROUND(F69*getParm(Tarifart,"beta")*E69,2)</f>
        <v>15</v>
      </c>
      <c r="I69" s="10" cm="1">
        <f t="array" ref="I69">ROUND(F69*get_Üb(YEAR(A69),$I$8)*E69,2)</f>
        <v>3.6</v>
      </c>
      <c r="J69" s="10">
        <f t="shared" si="5"/>
        <v>15</v>
      </c>
      <c r="K69" s="10">
        <f t="shared" si="6"/>
        <v>288.60000000000002</v>
      </c>
      <c r="L69" s="10" cm="1">
        <f t="array" ref="L69">ROUND(1/12*MAX(MTSum-R69-K69,MRSum)*Act_qx(x+C69,Geschlecht,getParm(Tarifart,"Tafel"),YEAR(GebDat),x+Dauer,1),2)</f>
        <v>4.45</v>
      </c>
      <c r="M69" s="10" cm="1">
        <f t="array" ref="M69">ROUND(L69*get_Üb(YEAR(A69),$M$8),2)</f>
        <v>0.22</v>
      </c>
      <c r="N69" s="10" cm="1">
        <f t="array" ref="N69">ROUND(R69*getParm(Tarifart,IF(C69&lt;BZDauer,"gamma1","gamma2")),2)</f>
        <v>5.75</v>
      </c>
      <c r="O69" s="10" cm="1">
        <f t="array" ref="O69">ROUND(R69*get_Üb(YEAR(A69),$O$8),2)</f>
        <v>1.44</v>
      </c>
      <c r="P69" s="19">
        <f t="shared" si="7"/>
        <v>3.3476449214000001</v>
      </c>
      <c r="Q69" s="19" cm="1">
        <f t="array" ref="Q69">ROUND(P69+1/getKurs(EDATE(A69,-1))*(K69-L69-N69-getParm(Tarifart,"StK")+M69+O69),10)*(C69&lt;Dauer)</f>
        <v>3.4143095177</v>
      </c>
      <c r="R69" s="10" cm="1">
        <f t="array" ref="R69">ROUND(P69*getKurs($A69),2)</f>
        <v>14366.52</v>
      </c>
      <c r="S69" s="10" cm="1">
        <f t="array" ref="S69">ROUND(Q69*getKurs($A69),2)</f>
        <v>14652.61</v>
      </c>
      <c r="T69" s="10">
        <f t="shared" si="2"/>
        <v>43200</v>
      </c>
      <c r="U69" s="10" cm="1">
        <f t="array" ref="U69">getParm(Tarifart,"StoSatz")*(Dauer-C69)*Beitrag*Zahlweise*(C69&lt;BZDauer)</f>
        <v>1800</v>
      </c>
      <c r="V69" s="10">
        <f t="shared" si="8"/>
        <v>12852.61</v>
      </c>
    </row>
    <row r="70" spans="1:22" x14ac:dyDescent="0.45">
      <c r="A70" s="15">
        <f t="shared" si="9"/>
        <v>38384</v>
      </c>
      <c r="B70">
        <f t="shared" si="15"/>
        <v>61</v>
      </c>
      <c r="C70">
        <f t="shared" si="3"/>
        <v>5</v>
      </c>
      <c r="D70">
        <f t="shared" si="16"/>
        <v>1</v>
      </c>
      <c r="E70">
        <f t="shared" si="0"/>
        <v>1</v>
      </c>
      <c r="F70" s="10">
        <f t="shared" si="1"/>
        <v>300</v>
      </c>
      <c r="G70" s="10" cm="1">
        <f t="array" ref="G70">ROUND(getParm(Tarifart,"alpha")/(2*Zahlweise)*BeiSum*(C70&lt;2)*E70,2)</f>
        <v>0</v>
      </c>
      <c r="H70" s="10" cm="1">
        <f t="array" ref="H70">ROUND(F70*getParm(Tarifart,"beta")*E70,2)</f>
        <v>15</v>
      </c>
      <c r="I70" s="10" cm="1">
        <f t="array" ref="I70">ROUND(F70*get_Üb(YEAR(A70),$I$8)*E70,2)</f>
        <v>3.6</v>
      </c>
      <c r="J70" s="10">
        <f t="shared" si="5"/>
        <v>15</v>
      </c>
      <c r="K70" s="10">
        <f t="shared" si="6"/>
        <v>288.60000000000002</v>
      </c>
      <c r="L70" s="10" cm="1">
        <f t="array" ref="L70">ROUND(1/12*MAX(MTSum-R70-K70,MRSum)*Act_qx(x+C70,Geschlecht,getParm(Tarifart,"Tafel"),YEAR(GebDat),x+Dauer,1),2)</f>
        <v>4.41</v>
      </c>
      <c r="M70" s="10" cm="1">
        <f t="array" ref="M70">ROUND(L70*get_Üb(YEAR(A70),$M$8),2)</f>
        <v>0.22</v>
      </c>
      <c r="N70" s="10" cm="1">
        <f t="array" ref="N70">ROUND(R70*getParm(Tarifart,IF(C70&lt;BZDauer,"gamma1","gamma2")),2)</f>
        <v>5.85</v>
      </c>
      <c r="O70" s="10" cm="1">
        <f t="array" ref="O70">ROUND(R70*get_Üb(YEAR(A70),$O$8),2)</f>
        <v>1.46</v>
      </c>
      <c r="P70" s="19">
        <f t="shared" si="7"/>
        <v>3.4143095177</v>
      </c>
      <c r="Q70" s="19" cm="1">
        <f t="array" ref="Q70">ROUND(P70+1/getKurs(EDATE(A70,-1))*(K70-L70-N70-getParm(Tarifart,"StK")+M70+O70),10)*(C70&lt;Dauer)</f>
        <v>3.4793259570999999</v>
      </c>
      <c r="R70" s="10" cm="1">
        <f t="array" ref="R70">ROUND(P70*getKurs($A70),2)</f>
        <v>14613.14</v>
      </c>
      <c r="S70" s="10" cm="1">
        <f t="array" ref="S70">ROUND(Q70*getKurs($A70),2)</f>
        <v>14891.41</v>
      </c>
      <c r="T70" s="10">
        <f t="shared" si="2"/>
        <v>43200</v>
      </c>
      <c r="U70" s="10" cm="1">
        <f t="array" ref="U70">getParm(Tarifart,"StoSatz")*(Dauer-C70)*Beitrag*Zahlweise*(C70&lt;BZDauer)</f>
        <v>1800</v>
      </c>
      <c r="V70" s="10">
        <f t="shared" si="8"/>
        <v>13091.41</v>
      </c>
    </row>
    <row r="71" spans="1:22" x14ac:dyDescent="0.45">
      <c r="A71" s="15">
        <f t="shared" si="9"/>
        <v>38412</v>
      </c>
      <c r="B71">
        <f t="shared" si="15"/>
        <v>62</v>
      </c>
      <c r="C71">
        <f t="shared" si="3"/>
        <v>5</v>
      </c>
      <c r="D71">
        <f t="shared" si="16"/>
        <v>2</v>
      </c>
      <c r="E71">
        <f t="shared" si="0"/>
        <v>1</v>
      </c>
      <c r="F71" s="10">
        <f t="shared" si="1"/>
        <v>300</v>
      </c>
      <c r="G71" s="10" cm="1">
        <f t="array" ref="G71">ROUND(getParm(Tarifart,"alpha")/(2*Zahlweise)*BeiSum*(C71&lt;2)*E71,2)</f>
        <v>0</v>
      </c>
      <c r="H71" s="10" cm="1">
        <f t="array" ref="H71">ROUND(F71*getParm(Tarifart,"beta")*E71,2)</f>
        <v>15</v>
      </c>
      <c r="I71" s="10" cm="1">
        <f t="array" ref="I71">ROUND(F71*get_Üb(YEAR(A71),$I$8)*E71,2)</f>
        <v>3.6</v>
      </c>
      <c r="J71" s="10">
        <f t="shared" si="5"/>
        <v>15</v>
      </c>
      <c r="K71" s="10">
        <f t="shared" si="6"/>
        <v>288.60000000000002</v>
      </c>
      <c r="L71" s="10" cm="1">
        <f t="array" ref="L71">ROUND(1/12*MAX(MTSum-R71-K71,MRSum)*Act_qx(x+C71,Geschlecht,getParm(Tarifart,"Tafel"),YEAR(GebDat),x+Dauer,1),2)</f>
        <v>4.3099999999999996</v>
      </c>
      <c r="M71" s="10" cm="1">
        <f t="array" ref="M71">ROUND(L71*get_Üb(YEAR(A71),$M$8),2)</f>
        <v>0.22</v>
      </c>
      <c r="N71" s="10" cm="1">
        <f t="array" ref="N71">ROUND(R71*getParm(Tarifart,IF(C71&lt;BZDauer,"gamma1","gamma2")),2)</f>
        <v>6.1</v>
      </c>
      <c r="O71" s="10" cm="1">
        <f t="array" ref="O71">ROUND(R71*get_Üb(YEAR(A71),$O$8),2)</f>
        <v>1.53</v>
      </c>
      <c r="P71" s="19">
        <f t="shared" si="7"/>
        <v>3.4793259570999999</v>
      </c>
      <c r="Q71" s="19" cm="1">
        <f t="array" ref="Q71">ROUND(P71+1/getKurs(EDATE(A71,-1))*(K71-L71-N71-getParm(Tarifart,"StK")+M71+O71),10)*(C71&lt;Dauer)</f>
        <v>3.5444993111</v>
      </c>
      <c r="R71" s="10" cm="1">
        <f t="array" ref="R71">ROUND(P71*getKurs($A71),2)</f>
        <v>15252.04</v>
      </c>
      <c r="S71" s="10" cm="1">
        <f t="array" ref="S71">ROUND(Q71*getKurs($A71),2)</f>
        <v>15537.74</v>
      </c>
      <c r="T71" s="10">
        <f t="shared" si="2"/>
        <v>43200</v>
      </c>
      <c r="U71" s="10" cm="1">
        <f t="array" ref="U71">getParm(Tarifart,"StoSatz")*(Dauer-C71)*Beitrag*Zahlweise*(C71&lt;BZDauer)</f>
        <v>1800</v>
      </c>
      <c r="V71" s="10">
        <f t="shared" si="8"/>
        <v>13737.74</v>
      </c>
    </row>
    <row r="72" spans="1:22" x14ac:dyDescent="0.45">
      <c r="A72" s="15">
        <f t="shared" si="9"/>
        <v>38443</v>
      </c>
      <c r="B72">
        <f t="shared" si="15"/>
        <v>63</v>
      </c>
      <c r="C72">
        <f t="shared" si="3"/>
        <v>5</v>
      </c>
      <c r="D72">
        <f t="shared" si="16"/>
        <v>3</v>
      </c>
      <c r="E72">
        <f t="shared" si="0"/>
        <v>1</v>
      </c>
      <c r="F72" s="10">
        <f t="shared" si="1"/>
        <v>300</v>
      </c>
      <c r="G72" s="10" cm="1">
        <f t="array" ref="G72">ROUND(getParm(Tarifart,"alpha")/(2*Zahlweise)*BeiSum*(C72&lt;2)*E72,2)</f>
        <v>0</v>
      </c>
      <c r="H72" s="10" cm="1">
        <f t="array" ref="H72">ROUND(F72*getParm(Tarifart,"beta")*E72,2)</f>
        <v>15</v>
      </c>
      <c r="I72" s="10" cm="1">
        <f t="array" ref="I72">ROUND(F72*get_Üb(YEAR(A72),$I$8)*E72,2)</f>
        <v>3.6</v>
      </c>
      <c r="J72" s="10">
        <f t="shared" si="5"/>
        <v>15</v>
      </c>
      <c r="K72" s="10">
        <f t="shared" si="6"/>
        <v>288.60000000000002</v>
      </c>
      <c r="L72" s="10" cm="1">
        <f t="array" ref="L72">ROUND(1/12*MAX(MTSum-R72-K72,MRSum)*Act_qx(x+C72,Geschlecht,getParm(Tarifart,"Tafel"),YEAR(GebDat),x+Dauer,1),2)</f>
        <v>4.2699999999999996</v>
      </c>
      <c r="M72" s="10" cm="1">
        <f t="array" ref="M72">ROUND(L72*get_Üb(YEAR(A72),$M$8),2)</f>
        <v>0.21</v>
      </c>
      <c r="N72" s="10" cm="1">
        <f t="array" ref="N72">ROUND(R72*getParm(Tarifart,IF(C72&lt;BZDauer,"gamma1","gamma2")),2)</f>
        <v>6.2</v>
      </c>
      <c r="O72" s="10" cm="1">
        <f t="array" ref="O72">ROUND(R72*get_Üb(YEAR(A72),$O$8),2)</f>
        <v>1.55</v>
      </c>
      <c r="P72" s="19">
        <f t="shared" si="7"/>
        <v>3.5444993111</v>
      </c>
      <c r="Q72" s="19" cm="1">
        <f t="array" ref="Q72">ROUND(P72+1/getKurs(EDATE(A72,-1))*(K72-L72-N72-getParm(Tarifart,"StK")+M72+O72),10)*(C72&lt;Dauer)</f>
        <v>3.6081202453999999</v>
      </c>
      <c r="R72" s="10" cm="1">
        <f t="array" ref="R72">ROUND(P72*getKurs($A72),2)</f>
        <v>15501.97</v>
      </c>
      <c r="S72" s="10" cm="1">
        <f t="array" ref="S72">ROUND(Q72*getKurs($A72),2)</f>
        <v>15780.22</v>
      </c>
      <c r="T72" s="10">
        <f t="shared" si="2"/>
        <v>43200</v>
      </c>
      <c r="U72" s="10" cm="1">
        <f t="array" ref="U72">getParm(Tarifart,"StoSatz")*(Dauer-C72)*Beitrag*Zahlweise*(C72&lt;BZDauer)</f>
        <v>1800</v>
      </c>
      <c r="V72" s="10">
        <f t="shared" si="8"/>
        <v>13980.22</v>
      </c>
    </row>
    <row r="73" spans="1:22" x14ac:dyDescent="0.45">
      <c r="A73" s="15">
        <f t="shared" si="9"/>
        <v>38473</v>
      </c>
      <c r="B73">
        <f t="shared" si="15"/>
        <v>64</v>
      </c>
      <c r="C73">
        <f t="shared" si="3"/>
        <v>5</v>
      </c>
      <c r="D73">
        <f t="shared" si="16"/>
        <v>4</v>
      </c>
      <c r="E73">
        <f t="shared" ref="E73:E136" si="17">IF(MOD(B73,12/Zahlweise)=0,1,0)</f>
        <v>1</v>
      </c>
      <c r="F73" s="10">
        <f t="shared" ref="F73:F136" si="18">Beitrag*E73*(C73&lt;BZDauer)</f>
        <v>300</v>
      </c>
      <c r="G73" s="10" cm="1">
        <f t="array" ref="G73">ROUND(getParm(Tarifart,"alpha")/(2*Zahlweise)*BeiSum*(C73&lt;2)*E73,2)</f>
        <v>0</v>
      </c>
      <c r="H73" s="10" cm="1">
        <f t="array" ref="H73">ROUND(F73*getParm(Tarifart,"beta")*E73,2)</f>
        <v>15</v>
      </c>
      <c r="I73" s="10" cm="1">
        <f t="array" ref="I73">ROUND(F73*get_Üb(YEAR(A73),$I$8)*E73,2)</f>
        <v>3.6</v>
      </c>
      <c r="J73" s="10">
        <f t="shared" si="5"/>
        <v>15</v>
      </c>
      <c r="K73" s="10">
        <f t="shared" si="6"/>
        <v>288.60000000000002</v>
      </c>
      <c r="L73" s="10" cm="1">
        <f t="array" ref="L73">ROUND(1/12*MAX(MTSum-R73-K73,MRSum)*Act_qx(x+C73,Geschlecht,getParm(Tarifart,"Tafel"),YEAR(GebDat),x+Dauer,1),2)</f>
        <v>4.3099999999999996</v>
      </c>
      <c r="M73" s="10" cm="1">
        <f t="array" ref="M73">ROUND(L73*get_Üb(YEAR(A73),$M$8),2)</f>
        <v>0.22</v>
      </c>
      <c r="N73" s="10" cm="1">
        <f t="array" ref="N73">ROUND(R73*getParm(Tarifart,IF(C73&lt;BZDauer,"gamma1","gamma2")),2)</f>
        <v>6.1</v>
      </c>
      <c r="O73" s="10" cm="1">
        <f t="array" ref="O73">ROUND(R73*get_Üb(YEAR(A73),$O$8),2)</f>
        <v>1.52</v>
      </c>
      <c r="P73" s="19">
        <f t="shared" si="7"/>
        <v>3.6081202453999999</v>
      </c>
      <c r="Q73" s="19" cm="1">
        <f t="array" ref="Q73">ROUND(P73+1/getKurs(EDATE(A73,-1))*(K73-L73-N73-getParm(Tarifart,"StK")+M73+O73),10)*(C73&lt;Dauer)</f>
        <v>3.6718971030000001</v>
      </c>
      <c r="R73" s="10" cm="1">
        <f t="array" ref="R73">ROUND(P73*getKurs($A73),2)</f>
        <v>15240.77</v>
      </c>
      <c r="S73" s="10" cm="1">
        <f t="array" ref="S73">ROUND(Q73*getKurs($A73),2)</f>
        <v>15510.17</v>
      </c>
      <c r="T73" s="10">
        <f t="shared" ref="T73:T136" si="19">ROUND(MAX(MTSum,R73+MRSum),2)</f>
        <v>43200</v>
      </c>
      <c r="U73" s="10" cm="1">
        <f t="array" ref="U73">getParm(Tarifart,"StoSatz")*(Dauer-C73)*Beitrag*Zahlweise*(C73&lt;BZDauer)</f>
        <v>1800</v>
      </c>
      <c r="V73" s="10">
        <f t="shared" si="8"/>
        <v>13710.17</v>
      </c>
    </row>
    <row r="74" spans="1:22" x14ac:dyDescent="0.45">
      <c r="A74" s="15">
        <f t="shared" si="9"/>
        <v>38504</v>
      </c>
      <c r="B74">
        <f t="shared" si="15"/>
        <v>65</v>
      </c>
      <c r="C74">
        <f t="shared" ref="C74:C137" si="20">QUOTIENT(B74,12)</f>
        <v>5</v>
      </c>
      <c r="D74">
        <f t="shared" si="16"/>
        <v>5</v>
      </c>
      <c r="E74">
        <f t="shared" si="17"/>
        <v>1</v>
      </c>
      <c r="F74" s="10">
        <f t="shared" si="18"/>
        <v>300</v>
      </c>
      <c r="G74" s="10" cm="1">
        <f t="array" ref="G74">ROUND(getParm(Tarifart,"alpha")/(2*Zahlweise)*BeiSum*(C74&lt;2)*E74,2)</f>
        <v>0</v>
      </c>
      <c r="H74" s="10" cm="1">
        <f t="array" ref="H74">ROUND(F74*getParm(Tarifart,"beta")*E74,2)</f>
        <v>15</v>
      </c>
      <c r="I74" s="10" cm="1">
        <f t="array" ref="I74">ROUND(F74*get_Üb(YEAR(A74),$I$8)*E74,2)</f>
        <v>3.6</v>
      </c>
      <c r="J74" s="10">
        <f t="shared" ref="J74:J137" si="21">G74+H74</f>
        <v>15</v>
      </c>
      <c r="K74" s="10">
        <f t="shared" ref="K74:K137" si="22">F74-J74+I74</f>
        <v>288.60000000000002</v>
      </c>
      <c r="L74" s="10" cm="1">
        <f t="array" ref="L74">ROUND(1/12*MAX(MTSum-R74-K74,MRSum)*Act_qx(x+C74,Geschlecht,getParm(Tarifart,"Tafel"),YEAR(GebDat),x+Dauer,1),2)</f>
        <v>4.09</v>
      </c>
      <c r="M74" s="10" cm="1">
        <f t="array" ref="M74">ROUND(L74*get_Üb(YEAR(A74),$M$8),2)</f>
        <v>0.2</v>
      </c>
      <c r="N74" s="10" cm="1">
        <f t="array" ref="N74">ROUND(R74*getParm(Tarifart,IF(C74&lt;BZDauer,"gamma1","gamma2")),2)</f>
        <v>6.65</v>
      </c>
      <c r="O74" s="10" cm="1">
        <f t="array" ref="O74">ROUND(R74*get_Üb(YEAR(A74),$O$8),2)</f>
        <v>1.66</v>
      </c>
      <c r="P74" s="19">
        <f t="shared" ref="P74:P137" si="23">Q73*(C74&lt;Dauer)</f>
        <v>3.6718971030000001</v>
      </c>
      <c r="Q74" s="19" cm="1">
        <f t="array" ref="Q74">ROUND(P74+1/getKurs(EDATE(A74,-1))*(K74-L74-N74-getParm(Tarifart,"StK")+M74+O74),10)*(C74&lt;Dauer)</f>
        <v>3.7378816390999998</v>
      </c>
      <c r="R74" s="10" cm="1">
        <f t="array" ref="R74">ROUND(P74*getKurs($A74),2)</f>
        <v>16623.3</v>
      </c>
      <c r="S74" s="10" cm="1">
        <f t="array" ref="S74">ROUND(Q74*getKurs($A74),2)</f>
        <v>16922.03</v>
      </c>
      <c r="T74" s="10">
        <f t="shared" si="19"/>
        <v>43200</v>
      </c>
      <c r="U74" s="10" cm="1">
        <f t="array" ref="U74">getParm(Tarifart,"StoSatz")*(Dauer-C74)*Beitrag*Zahlweise*(C74&lt;BZDauer)</f>
        <v>1800</v>
      </c>
      <c r="V74" s="10">
        <f t="shared" ref="V74:V137" si="24">MAX(S74-U74,0)</f>
        <v>15122.029999999999</v>
      </c>
    </row>
    <row r="75" spans="1:22" x14ac:dyDescent="0.45">
      <c r="A75" s="15">
        <f t="shared" ref="A75:A138" si="25">EDATE(A74,1)</f>
        <v>38534</v>
      </c>
      <c r="B75">
        <f t="shared" si="15"/>
        <v>66</v>
      </c>
      <c r="C75">
        <f t="shared" si="20"/>
        <v>5</v>
      </c>
      <c r="D75">
        <f t="shared" si="16"/>
        <v>6</v>
      </c>
      <c r="E75">
        <f t="shared" si="17"/>
        <v>1</v>
      </c>
      <c r="F75" s="10">
        <f t="shared" si="18"/>
        <v>300</v>
      </c>
      <c r="G75" s="10" cm="1">
        <f t="array" ref="G75">ROUND(getParm(Tarifart,"alpha")/(2*Zahlweise)*BeiSum*(C75&lt;2)*E75,2)</f>
        <v>0</v>
      </c>
      <c r="H75" s="10" cm="1">
        <f t="array" ref="H75">ROUND(F75*getParm(Tarifart,"beta")*E75,2)</f>
        <v>15</v>
      </c>
      <c r="I75" s="10" cm="1">
        <f t="array" ref="I75">ROUND(F75*get_Üb(YEAR(A75),$I$8)*E75,2)</f>
        <v>3.6</v>
      </c>
      <c r="J75" s="10">
        <f t="shared" si="21"/>
        <v>15</v>
      </c>
      <c r="K75" s="10">
        <f t="shared" si="22"/>
        <v>288.60000000000002</v>
      </c>
      <c r="L75" s="10" cm="1">
        <f t="array" ref="L75">ROUND(1/12*MAX(MTSum-R75-K75,MRSum)*Act_qx(x+C75,Geschlecht,getParm(Tarifart,"Tafel"),YEAR(GebDat),x+Dauer,1),2)</f>
        <v>4</v>
      </c>
      <c r="M75" s="10" cm="1">
        <f t="array" ref="M75">ROUND(L75*get_Üb(YEAR(A75),$M$8),2)</f>
        <v>0.2</v>
      </c>
      <c r="N75" s="10" cm="1">
        <f t="array" ref="N75">ROUND(R75*getParm(Tarifart,IF(C75&lt;BZDauer,"gamma1","gamma2")),2)</f>
        <v>6.9</v>
      </c>
      <c r="O75" s="10" cm="1">
        <f t="array" ref="O75">ROUND(R75*get_Üb(YEAR(A75),$O$8),2)</f>
        <v>1.73</v>
      </c>
      <c r="P75" s="19">
        <f t="shared" si="23"/>
        <v>3.7378816390999998</v>
      </c>
      <c r="Q75" s="19" cm="1">
        <f t="array" ref="Q75">ROUND(P75+1/getKurs(EDATE(A75,-1))*(K75-L75-N75-getParm(Tarifart,"StK")+M75+O75),10)*(C75&lt;Dauer)</f>
        <v>3.7994278147</v>
      </c>
      <c r="R75" s="10" cm="1">
        <f t="array" ref="R75">ROUND(P75*getKurs($A75),2)</f>
        <v>17258.060000000001</v>
      </c>
      <c r="S75" s="10" cm="1">
        <f t="array" ref="S75">ROUND(Q75*getKurs($A75),2)</f>
        <v>17542.22</v>
      </c>
      <c r="T75" s="10">
        <f t="shared" si="19"/>
        <v>43200</v>
      </c>
      <c r="U75" s="10" cm="1">
        <f t="array" ref="U75">getParm(Tarifart,"StoSatz")*(Dauer-C75)*Beitrag*Zahlweise*(C75&lt;BZDauer)</f>
        <v>1800</v>
      </c>
      <c r="V75" s="10">
        <f t="shared" si="24"/>
        <v>15742.220000000001</v>
      </c>
    </row>
    <row r="76" spans="1:22" x14ac:dyDescent="0.45">
      <c r="A76" s="15">
        <f t="shared" si="25"/>
        <v>38565</v>
      </c>
      <c r="B76">
        <f t="shared" si="15"/>
        <v>67</v>
      </c>
      <c r="C76">
        <f t="shared" si="20"/>
        <v>5</v>
      </c>
      <c r="D76">
        <f t="shared" si="16"/>
        <v>7</v>
      </c>
      <c r="E76">
        <f t="shared" si="17"/>
        <v>1</v>
      </c>
      <c r="F76" s="10">
        <f t="shared" si="18"/>
        <v>300</v>
      </c>
      <c r="G76" s="10" cm="1">
        <f t="array" ref="G76">ROUND(getParm(Tarifart,"alpha")/(2*Zahlweise)*BeiSum*(C76&lt;2)*E76,2)</f>
        <v>0</v>
      </c>
      <c r="H76" s="10" cm="1">
        <f t="array" ref="H76">ROUND(F76*getParm(Tarifart,"beta")*E76,2)</f>
        <v>15</v>
      </c>
      <c r="I76" s="10" cm="1">
        <f t="array" ref="I76">ROUND(F76*get_Üb(YEAR(A76),$I$8)*E76,2)</f>
        <v>3.6</v>
      </c>
      <c r="J76" s="10">
        <f t="shared" si="21"/>
        <v>15</v>
      </c>
      <c r="K76" s="10">
        <f t="shared" si="22"/>
        <v>288.60000000000002</v>
      </c>
      <c r="L76" s="10" cm="1">
        <f t="array" ref="L76">ROUND(1/12*MAX(MTSum-R76-K76,MRSum)*Act_qx(x+C76,Geschlecht,getParm(Tarifart,"Tafel"),YEAR(GebDat),x+Dauer,1),2)</f>
        <v>3.79</v>
      </c>
      <c r="M76" s="10" cm="1">
        <f t="array" ref="M76">ROUND(L76*get_Üb(YEAR(A76),$M$8),2)</f>
        <v>0.19</v>
      </c>
      <c r="N76" s="10" cm="1">
        <f t="array" ref="N76">ROUND(R76*getParm(Tarifart,IF(C76&lt;BZDauer,"gamma1","gamma2")),2)</f>
        <v>7.43</v>
      </c>
      <c r="O76" s="10" cm="1">
        <f t="array" ref="O76">ROUND(R76*get_Üb(YEAR(A76),$O$8),2)</f>
        <v>1.86</v>
      </c>
      <c r="P76" s="19">
        <f t="shared" si="23"/>
        <v>3.7994278147</v>
      </c>
      <c r="Q76" s="19" cm="1">
        <f t="array" ref="Q76">ROUND(P76+1/getKurs(EDATE(A76,-1))*(K76-L76-N76-getParm(Tarifart,"StK")+M76+O76),10)*(C76&lt;Dauer)</f>
        <v>3.8597322935</v>
      </c>
      <c r="R76" s="10" cm="1">
        <f t="array" ref="R76">ROUND(P76*getKurs($A76),2)</f>
        <v>18582.43</v>
      </c>
      <c r="S76" s="10" cm="1">
        <f t="array" ref="S76">ROUND(Q76*getKurs($A76),2)</f>
        <v>18877.37</v>
      </c>
      <c r="T76" s="10">
        <f t="shared" si="19"/>
        <v>43200</v>
      </c>
      <c r="U76" s="10" cm="1">
        <f t="array" ref="U76">getParm(Tarifart,"StoSatz")*(Dauer-C76)*Beitrag*Zahlweise*(C76&lt;BZDauer)</f>
        <v>1800</v>
      </c>
      <c r="V76" s="10">
        <f t="shared" si="24"/>
        <v>17077.37</v>
      </c>
    </row>
    <row r="77" spans="1:22" x14ac:dyDescent="0.45">
      <c r="A77" s="15">
        <f t="shared" si="25"/>
        <v>38596</v>
      </c>
      <c r="B77">
        <f t="shared" si="15"/>
        <v>68</v>
      </c>
      <c r="C77">
        <f t="shared" si="20"/>
        <v>5</v>
      </c>
      <c r="D77">
        <f t="shared" si="16"/>
        <v>8</v>
      </c>
      <c r="E77">
        <f t="shared" si="17"/>
        <v>1</v>
      </c>
      <c r="F77" s="10">
        <f t="shared" si="18"/>
        <v>300</v>
      </c>
      <c r="G77" s="10" cm="1">
        <f t="array" ref="G77">ROUND(getParm(Tarifart,"alpha")/(2*Zahlweise)*BeiSum*(C77&lt;2)*E77,2)</f>
        <v>0</v>
      </c>
      <c r="H77" s="10" cm="1">
        <f t="array" ref="H77">ROUND(F77*getParm(Tarifart,"beta")*E77,2)</f>
        <v>15</v>
      </c>
      <c r="I77" s="10" cm="1">
        <f t="array" ref="I77">ROUND(F77*get_Üb(YEAR(A77),$I$8)*E77,2)</f>
        <v>3.6</v>
      </c>
      <c r="J77" s="10">
        <f t="shared" si="21"/>
        <v>15</v>
      </c>
      <c r="K77" s="10">
        <f t="shared" si="22"/>
        <v>288.60000000000002</v>
      </c>
      <c r="L77" s="10" cm="1">
        <f t="array" ref="L77">ROUND(1/12*MAX(MTSum-R77-K77,MRSum)*Act_qx(x+C77,Geschlecht,getParm(Tarifart,"Tafel"),YEAR(GebDat),x+Dauer,1),2)</f>
        <v>3.77</v>
      </c>
      <c r="M77" s="10" cm="1">
        <f t="array" ref="M77">ROUND(L77*get_Üb(YEAR(A77),$M$8),2)</f>
        <v>0.19</v>
      </c>
      <c r="N77" s="10" cm="1">
        <f t="array" ref="N77">ROUND(R77*getParm(Tarifart,IF(C77&lt;BZDauer,"gamma1","gamma2")),2)</f>
        <v>7.48</v>
      </c>
      <c r="O77" s="10" cm="1">
        <f t="array" ref="O77">ROUND(R77*get_Üb(YEAR(A77),$O$8),2)</f>
        <v>1.87</v>
      </c>
      <c r="P77" s="19">
        <f t="shared" si="23"/>
        <v>3.8597322935</v>
      </c>
      <c r="Q77" s="19" cm="1">
        <f t="array" ref="Q77">ROUND(P77+1/getKurs(EDATE(A77,-1))*(K77-L77-N77-getParm(Tarifart,"StK")+M77+O77),10)*(C77&lt;Dauer)</f>
        <v>3.9166569589</v>
      </c>
      <c r="R77" s="10" cm="1">
        <f t="array" ref="R77">ROUND(P77*getKurs($A77),2)</f>
        <v>18692.45</v>
      </c>
      <c r="S77" s="10" cm="1">
        <f t="array" ref="S77">ROUND(Q77*getKurs($A77),2)</f>
        <v>18968.13</v>
      </c>
      <c r="T77" s="10">
        <f t="shared" si="19"/>
        <v>43200</v>
      </c>
      <c r="U77" s="10" cm="1">
        <f t="array" ref="U77">getParm(Tarifart,"StoSatz")*(Dauer-C77)*Beitrag*Zahlweise*(C77&lt;BZDauer)</f>
        <v>1800</v>
      </c>
      <c r="V77" s="10">
        <f t="shared" si="24"/>
        <v>17168.13</v>
      </c>
    </row>
    <row r="78" spans="1:22" x14ac:dyDescent="0.45">
      <c r="A78" s="15">
        <f t="shared" si="25"/>
        <v>38626</v>
      </c>
      <c r="B78">
        <f t="shared" si="15"/>
        <v>69</v>
      </c>
      <c r="C78">
        <f t="shared" si="20"/>
        <v>5</v>
      </c>
      <c r="D78">
        <f t="shared" si="16"/>
        <v>9</v>
      </c>
      <c r="E78">
        <f t="shared" si="17"/>
        <v>1</v>
      </c>
      <c r="F78" s="10">
        <f t="shared" si="18"/>
        <v>300</v>
      </c>
      <c r="G78" s="10" cm="1">
        <f t="array" ref="G78">ROUND(getParm(Tarifart,"alpha")/(2*Zahlweise)*BeiSum*(C78&lt;2)*E78,2)</f>
        <v>0</v>
      </c>
      <c r="H78" s="10" cm="1">
        <f t="array" ref="H78">ROUND(F78*getParm(Tarifart,"beta")*E78,2)</f>
        <v>15</v>
      </c>
      <c r="I78" s="10" cm="1">
        <f t="array" ref="I78">ROUND(F78*get_Üb(YEAR(A78),$I$8)*E78,2)</f>
        <v>3.6</v>
      </c>
      <c r="J78" s="10">
        <f t="shared" si="21"/>
        <v>15</v>
      </c>
      <c r="K78" s="10">
        <f t="shared" si="22"/>
        <v>288.60000000000002</v>
      </c>
      <c r="L78" s="10" cm="1">
        <f t="array" ref="L78">ROUND(1/12*MAX(MTSum-R78-K78,MRSum)*Act_qx(x+C78,Geschlecht,getParm(Tarifart,"Tafel"),YEAR(GebDat),x+Dauer,1),2)</f>
        <v>3.58</v>
      </c>
      <c r="M78" s="10" cm="1">
        <f t="array" ref="M78">ROUND(L78*get_Üb(YEAR(A78),$M$8),2)</f>
        <v>0.18</v>
      </c>
      <c r="N78" s="10" cm="1">
        <f t="array" ref="N78">ROUND(R78*getParm(Tarifart,IF(C78&lt;BZDauer,"gamma1","gamma2")),2)</f>
        <v>7.96</v>
      </c>
      <c r="O78" s="10" cm="1">
        <f t="array" ref="O78">ROUND(R78*get_Üb(YEAR(A78),$O$8),2)</f>
        <v>1.99</v>
      </c>
      <c r="P78" s="19">
        <f t="shared" si="23"/>
        <v>3.9166569589</v>
      </c>
      <c r="Q78" s="19" cm="1">
        <f t="array" ref="Q78">ROUND(P78+1/getKurs(EDATE(A78,-1))*(K78-L78-N78-getParm(Tarifart,"StK")+M78+O78),10)*(C78&lt;Dauer)</f>
        <v>3.9741075983999998</v>
      </c>
      <c r="R78" s="10" cm="1">
        <f t="array" ref="R78">ROUND(P78*getKurs($A78),2)</f>
        <v>19904.72</v>
      </c>
      <c r="S78" s="10" cm="1">
        <f t="array" ref="S78">ROUND(Q78*getKurs($A78),2)</f>
        <v>20196.689999999999</v>
      </c>
      <c r="T78" s="10">
        <f t="shared" si="19"/>
        <v>43200</v>
      </c>
      <c r="U78" s="10" cm="1">
        <f t="array" ref="U78">getParm(Tarifart,"StoSatz")*(Dauer-C78)*Beitrag*Zahlweise*(C78&lt;BZDauer)</f>
        <v>1800</v>
      </c>
      <c r="V78" s="10">
        <f t="shared" si="24"/>
        <v>18396.689999999999</v>
      </c>
    </row>
    <row r="79" spans="1:22" x14ac:dyDescent="0.45">
      <c r="A79" s="15">
        <f t="shared" si="25"/>
        <v>38657</v>
      </c>
      <c r="B79">
        <f t="shared" si="15"/>
        <v>70</v>
      </c>
      <c r="C79">
        <f t="shared" si="20"/>
        <v>5</v>
      </c>
      <c r="D79">
        <f t="shared" si="16"/>
        <v>10</v>
      </c>
      <c r="E79">
        <f t="shared" si="17"/>
        <v>1</v>
      </c>
      <c r="F79" s="10">
        <f t="shared" si="18"/>
        <v>300</v>
      </c>
      <c r="G79" s="10" cm="1">
        <f t="array" ref="G79">ROUND(getParm(Tarifart,"alpha")/(2*Zahlweise)*BeiSum*(C79&lt;2)*E79,2)</f>
        <v>0</v>
      </c>
      <c r="H79" s="10" cm="1">
        <f t="array" ref="H79">ROUND(F79*getParm(Tarifart,"beta")*E79,2)</f>
        <v>15</v>
      </c>
      <c r="I79" s="10" cm="1">
        <f t="array" ref="I79">ROUND(F79*get_Üb(YEAR(A79),$I$8)*E79,2)</f>
        <v>3.6</v>
      </c>
      <c r="J79" s="10">
        <f t="shared" si="21"/>
        <v>15</v>
      </c>
      <c r="K79" s="10">
        <f t="shared" si="22"/>
        <v>288.60000000000002</v>
      </c>
      <c r="L79" s="10" cm="1">
        <f t="array" ref="L79">ROUND(1/12*MAX(MTSum-R79-K79,MRSum)*Act_qx(x+C79,Geschlecht,getParm(Tarifart,"Tafel"),YEAR(GebDat),x+Dauer,1),2)</f>
        <v>3.64</v>
      </c>
      <c r="M79" s="10" cm="1">
        <f t="array" ref="M79">ROUND(L79*get_Üb(YEAR(A79),$M$8),2)</f>
        <v>0.18</v>
      </c>
      <c r="N79" s="10" cm="1">
        <f t="array" ref="N79">ROUND(R79*getParm(Tarifart,IF(C79&lt;BZDauer,"gamma1","gamma2")),2)</f>
        <v>7.83</v>
      </c>
      <c r="O79" s="10" cm="1">
        <f t="array" ref="O79">ROUND(R79*get_Üb(YEAR(A79),$O$8),2)</f>
        <v>1.96</v>
      </c>
      <c r="P79" s="19">
        <f t="shared" si="23"/>
        <v>3.9741075983999998</v>
      </c>
      <c r="Q79" s="19" cm="1">
        <f t="array" ref="Q79">ROUND(P79+1/getKurs(EDATE(A79,-1))*(K79-L79-N79-getParm(Tarifart,"StK")+M79+O79),10)*(C79&lt;Dauer)</f>
        <v>4.0288628458</v>
      </c>
      <c r="R79" s="10" cm="1">
        <f t="array" ref="R79">ROUND(P79*getKurs($A79),2)</f>
        <v>19562.740000000002</v>
      </c>
      <c r="S79" s="10" cm="1">
        <f t="array" ref="S79">ROUND(Q79*getKurs($A79),2)</f>
        <v>19832.28</v>
      </c>
      <c r="T79" s="10">
        <f t="shared" si="19"/>
        <v>43200</v>
      </c>
      <c r="U79" s="10" cm="1">
        <f t="array" ref="U79">getParm(Tarifart,"StoSatz")*(Dauer-C79)*Beitrag*Zahlweise*(C79&lt;BZDauer)</f>
        <v>1800</v>
      </c>
      <c r="V79" s="10">
        <f t="shared" si="24"/>
        <v>18032.28</v>
      </c>
    </row>
    <row r="80" spans="1:22" x14ac:dyDescent="0.45">
      <c r="A80" s="15">
        <f t="shared" si="25"/>
        <v>38687</v>
      </c>
      <c r="B80">
        <f t="shared" si="15"/>
        <v>71</v>
      </c>
      <c r="C80">
        <f t="shared" si="20"/>
        <v>5</v>
      </c>
      <c r="D80">
        <f t="shared" si="16"/>
        <v>11</v>
      </c>
      <c r="E80">
        <f t="shared" si="17"/>
        <v>1</v>
      </c>
      <c r="F80" s="10">
        <f t="shared" si="18"/>
        <v>300</v>
      </c>
      <c r="G80" s="10" cm="1">
        <f t="array" ref="G80">ROUND(getParm(Tarifart,"alpha")/(2*Zahlweise)*BeiSum*(C80&lt;2)*E80,2)</f>
        <v>0</v>
      </c>
      <c r="H80" s="10" cm="1">
        <f t="array" ref="H80">ROUND(F80*getParm(Tarifart,"beta")*E80,2)</f>
        <v>15</v>
      </c>
      <c r="I80" s="10" cm="1">
        <f t="array" ref="I80">ROUND(F80*get_Üb(YEAR(A80),$I$8)*E80,2)</f>
        <v>3.6</v>
      </c>
      <c r="J80" s="10">
        <f t="shared" si="21"/>
        <v>15</v>
      </c>
      <c r="K80" s="10">
        <f t="shared" si="22"/>
        <v>288.60000000000002</v>
      </c>
      <c r="L80" s="10" cm="1">
        <f t="array" ref="L80">ROUND(1/12*MAX(MTSum-R80-K80,MRSum)*Act_qx(x+C80,Geschlecht,getParm(Tarifart,"Tafel"),YEAR(GebDat),x+Dauer,1),2)</f>
        <v>3.38</v>
      </c>
      <c r="M80" s="10" cm="1">
        <f t="array" ref="M80">ROUND(L80*get_Üb(YEAR(A80),$M$8),2)</f>
        <v>0.17</v>
      </c>
      <c r="N80" s="10" cm="1">
        <f t="array" ref="N80">ROUND(R80*getParm(Tarifart,IF(C80&lt;BZDauer,"gamma1","gamma2")),2)</f>
        <v>8.49</v>
      </c>
      <c r="O80" s="10" cm="1">
        <f t="array" ref="O80">ROUND(R80*get_Üb(YEAR(A80),$O$8),2)</f>
        <v>2.12</v>
      </c>
      <c r="P80" s="19">
        <f t="shared" si="23"/>
        <v>4.0288628458</v>
      </c>
      <c r="Q80" s="19" cm="1">
        <f t="array" ref="Q80">ROUND(P80+1/getKurs(EDATE(A80,-1))*(K80-L80-N80-getParm(Tarifart,"StK")+M80+O80),10)*(C80&lt;Dauer)</f>
        <v>4.0853417033000001</v>
      </c>
      <c r="R80" s="10" cm="1">
        <f t="array" ref="R80">ROUND(P80*getKurs($A80),2)</f>
        <v>21218.21</v>
      </c>
      <c r="S80" s="10" cm="1">
        <f t="array" ref="S80">ROUND(Q80*getKurs($A80),2)</f>
        <v>21515.66</v>
      </c>
      <c r="T80" s="10">
        <f t="shared" si="19"/>
        <v>43200</v>
      </c>
      <c r="U80" s="10" cm="1">
        <f t="array" ref="U80">getParm(Tarifart,"StoSatz")*(Dauer-C80)*Beitrag*Zahlweise*(C80&lt;BZDauer)</f>
        <v>1800</v>
      </c>
      <c r="V80" s="10">
        <f t="shared" si="24"/>
        <v>19715.66</v>
      </c>
    </row>
    <row r="81" spans="1:22" x14ac:dyDescent="0.45">
      <c r="A81" s="15">
        <f t="shared" si="25"/>
        <v>38718</v>
      </c>
      <c r="B81">
        <f t="shared" si="15"/>
        <v>72</v>
      </c>
      <c r="C81">
        <f t="shared" si="20"/>
        <v>6</v>
      </c>
      <c r="D81">
        <f t="shared" si="16"/>
        <v>0</v>
      </c>
      <c r="E81">
        <f t="shared" si="17"/>
        <v>1</v>
      </c>
      <c r="F81" s="10">
        <f t="shared" si="18"/>
        <v>300</v>
      </c>
      <c r="G81" s="10" cm="1">
        <f t="array" ref="G81">ROUND(getParm(Tarifart,"alpha")/(2*Zahlweise)*BeiSum*(C81&lt;2)*E81,2)</f>
        <v>0</v>
      </c>
      <c r="H81" s="10" cm="1">
        <f t="array" ref="H81">ROUND(F81*getParm(Tarifart,"beta")*E81,2)</f>
        <v>15</v>
      </c>
      <c r="I81" s="10" cm="1">
        <f t="array" ref="I81">ROUND(F81*get_Üb(YEAR(A81),$I$8)*E81,2)</f>
        <v>3.6</v>
      </c>
      <c r="J81" s="10">
        <f t="shared" si="21"/>
        <v>15</v>
      </c>
      <c r="K81" s="10">
        <f t="shared" si="22"/>
        <v>288.60000000000002</v>
      </c>
      <c r="L81" s="10" cm="1">
        <f t="array" ref="L81">ROUND(1/12*MAX(MTSum-R81-K81,MRSum)*Act_qx(x+C81,Geschlecht,getParm(Tarifart,"Tafel"),YEAR(GebDat),x+Dauer,1),2)</f>
        <v>3.45</v>
      </c>
      <c r="M81" s="10" cm="1">
        <f t="array" ref="M81">ROUND(L81*get_Üb(YEAR(A81),$M$8),2)</f>
        <v>0.17</v>
      </c>
      <c r="N81" s="10" cm="1">
        <f t="array" ref="N81">ROUND(R81*getParm(Tarifart,IF(C81&lt;BZDauer,"gamma1","gamma2")),2)</f>
        <v>8.91</v>
      </c>
      <c r="O81" s="10" cm="1">
        <f t="array" ref="O81">ROUND(R81*get_Üb(YEAR(A81),$O$8),2)</f>
        <v>2.23</v>
      </c>
      <c r="P81" s="19">
        <f t="shared" si="23"/>
        <v>4.0853417033000001</v>
      </c>
      <c r="Q81" s="19" cm="1">
        <f t="array" ref="Q81">ROUND(P81+1/getKurs(EDATE(A81,-1))*(K81-L81-N81-getParm(Tarifart,"StK")+M81+O81),10)*(C81&lt;Dauer)</f>
        <v>4.1380593267999997</v>
      </c>
      <c r="R81" s="10" cm="1">
        <f t="array" ref="R81">ROUND(P81*getKurs($A81),2)</f>
        <v>22265.03</v>
      </c>
      <c r="S81" s="10" cm="1">
        <f t="array" ref="S81">ROUND(Q81*getKurs($A81),2)</f>
        <v>22552.34</v>
      </c>
      <c r="T81" s="10">
        <f t="shared" si="19"/>
        <v>43200</v>
      </c>
      <c r="U81" s="10" cm="1">
        <f t="array" ref="U81">getParm(Tarifart,"StoSatz")*(Dauer-C81)*Beitrag*Zahlweise*(C81&lt;BZDauer)</f>
        <v>1728</v>
      </c>
      <c r="V81" s="10">
        <f t="shared" si="24"/>
        <v>20824.34</v>
      </c>
    </row>
    <row r="82" spans="1:22" x14ac:dyDescent="0.45">
      <c r="A82" s="15">
        <f t="shared" si="25"/>
        <v>38749</v>
      </c>
      <c r="B82">
        <f t="shared" si="15"/>
        <v>73</v>
      </c>
      <c r="C82">
        <f t="shared" si="20"/>
        <v>6</v>
      </c>
      <c r="D82">
        <f t="shared" si="16"/>
        <v>1</v>
      </c>
      <c r="E82">
        <f t="shared" si="17"/>
        <v>1</v>
      </c>
      <c r="F82" s="10">
        <f t="shared" si="18"/>
        <v>300</v>
      </c>
      <c r="G82" s="10" cm="1">
        <f t="array" ref="G82">ROUND(getParm(Tarifart,"alpha")/(2*Zahlweise)*BeiSum*(C82&lt;2)*E82,2)</f>
        <v>0</v>
      </c>
      <c r="H82" s="10" cm="1">
        <f t="array" ref="H82">ROUND(F82*getParm(Tarifart,"beta")*E82,2)</f>
        <v>15</v>
      </c>
      <c r="I82" s="10" cm="1">
        <f t="array" ref="I82">ROUND(F82*get_Üb(YEAR(A82),$I$8)*E82,2)</f>
        <v>3.6</v>
      </c>
      <c r="J82" s="10">
        <f t="shared" si="21"/>
        <v>15</v>
      </c>
      <c r="K82" s="10">
        <f t="shared" si="22"/>
        <v>288.60000000000002</v>
      </c>
      <c r="L82" s="10" cm="1">
        <f t="array" ref="L82">ROUND(1/12*MAX(MTSum-R82-K82,MRSum)*Act_qx(x+C82,Geschlecht,getParm(Tarifart,"Tafel"),YEAR(GebDat),x+Dauer,1),2)</f>
        <v>3.21</v>
      </c>
      <c r="M82" s="10" cm="1">
        <f t="array" ref="M82">ROUND(L82*get_Üb(YEAR(A82),$M$8),2)</f>
        <v>0.16</v>
      </c>
      <c r="N82" s="10" cm="1">
        <f t="array" ref="N82">ROUND(R82*getParm(Tarifart,IF(C82&lt;BZDauer,"gamma1","gamma2")),2)</f>
        <v>9.48</v>
      </c>
      <c r="O82" s="10" cm="1">
        <f t="array" ref="O82">ROUND(R82*get_Üb(YEAR(A82),$O$8),2)</f>
        <v>2.37</v>
      </c>
      <c r="P82" s="19">
        <f t="shared" si="23"/>
        <v>4.1380593267999997</v>
      </c>
      <c r="Q82" s="19" cm="1">
        <f t="array" ref="Q82">ROUND(P82+1/getKurs(EDATE(A82,-1))*(K82-L82-N82-getParm(Tarifart,"StK")+M82+O82),10)*(C82&lt;Dauer)</f>
        <v>4.1889659355999997</v>
      </c>
      <c r="R82" s="10" cm="1">
        <f t="array" ref="R82">ROUND(P82*getKurs($A82),2)</f>
        <v>23696.720000000001</v>
      </c>
      <c r="S82" s="10" cm="1">
        <f t="array" ref="S82">ROUND(Q82*getKurs($A82),2)</f>
        <v>23988.240000000002</v>
      </c>
      <c r="T82" s="10">
        <f t="shared" si="19"/>
        <v>43200</v>
      </c>
      <c r="U82" s="10" cm="1">
        <f t="array" ref="U82">getParm(Tarifart,"StoSatz")*(Dauer-C82)*Beitrag*Zahlweise*(C82&lt;BZDauer)</f>
        <v>1728</v>
      </c>
      <c r="V82" s="10">
        <f t="shared" si="24"/>
        <v>22260.240000000002</v>
      </c>
    </row>
    <row r="83" spans="1:22" x14ac:dyDescent="0.45">
      <c r="A83" s="15">
        <f t="shared" si="25"/>
        <v>38777</v>
      </c>
      <c r="B83">
        <f t="shared" si="15"/>
        <v>74</v>
      </c>
      <c r="C83">
        <f t="shared" si="20"/>
        <v>6</v>
      </c>
      <c r="D83">
        <f t="shared" si="16"/>
        <v>2</v>
      </c>
      <c r="E83">
        <f t="shared" si="17"/>
        <v>1</v>
      </c>
      <c r="F83" s="10">
        <f t="shared" si="18"/>
        <v>300</v>
      </c>
      <c r="G83" s="10" cm="1">
        <f t="array" ref="G83">ROUND(getParm(Tarifart,"alpha")/(2*Zahlweise)*BeiSum*(C83&lt;2)*E83,2)</f>
        <v>0</v>
      </c>
      <c r="H83" s="10" cm="1">
        <f t="array" ref="H83">ROUND(F83*getParm(Tarifart,"beta")*E83,2)</f>
        <v>15</v>
      </c>
      <c r="I83" s="10" cm="1">
        <f t="array" ref="I83">ROUND(F83*get_Üb(YEAR(A83),$I$8)*E83,2)</f>
        <v>3.6</v>
      </c>
      <c r="J83" s="10">
        <f t="shared" si="21"/>
        <v>15</v>
      </c>
      <c r="K83" s="10">
        <f t="shared" si="22"/>
        <v>288.60000000000002</v>
      </c>
      <c r="L83" s="10" cm="1">
        <f t="array" ref="L83">ROUND(1/12*MAX(MTSum-R83-K83,MRSum)*Act_qx(x+C83,Geschlecht,getParm(Tarifart,"Tafel"),YEAR(GebDat),x+Dauer,1),2)</f>
        <v>3.07</v>
      </c>
      <c r="M83" s="10" cm="1">
        <f t="array" ref="M83">ROUND(L83*get_Üb(YEAR(A83),$M$8),2)</f>
        <v>0.15</v>
      </c>
      <c r="N83" s="10" cm="1">
        <f t="array" ref="N83">ROUND(R83*getParm(Tarifart,IF(C83&lt;BZDauer,"gamma1","gamma2")),2)</f>
        <v>9.83</v>
      </c>
      <c r="O83" s="10" cm="1">
        <f t="array" ref="O83">ROUND(R83*get_Üb(YEAR(A83),$O$8),2)</f>
        <v>2.46</v>
      </c>
      <c r="P83" s="19">
        <f t="shared" si="23"/>
        <v>4.1889659355999997</v>
      </c>
      <c r="Q83" s="19" cm="1">
        <f t="array" ref="Q83">ROUND(P83+1/getKurs(EDATE(A83,-1))*(K83-L83-N83-getParm(Tarifart,"StK")+M83+O83),10)*(C83&lt;Dauer)</f>
        <v>4.2373914219</v>
      </c>
      <c r="R83" s="10" cm="1">
        <f t="array" ref="R83">ROUND(P83*getKurs($A83),2)</f>
        <v>24575.03</v>
      </c>
      <c r="S83" s="10" cm="1">
        <f t="array" ref="S83">ROUND(Q83*getKurs($A83),2)</f>
        <v>24859.119999999999</v>
      </c>
      <c r="T83" s="10">
        <f t="shared" si="19"/>
        <v>43200</v>
      </c>
      <c r="U83" s="10" cm="1">
        <f t="array" ref="U83">getParm(Tarifart,"StoSatz")*(Dauer-C83)*Beitrag*Zahlweise*(C83&lt;BZDauer)</f>
        <v>1728</v>
      </c>
      <c r="V83" s="10">
        <f t="shared" si="24"/>
        <v>23131.119999999999</v>
      </c>
    </row>
    <row r="84" spans="1:22" x14ac:dyDescent="0.45">
      <c r="A84" s="15">
        <f t="shared" si="25"/>
        <v>38808</v>
      </c>
      <c r="B84">
        <f t="shared" si="15"/>
        <v>75</v>
      </c>
      <c r="C84">
        <f t="shared" si="20"/>
        <v>6</v>
      </c>
      <c r="D84">
        <f t="shared" si="16"/>
        <v>3</v>
      </c>
      <c r="E84">
        <f t="shared" si="17"/>
        <v>1</v>
      </c>
      <c r="F84" s="10">
        <f t="shared" si="18"/>
        <v>300</v>
      </c>
      <c r="G84" s="10" cm="1">
        <f t="array" ref="G84">ROUND(getParm(Tarifart,"alpha")/(2*Zahlweise)*BeiSum*(C84&lt;2)*E84,2)</f>
        <v>0</v>
      </c>
      <c r="H84" s="10" cm="1">
        <f t="array" ref="H84">ROUND(F84*getParm(Tarifart,"beta")*E84,2)</f>
        <v>15</v>
      </c>
      <c r="I84" s="10" cm="1">
        <f t="array" ref="I84">ROUND(F84*get_Üb(YEAR(A84),$I$8)*E84,2)</f>
        <v>3.6</v>
      </c>
      <c r="J84" s="10">
        <f t="shared" si="21"/>
        <v>15</v>
      </c>
      <c r="K84" s="10">
        <f t="shared" si="22"/>
        <v>288.60000000000002</v>
      </c>
      <c r="L84" s="10" cm="1">
        <f t="array" ref="L84">ROUND(1/12*MAX(MTSum-R84-K84,MRSum)*Act_qx(x+C84,Geschlecht,getParm(Tarifart,"Tafel"),YEAR(GebDat),x+Dauer,1),2)</f>
        <v>2.91</v>
      </c>
      <c r="M84" s="10" cm="1">
        <f t="array" ref="M84">ROUND(L84*get_Üb(YEAR(A84),$M$8),2)</f>
        <v>0.15</v>
      </c>
      <c r="N84" s="10" cm="1">
        <f t="array" ref="N84">ROUND(R84*getParm(Tarifart,IF(C84&lt;BZDauer,"gamma1","gamma2")),2)</f>
        <v>10.210000000000001</v>
      </c>
      <c r="O84" s="10" cm="1">
        <f t="array" ref="O84">ROUND(R84*get_Üb(YEAR(A84),$O$8),2)</f>
        <v>2.5499999999999998</v>
      </c>
      <c r="P84" s="19">
        <f t="shared" si="23"/>
        <v>4.2373914219</v>
      </c>
      <c r="Q84" s="19" cm="1">
        <f t="array" ref="Q84">ROUND(P84+1/getKurs(EDATE(A84,-1))*(K84-L84-N84-getParm(Tarifart,"StK")+M84+O84),10)*(C84&lt;Dauer)</f>
        <v>4.2846384691999999</v>
      </c>
      <c r="R84" s="10" cm="1">
        <f t="array" ref="R84">ROUND(P84*getKurs($A84),2)</f>
        <v>25526.26</v>
      </c>
      <c r="S84" s="10" cm="1">
        <f t="array" ref="S84">ROUND(Q84*getKurs($A84),2)</f>
        <v>25810.880000000001</v>
      </c>
      <c r="T84" s="10">
        <f t="shared" si="19"/>
        <v>43200</v>
      </c>
      <c r="U84" s="10" cm="1">
        <f t="array" ref="U84">getParm(Tarifart,"StoSatz")*(Dauer-C84)*Beitrag*Zahlweise*(C84&lt;BZDauer)</f>
        <v>1728</v>
      </c>
      <c r="V84" s="10">
        <f t="shared" si="24"/>
        <v>24082.880000000001</v>
      </c>
    </row>
    <row r="85" spans="1:22" x14ac:dyDescent="0.45">
      <c r="A85" s="15">
        <f t="shared" si="25"/>
        <v>38838</v>
      </c>
      <c r="B85">
        <f t="shared" si="15"/>
        <v>76</v>
      </c>
      <c r="C85">
        <f t="shared" si="20"/>
        <v>6</v>
      </c>
      <c r="D85">
        <f t="shared" si="16"/>
        <v>4</v>
      </c>
      <c r="E85">
        <f t="shared" si="17"/>
        <v>1</v>
      </c>
      <c r="F85" s="10">
        <f t="shared" si="18"/>
        <v>300</v>
      </c>
      <c r="G85" s="10" cm="1">
        <f t="array" ref="G85">ROUND(getParm(Tarifart,"alpha")/(2*Zahlweise)*BeiSum*(C85&lt;2)*E85,2)</f>
        <v>0</v>
      </c>
      <c r="H85" s="10" cm="1">
        <f t="array" ref="H85">ROUND(F85*getParm(Tarifart,"beta")*E85,2)</f>
        <v>15</v>
      </c>
      <c r="I85" s="10" cm="1">
        <f t="array" ref="I85">ROUND(F85*get_Üb(YEAR(A85),$I$8)*E85,2)</f>
        <v>3.6</v>
      </c>
      <c r="J85" s="10">
        <f t="shared" si="21"/>
        <v>15</v>
      </c>
      <c r="K85" s="10">
        <f t="shared" si="22"/>
        <v>288.60000000000002</v>
      </c>
      <c r="L85" s="10" cm="1">
        <f t="array" ref="L85">ROUND(1/12*MAX(MTSum-R85-K85,MRSum)*Act_qx(x+C85,Geschlecht,getParm(Tarifart,"Tafel"),YEAR(GebDat),x+Dauer,1),2)</f>
        <v>2.84</v>
      </c>
      <c r="M85" s="10" cm="1">
        <f t="array" ref="M85">ROUND(L85*get_Üb(YEAR(A85),$M$8),2)</f>
        <v>0.14000000000000001</v>
      </c>
      <c r="N85" s="10" cm="1">
        <f t="array" ref="N85">ROUND(R85*getParm(Tarifart,IF(C85&lt;BZDauer,"gamma1","gamma2")),2)</f>
        <v>10.37</v>
      </c>
      <c r="O85" s="10" cm="1">
        <f t="array" ref="O85">ROUND(R85*get_Üb(YEAR(A85),$O$8),2)</f>
        <v>2.59</v>
      </c>
      <c r="P85" s="19">
        <f t="shared" si="23"/>
        <v>4.2846384691999999</v>
      </c>
      <c r="Q85" s="19" cm="1">
        <f t="array" ref="Q85">ROUND(P85+1/getKurs(EDATE(A85,-1))*(K85-L85-N85-getParm(Tarifart,"StK")+M85+O85),10)*(C85&lt;Dauer)</f>
        <v>4.3306407434</v>
      </c>
      <c r="R85" s="10" cm="1">
        <f t="array" ref="R85">ROUND(P85*getKurs($A85),2)</f>
        <v>25927.59</v>
      </c>
      <c r="S85" s="10" cm="1">
        <f t="array" ref="S85">ROUND(Q85*getKurs($A85),2)</f>
        <v>26205.96</v>
      </c>
      <c r="T85" s="10">
        <f t="shared" si="19"/>
        <v>43200</v>
      </c>
      <c r="U85" s="10" cm="1">
        <f t="array" ref="U85">getParm(Tarifart,"StoSatz")*(Dauer-C85)*Beitrag*Zahlweise*(C85&lt;BZDauer)</f>
        <v>1728</v>
      </c>
      <c r="V85" s="10">
        <f t="shared" si="24"/>
        <v>24477.96</v>
      </c>
    </row>
    <row r="86" spans="1:22" x14ac:dyDescent="0.45">
      <c r="A86" s="15">
        <f t="shared" si="25"/>
        <v>38869</v>
      </c>
      <c r="B86">
        <f t="shared" si="15"/>
        <v>77</v>
      </c>
      <c r="C86">
        <f t="shared" si="20"/>
        <v>6</v>
      </c>
      <c r="D86">
        <f t="shared" si="16"/>
        <v>5</v>
      </c>
      <c r="E86">
        <f t="shared" si="17"/>
        <v>1</v>
      </c>
      <c r="F86" s="10">
        <f t="shared" si="18"/>
        <v>300</v>
      </c>
      <c r="G86" s="10" cm="1">
        <f t="array" ref="G86">ROUND(getParm(Tarifart,"alpha")/(2*Zahlweise)*BeiSum*(C86&lt;2)*E86,2)</f>
        <v>0</v>
      </c>
      <c r="H86" s="10" cm="1">
        <f t="array" ref="H86">ROUND(F86*getParm(Tarifart,"beta")*E86,2)</f>
        <v>15</v>
      </c>
      <c r="I86" s="10" cm="1">
        <f t="array" ref="I86">ROUND(F86*get_Üb(YEAR(A86),$I$8)*E86,2)</f>
        <v>3.6</v>
      </c>
      <c r="J86" s="10">
        <f t="shared" si="21"/>
        <v>15</v>
      </c>
      <c r="K86" s="10">
        <f t="shared" si="22"/>
        <v>288.60000000000002</v>
      </c>
      <c r="L86" s="10" cm="1">
        <f t="array" ref="L86">ROUND(1/12*MAX(MTSum-R86-K86,MRSum)*Act_qx(x+C86,Geschlecht,getParm(Tarifart,"Tafel"),YEAR(GebDat),x+Dauer,1),2)</f>
        <v>3.04</v>
      </c>
      <c r="M86" s="10" cm="1">
        <f t="array" ref="M86">ROUND(L86*get_Üb(YEAR(A86),$M$8),2)</f>
        <v>0.15</v>
      </c>
      <c r="N86" s="10" cm="1">
        <f t="array" ref="N86">ROUND(R86*getParm(Tarifart,IF(C86&lt;BZDauer,"gamma1","gamma2")),2)</f>
        <v>9.89</v>
      </c>
      <c r="O86" s="10" cm="1">
        <f t="array" ref="O86">ROUND(R86*get_Üb(YEAR(A86),$O$8),2)</f>
        <v>2.4700000000000002</v>
      </c>
      <c r="P86" s="19">
        <f t="shared" si="23"/>
        <v>4.3306407434</v>
      </c>
      <c r="Q86" s="19" cm="1">
        <f t="array" ref="Q86">ROUND(P86+1/getKurs(EDATE(A86,-1))*(K86-L86-N86-getParm(Tarifart,"StK")+M86+O86),10)*(C86&lt;Dauer)</f>
        <v>4.3764640307000002</v>
      </c>
      <c r="R86" s="10" cm="1">
        <f t="array" ref="R86">ROUND(P86*getKurs($A86),2)</f>
        <v>24717.52</v>
      </c>
      <c r="S86" s="10" cm="1">
        <f t="array" ref="S86">ROUND(Q86*getKurs($A86),2)</f>
        <v>24979.06</v>
      </c>
      <c r="T86" s="10">
        <f t="shared" si="19"/>
        <v>43200</v>
      </c>
      <c r="U86" s="10" cm="1">
        <f t="array" ref="U86">getParm(Tarifart,"StoSatz")*(Dauer-C86)*Beitrag*Zahlweise*(C86&lt;BZDauer)</f>
        <v>1728</v>
      </c>
      <c r="V86" s="10">
        <f t="shared" si="24"/>
        <v>23251.06</v>
      </c>
    </row>
    <row r="87" spans="1:22" x14ac:dyDescent="0.45">
      <c r="A87" s="15">
        <f t="shared" si="25"/>
        <v>38899</v>
      </c>
      <c r="B87">
        <f t="shared" si="15"/>
        <v>78</v>
      </c>
      <c r="C87">
        <f t="shared" si="20"/>
        <v>6</v>
      </c>
      <c r="D87">
        <f t="shared" si="16"/>
        <v>6</v>
      </c>
      <c r="E87">
        <f t="shared" si="17"/>
        <v>1</v>
      </c>
      <c r="F87" s="10">
        <f t="shared" si="18"/>
        <v>300</v>
      </c>
      <c r="G87" s="10" cm="1">
        <f t="array" ref="G87">ROUND(getParm(Tarifart,"alpha")/(2*Zahlweise)*BeiSum*(C87&lt;2)*E87,2)</f>
        <v>0</v>
      </c>
      <c r="H87" s="10" cm="1">
        <f t="array" ref="H87">ROUND(F87*getParm(Tarifart,"beta")*E87,2)</f>
        <v>15</v>
      </c>
      <c r="I87" s="10" cm="1">
        <f t="array" ref="I87">ROUND(F87*get_Üb(YEAR(A87),$I$8)*E87,2)</f>
        <v>3.6</v>
      </c>
      <c r="J87" s="10">
        <f t="shared" si="21"/>
        <v>15</v>
      </c>
      <c r="K87" s="10">
        <f t="shared" si="22"/>
        <v>288.60000000000002</v>
      </c>
      <c r="L87" s="10" cm="1">
        <f t="array" ref="L87">ROUND(1/12*MAX(MTSum-R87-K87,MRSum)*Act_qx(x+C87,Geschlecht,getParm(Tarifart,"Tafel"),YEAR(GebDat),x+Dauer,1),2)</f>
        <v>3</v>
      </c>
      <c r="M87" s="10" cm="1">
        <f t="array" ref="M87">ROUND(L87*get_Üb(YEAR(A87),$M$8),2)</f>
        <v>0.15</v>
      </c>
      <c r="N87" s="10" cm="1">
        <f t="array" ref="N87">ROUND(R87*getParm(Tarifart,IF(C87&lt;BZDauer,"gamma1","gamma2")),2)</f>
        <v>10</v>
      </c>
      <c r="O87" s="10" cm="1">
        <f t="array" ref="O87">ROUND(R87*get_Üb(YEAR(A87),$O$8),2)</f>
        <v>2.5</v>
      </c>
      <c r="P87" s="19">
        <f t="shared" si="23"/>
        <v>4.3764640307000002</v>
      </c>
      <c r="Q87" s="19" cm="1">
        <f t="array" ref="Q87">ROUND(P87+1/getKurs(EDATE(A87,-1))*(K87-L87-N87-getParm(Tarifart,"StK")+M87+O87),10)*(C87&lt;Dauer)</f>
        <v>4.4250396992000001</v>
      </c>
      <c r="R87" s="10" cm="1">
        <f t="array" ref="R87">ROUND(P87*getKurs($A87),2)</f>
        <v>25001.38</v>
      </c>
      <c r="S87" s="10" cm="1">
        <f t="array" ref="S87">ROUND(Q87*getKurs($A87),2)</f>
        <v>25278.880000000001</v>
      </c>
      <c r="T87" s="10">
        <f t="shared" si="19"/>
        <v>43200</v>
      </c>
      <c r="U87" s="10" cm="1">
        <f t="array" ref="U87">getParm(Tarifart,"StoSatz")*(Dauer-C87)*Beitrag*Zahlweise*(C87&lt;BZDauer)</f>
        <v>1728</v>
      </c>
      <c r="V87" s="10">
        <f t="shared" si="24"/>
        <v>23550.880000000001</v>
      </c>
    </row>
    <row r="88" spans="1:22" x14ac:dyDescent="0.45">
      <c r="A88" s="15">
        <f t="shared" si="25"/>
        <v>38930</v>
      </c>
      <c r="B88">
        <f t="shared" si="15"/>
        <v>79</v>
      </c>
      <c r="C88">
        <f t="shared" si="20"/>
        <v>6</v>
      </c>
      <c r="D88">
        <f t="shared" si="16"/>
        <v>7</v>
      </c>
      <c r="E88">
        <f t="shared" si="17"/>
        <v>1</v>
      </c>
      <c r="F88" s="10">
        <f t="shared" si="18"/>
        <v>300</v>
      </c>
      <c r="G88" s="10" cm="1">
        <f t="array" ref="G88">ROUND(getParm(Tarifart,"alpha")/(2*Zahlweise)*BeiSum*(C88&lt;2)*E88,2)</f>
        <v>0</v>
      </c>
      <c r="H88" s="10" cm="1">
        <f t="array" ref="H88">ROUND(F88*getParm(Tarifart,"beta")*E88,2)</f>
        <v>15</v>
      </c>
      <c r="I88" s="10" cm="1">
        <f t="array" ref="I88">ROUND(F88*get_Üb(YEAR(A88),$I$8)*E88,2)</f>
        <v>3.6</v>
      </c>
      <c r="J88" s="10">
        <f t="shared" si="21"/>
        <v>15</v>
      </c>
      <c r="K88" s="10">
        <f t="shared" si="22"/>
        <v>288.60000000000002</v>
      </c>
      <c r="L88" s="10" cm="1">
        <f t="array" ref="L88">ROUND(1/12*MAX(MTSum-R88-K88,MRSum)*Act_qx(x+C88,Geschlecht,getParm(Tarifart,"Tafel"),YEAR(GebDat),x+Dauer,1),2)</f>
        <v>3.03</v>
      </c>
      <c r="M88" s="10" cm="1">
        <f t="array" ref="M88">ROUND(L88*get_Üb(YEAR(A88),$M$8),2)</f>
        <v>0.15</v>
      </c>
      <c r="N88" s="10" cm="1">
        <f t="array" ref="N88">ROUND(R88*getParm(Tarifart,IF(C88&lt;BZDauer,"gamma1","gamma2")),2)</f>
        <v>9.91</v>
      </c>
      <c r="O88" s="10" cm="1">
        <f t="array" ref="O88">ROUND(R88*get_Üb(YEAR(A88),$O$8),2)</f>
        <v>2.48</v>
      </c>
      <c r="P88" s="19">
        <f t="shared" si="23"/>
        <v>4.4250396992000001</v>
      </c>
      <c r="Q88" s="19" cm="1">
        <f t="array" ref="Q88">ROUND(P88+1/getKurs(EDATE(A88,-1))*(K88-L88-N88-getParm(Tarifart,"StK")+M88+O88),10)*(C88&lt;Dauer)</f>
        <v>4.4735790038000003</v>
      </c>
      <c r="R88" s="10" cm="1">
        <f t="array" ref="R88">ROUND(P88*getKurs($A88),2)</f>
        <v>24765.8</v>
      </c>
      <c r="S88" s="10" cm="1">
        <f t="array" ref="S88">ROUND(Q88*getKurs($A88),2)</f>
        <v>25037.46</v>
      </c>
      <c r="T88" s="10">
        <f t="shared" si="19"/>
        <v>43200</v>
      </c>
      <c r="U88" s="10" cm="1">
        <f t="array" ref="U88">getParm(Tarifart,"StoSatz")*(Dauer-C88)*Beitrag*Zahlweise*(C88&lt;BZDauer)</f>
        <v>1728</v>
      </c>
      <c r="V88" s="10">
        <f t="shared" si="24"/>
        <v>23309.46</v>
      </c>
    </row>
    <row r="89" spans="1:22" x14ac:dyDescent="0.45">
      <c r="A89" s="15">
        <f t="shared" si="25"/>
        <v>38961</v>
      </c>
      <c r="B89">
        <f t="shared" si="15"/>
        <v>80</v>
      </c>
      <c r="C89">
        <f t="shared" si="20"/>
        <v>6</v>
      </c>
      <c r="D89">
        <f t="shared" si="16"/>
        <v>8</v>
      </c>
      <c r="E89">
        <f t="shared" si="17"/>
        <v>1</v>
      </c>
      <c r="F89" s="10">
        <f t="shared" si="18"/>
        <v>300</v>
      </c>
      <c r="G89" s="10" cm="1">
        <f t="array" ref="G89">ROUND(getParm(Tarifart,"alpha")/(2*Zahlweise)*BeiSum*(C89&lt;2)*E89,2)</f>
        <v>0</v>
      </c>
      <c r="H89" s="10" cm="1">
        <f t="array" ref="H89">ROUND(F89*getParm(Tarifart,"beta")*E89,2)</f>
        <v>15</v>
      </c>
      <c r="I89" s="10" cm="1">
        <f t="array" ref="I89">ROUND(F89*get_Üb(YEAR(A89),$I$8)*E89,2)</f>
        <v>3.6</v>
      </c>
      <c r="J89" s="10">
        <f t="shared" si="21"/>
        <v>15</v>
      </c>
      <c r="K89" s="10">
        <f t="shared" si="22"/>
        <v>288.60000000000002</v>
      </c>
      <c r="L89" s="10" cm="1">
        <f t="array" ref="L89">ROUND(1/12*MAX(MTSum-R89-K89,MRSum)*Act_qx(x+C89,Geschlecht,getParm(Tarifart,"Tafel"),YEAR(GebDat),x+Dauer,1),2)</f>
        <v>2.78</v>
      </c>
      <c r="M89" s="10" cm="1">
        <f t="array" ref="M89">ROUND(L89*get_Üb(YEAR(A89),$M$8),2)</f>
        <v>0.14000000000000001</v>
      </c>
      <c r="N89" s="10" cm="1">
        <f t="array" ref="N89">ROUND(R89*getParm(Tarifart,IF(C89&lt;BZDauer,"gamma1","gamma2")),2)</f>
        <v>10.52</v>
      </c>
      <c r="O89" s="10" cm="1">
        <f t="array" ref="O89">ROUND(R89*get_Üb(YEAR(A89),$O$8),2)</f>
        <v>2.63</v>
      </c>
      <c r="P89" s="19">
        <f t="shared" si="23"/>
        <v>4.4735790038000003</v>
      </c>
      <c r="Q89" s="19" cm="1">
        <f t="array" ref="Q89">ROUND(P89+1/getKurs(EDATE(A89,-1))*(K89-L89-N89-getParm(Tarifart,"StK")+M89+O89),10)*(C89&lt;Dauer)</f>
        <v>4.5230846087999996</v>
      </c>
      <c r="R89" s="10" cm="1">
        <f t="array" ref="R89">ROUND(P89*getKurs($A89),2)</f>
        <v>26289.17</v>
      </c>
      <c r="S89" s="10" cm="1">
        <f t="array" ref="S89">ROUND(Q89*getKurs($A89),2)</f>
        <v>26580.09</v>
      </c>
      <c r="T89" s="10">
        <f t="shared" si="19"/>
        <v>43200</v>
      </c>
      <c r="U89" s="10" cm="1">
        <f t="array" ref="U89">getParm(Tarifart,"StoSatz")*(Dauer-C89)*Beitrag*Zahlweise*(C89&lt;BZDauer)</f>
        <v>1728</v>
      </c>
      <c r="V89" s="10">
        <f t="shared" si="24"/>
        <v>24852.09</v>
      </c>
    </row>
    <row r="90" spans="1:22" x14ac:dyDescent="0.45">
      <c r="A90" s="15">
        <f t="shared" si="25"/>
        <v>38991</v>
      </c>
      <c r="B90">
        <f t="shared" si="15"/>
        <v>81</v>
      </c>
      <c r="C90">
        <f t="shared" si="20"/>
        <v>6</v>
      </c>
      <c r="D90">
        <f t="shared" si="16"/>
        <v>9</v>
      </c>
      <c r="E90">
        <f t="shared" si="17"/>
        <v>1</v>
      </c>
      <c r="F90" s="10">
        <f t="shared" si="18"/>
        <v>300</v>
      </c>
      <c r="G90" s="10" cm="1">
        <f t="array" ref="G90">ROUND(getParm(Tarifart,"alpha")/(2*Zahlweise)*BeiSum*(C90&lt;2)*E90,2)</f>
        <v>0</v>
      </c>
      <c r="H90" s="10" cm="1">
        <f t="array" ref="H90">ROUND(F90*getParm(Tarifart,"beta")*E90,2)</f>
        <v>15</v>
      </c>
      <c r="I90" s="10" cm="1">
        <f t="array" ref="I90">ROUND(F90*get_Üb(YEAR(A90),$I$8)*E90,2)</f>
        <v>3.6</v>
      </c>
      <c r="J90" s="10">
        <f t="shared" si="21"/>
        <v>15</v>
      </c>
      <c r="K90" s="10">
        <f t="shared" si="22"/>
        <v>288.60000000000002</v>
      </c>
      <c r="L90" s="10" cm="1">
        <f t="array" ref="L90">ROUND(1/12*MAX(MTSum-R90-K90,MRSum)*Act_qx(x+C90,Geschlecht,getParm(Tarifart,"Tafel"),YEAR(GebDat),x+Dauer,1),2)</f>
        <v>2.64</v>
      </c>
      <c r="M90" s="10" cm="1">
        <f t="array" ref="M90">ROUND(L90*get_Üb(YEAR(A90),$M$8),2)</f>
        <v>0.13</v>
      </c>
      <c r="N90" s="10" cm="1">
        <f t="array" ref="N90">ROUND(R90*getParm(Tarifart,IF(C90&lt;BZDauer,"gamma1","gamma2")),2)</f>
        <v>10.85</v>
      </c>
      <c r="O90" s="10" cm="1">
        <f t="array" ref="O90">ROUND(R90*get_Üb(YEAR(A90),$O$8),2)</f>
        <v>2.71</v>
      </c>
      <c r="P90" s="19">
        <f t="shared" si="23"/>
        <v>4.5230846087999996</v>
      </c>
      <c r="Q90" s="19" cm="1">
        <f t="array" ref="Q90">ROUND(P90+1/getKurs(EDATE(A90,-1))*(K90-L90-N90-getParm(Tarifart,"StK")+M90+O90),10)*(C90&lt;Dauer)</f>
        <v>4.5702126808000001</v>
      </c>
      <c r="R90" s="10" cm="1">
        <f t="array" ref="R90">ROUND(P90*getKurs($A90),2)</f>
        <v>27136.07</v>
      </c>
      <c r="S90" s="10" cm="1">
        <f t="array" ref="S90">ROUND(Q90*getKurs($A90),2)</f>
        <v>27418.81</v>
      </c>
      <c r="T90" s="10">
        <f t="shared" si="19"/>
        <v>43200</v>
      </c>
      <c r="U90" s="10" cm="1">
        <f t="array" ref="U90">getParm(Tarifart,"StoSatz")*(Dauer-C90)*Beitrag*Zahlweise*(C90&lt;BZDauer)</f>
        <v>1728</v>
      </c>
      <c r="V90" s="10">
        <f t="shared" si="24"/>
        <v>25690.81</v>
      </c>
    </row>
    <row r="91" spans="1:22" x14ac:dyDescent="0.45">
      <c r="A91" s="15">
        <f t="shared" si="25"/>
        <v>39022</v>
      </c>
      <c r="B91">
        <f t="shared" si="15"/>
        <v>82</v>
      </c>
      <c r="C91">
        <f t="shared" si="20"/>
        <v>6</v>
      </c>
      <c r="D91">
        <f t="shared" si="16"/>
        <v>10</v>
      </c>
      <c r="E91">
        <f t="shared" si="17"/>
        <v>1</v>
      </c>
      <c r="F91" s="10">
        <f t="shared" si="18"/>
        <v>300</v>
      </c>
      <c r="G91" s="10" cm="1">
        <f t="array" ref="G91">ROUND(getParm(Tarifart,"alpha")/(2*Zahlweise)*BeiSum*(C91&lt;2)*E91,2)</f>
        <v>0</v>
      </c>
      <c r="H91" s="10" cm="1">
        <f t="array" ref="H91">ROUND(F91*getParm(Tarifart,"beta")*E91,2)</f>
        <v>15</v>
      </c>
      <c r="I91" s="10" cm="1">
        <f t="array" ref="I91">ROUND(F91*get_Üb(YEAR(A91),$I$8)*E91,2)</f>
        <v>3.6</v>
      </c>
      <c r="J91" s="10">
        <f t="shared" si="21"/>
        <v>15</v>
      </c>
      <c r="K91" s="10">
        <f t="shared" si="22"/>
        <v>288.60000000000002</v>
      </c>
      <c r="L91" s="10" cm="1">
        <f t="array" ref="L91">ROUND(1/12*MAX(MTSum-R91-K91,MRSum)*Act_qx(x+C91,Geschlecht,getParm(Tarifart,"Tafel"),YEAR(GebDat),x+Dauer,1),2)</f>
        <v>2.37</v>
      </c>
      <c r="M91" s="10" cm="1">
        <f t="array" ref="M91">ROUND(L91*get_Üb(YEAR(A91),$M$8),2)</f>
        <v>0.12</v>
      </c>
      <c r="N91" s="10" cm="1">
        <f t="array" ref="N91">ROUND(R91*getParm(Tarifart,IF(C91&lt;BZDauer,"gamma1","gamma2")),2)</f>
        <v>11.5</v>
      </c>
      <c r="O91" s="10" cm="1">
        <f t="array" ref="O91">ROUND(R91*get_Üb(YEAR(A91),$O$8),2)</f>
        <v>2.88</v>
      </c>
      <c r="P91" s="19">
        <f t="shared" si="23"/>
        <v>4.5702126808000001</v>
      </c>
      <c r="Q91" s="19" cm="1">
        <f t="array" ref="Q91">ROUND(P91+1/getKurs(EDATE(A91,-1))*(K91-L91-N91-getParm(Tarifart,"StK")+M91+O91),10)*(C91&lt;Dauer)</f>
        <v>4.6163384988000002</v>
      </c>
      <c r="R91" s="10" cm="1">
        <f t="array" ref="R91">ROUND(P91*getKurs($A91),2)</f>
        <v>28755.32</v>
      </c>
      <c r="S91" s="10" cm="1">
        <f t="array" ref="S91">ROUND(Q91*getKurs($A91),2)</f>
        <v>29045.54</v>
      </c>
      <c r="T91" s="10">
        <f t="shared" si="19"/>
        <v>43200</v>
      </c>
      <c r="U91" s="10" cm="1">
        <f t="array" ref="U91">getParm(Tarifart,"StoSatz")*(Dauer-C91)*Beitrag*Zahlweise*(C91&lt;BZDauer)</f>
        <v>1728</v>
      </c>
      <c r="V91" s="10">
        <f t="shared" si="24"/>
        <v>27317.54</v>
      </c>
    </row>
    <row r="92" spans="1:22" x14ac:dyDescent="0.45">
      <c r="A92" s="15">
        <f t="shared" si="25"/>
        <v>39052</v>
      </c>
      <c r="B92">
        <f t="shared" si="15"/>
        <v>83</v>
      </c>
      <c r="C92">
        <f t="shared" si="20"/>
        <v>6</v>
      </c>
      <c r="D92">
        <f t="shared" si="16"/>
        <v>11</v>
      </c>
      <c r="E92">
        <f t="shared" si="17"/>
        <v>1</v>
      </c>
      <c r="F92" s="10">
        <f t="shared" si="18"/>
        <v>300</v>
      </c>
      <c r="G92" s="10" cm="1">
        <f t="array" ref="G92">ROUND(getParm(Tarifart,"alpha")/(2*Zahlweise)*BeiSum*(C92&lt;2)*E92,2)</f>
        <v>0</v>
      </c>
      <c r="H92" s="10" cm="1">
        <f t="array" ref="H92">ROUND(F92*getParm(Tarifart,"beta")*E92,2)</f>
        <v>15</v>
      </c>
      <c r="I92" s="10" cm="1">
        <f t="array" ref="I92">ROUND(F92*get_Üb(YEAR(A92),$I$8)*E92,2)</f>
        <v>3.6</v>
      </c>
      <c r="J92" s="10">
        <f t="shared" si="21"/>
        <v>15</v>
      </c>
      <c r="K92" s="10">
        <f t="shared" si="22"/>
        <v>288.60000000000002</v>
      </c>
      <c r="L92" s="10" cm="1">
        <f t="array" ref="L92">ROUND(1/12*MAX(MTSum-R92-K92,MRSum)*Act_qx(x+C92,Geschlecht,getParm(Tarifart,"Tafel"),YEAR(GebDat),x+Dauer,1),2)</f>
        <v>2.36</v>
      </c>
      <c r="M92" s="10" cm="1">
        <f t="array" ref="M92">ROUND(L92*get_Üb(YEAR(A92),$M$8),2)</f>
        <v>0.12</v>
      </c>
      <c r="N92" s="10" cm="1">
        <f t="array" ref="N92">ROUND(R92*getParm(Tarifart,IF(C92&lt;BZDauer,"gamma1","gamma2")),2)</f>
        <v>11.52</v>
      </c>
      <c r="O92" s="10" cm="1">
        <f t="array" ref="O92">ROUND(R92*get_Üb(YEAR(A92),$O$8),2)</f>
        <v>2.88</v>
      </c>
      <c r="P92" s="19">
        <f t="shared" si="23"/>
        <v>4.6163384988000002</v>
      </c>
      <c r="Q92" s="19" cm="1">
        <f t="array" ref="Q92">ROUND(P92+1/getKurs(EDATE(A92,-1))*(K92-L92-N92-getParm(Tarifart,"StK")+M92+O92),10)*(C92&lt;Dauer)</f>
        <v>4.6603188544999998</v>
      </c>
      <c r="R92" s="10" cm="1">
        <f t="array" ref="R92">ROUND(P92*getKurs($A92),2)</f>
        <v>28811.17</v>
      </c>
      <c r="S92" s="10" cm="1">
        <f t="array" ref="S92">ROUND(Q92*getKurs($A92),2)</f>
        <v>29085.66</v>
      </c>
      <c r="T92" s="10">
        <f t="shared" si="19"/>
        <v>43200</v>
      </c>
      <c r="U92" s="10" cm="1">
        <f t="array" ref="U92">getParm(Tarifart,"StoSatz")*(Dauer-C92)*Beitrag*Zahlweise*(C92&lt;BZDauer)</f>
        <v>1728</v>
      </c>
      <c r="V92" s="10">
        <f t="shared" si="24"/>
        <v>27357.66</v>
      </c>
    </row>
    <row r="93" spans="1:22" x14ac:dyDescent="0.45">
      <c r="A93" s="15">
        <f t="shared" si="25"/>
        <v>39083</v>
      </c>
      <c r="B93">
        <f t="shared" si="15"/>
        <v>84</v>
      </c>
      <c r="C93">
        <f t="shared" si="20"/>
        <v>7</v>
      </c>
      <c r="D93">
        <f t="shared" si="16"/>
        <v>0</v>
      </c>
      <c r="E93">
        <f t="shared" si="17"/>
        <v>1</v>
      </c>
      <c r="F93" s="10">
        <f t="shared" si="18"/>
        <v>300</v>
      </c>
      <c r="G93" s="10" cm="1">
        <f t="array" ref="G93">ROUND(getParm(Tarifart,"alpha")/(2*Zahlweise)*BeiSum*(C93&lt;2)*E93,2)</f>
        <v>0</v>
      </c>
      <c r="H93" s="10" cm="1">
        <f t="array" ref="H93">ROUND(F93*getParm(Tarifart,"beta")*E93,2)</f>
        <v>15</v>
      </c>
      <c r="I93" s="10" cm="1">
        <f t="array" ref="I93">ROUND(F93*get_Üb(YEAR(A93),$I$8)*E93,2)</f>
        <v>3.6</v>
      </c>
      <c r="J93" s="10">
        <f t="shared" si="21"/>
        <v>15</v>
      </c>
      <c r="K93" s="10">
        <f t="shared" si="22"/>
        <v>288.60000000000002</v>
      </c>
      <c r="L93" s="10" cm="1">
        <f t="array" ref="L93">ROUND(1/12*MAX(MTSum-R93-K93,MRSum)*Act_qx(x+C93,Geschlecht,getParm(Tarifart,"Tafel"),YEAR(GebDat),x+Dauer,1),2)</f>
        <v>2.13</v>
      </c>
      <c r="M93" s="10" cm="1">
        <f t="array" ref="M93">ROUND(L93*get_Üb(YEAR(A93),$M$8),2)</f>
        <v>0.11</v>
      </c>
      <c r="N93" s="10" cm="1">
        <f t="array" ref="N93">ROUND(R93*getParm(Tarifart,IF(C93&lt;BZDauer,"gamma1","gamma2")),2)</f>
        <v>12.45</v>
      </c>
      <c r="O93" s="10" cm="1">
        <f t="array" ref="O93">ROUND(R93*get_Üb(YEAR(A93),$O$8),2)</f>
        <v>3.11</v>
      </c>
      <c r="P93" s="19">
        <f t="shared" si="23"/>
        <v>4.6603188544999998</v>
      </c>
      <c r="Q93" s="19" cm="1">
        <f t="array" ref="Q93">ROUND(P93+1/getKurs(EDATE(A93,-1))*(K93-L93-N93-getParm(Tarifart,"StK")+M93+O93),10)*(C93&lt;Dauer)</f>
        <v>4.7045800699999996</v>
      </c>
      <c r="R93" s="10" cm="1">
        <f t="array" ref="R93">ROUND(P93*getKurs($A93),2)</f>
        <v>31136.2</v>
      </c>
      <c r="S93" s="10" cm="1">
        <f t="array" ref="S93">ROUND(Q93*getKurs($A93),2)</f>
        <v>31431.91</v>
      </c>
      <c r="T93" s="10">
        <f t="shared" si="19"/>
        <v>43200</v>
      </c>
      <c r="U93" s="10" cm="1">
        <f t="array" ref="U93">getParm(Tarifart,"StoSatz")*(Dauer-C93)*Beitrag*Zahlweise*(C93&lt;BZDauer)</f>
        <v>1656</v>
      </c>
      <c r="V93" s="10">
        <f t="shared" si="24"/>
        <v>29775.91</v>
      </c>
    </row>
    <row r="94" spans="1:22" x14ac:dyDescent="0.45">
      <c r="A94" s="15">
        <f t="shared" si="25"/>
        <v>39114</v>
      </c>
      <c r="B94">
        <f t="shared" si="15"/>
        <v>85</v>
      </c>
      <c r="C94">
        <f t="shared" si="20"/>
        <v>7</v>
      </c>
      <c r="D94">
        <f t="shared" si="16"/>
        <v>1</v>
      </c>
      <c r="E94">
        <f t="shared" si="17"/>
        <v>1</v>
      </c>
      <c r="F94" s="10">
        <f t="shared" si="18"/>
        <v>300</v>
      </c>
      <c r="G94" s="10" cm="1">
        <f t="array" ref="G94">ROUND(getParm(Tarifart,"alpha")/(2*Zahlweise)*BeiSum*(C94&lt;2)*E94,2)</f>
        <v>0</v>
      </c>
      <c r="H94" s="10" cm="1">
        <f t="array" ref="H94">ROUND(F94*getParm(Tarifart,"beta")*E94,2)</f>
        <v>15</v>
      </c>
      <c r="I94" s="10" cm="1">
        <f t="array" ref="I94">ROUND(F94*get_Üb(YEAR(A94),$I$8)*E94,2)</f>
        <v>3.6</v>
      </c>
      <c r="J94" s="10">
        <f t="shared" si="21"/>
        <v>15</v>
      </c>
      <c r="K94" s="10">
        <f t="shared" si="22"/>
        <v>288.60000000000002</v>
      </c>
      <c r="L94" s="10" cm="1">
        <f t="array" ref="L94">ROUND(1/12*MAX(MTSum-R94-K94,MRSum)*Act_qx(x+C94,Geschlecht,getParm(Tarifart,"Tafel"),YEAR(GebDat),x+Dauer,1),2)</f>
        <v>1.93</v>
      </c>
      <c r="M94" s="10" cm="1">
        <f t="array" ref="M94">ROUND(L94*get_Üb(YEAR(A94),$M$8),2)</f>
        <v>0.1</v>
      </c>
      <c r="N94" s="10" cm="1">
        <f t="array" ref="N94">ROUND(R94*getParm(Tarifart,IF(C94&lt;BZDauer,"gamma1","gamma2")),2)</f>
        <v>12.89</v>
      </c>
      <c r="O94" s="10" cm="1">
        <f t="array" ref="O94">ROUND(R94*get_Üb(YEAR(A94),$O$8),2)</f>
        <v>3.22</v>
      </c>
      <c r="P94" s="19">
        <f t="shared" si="23"/>
        <v>4.7045800699999996</v>
      </c>
      <c r="Q94" s="19" cm="1">
        <f t="array" ref="Q94">ROUND(P94+1/getKurs(EDATE(A94,-1))*(K94-L94-N94-getParm(Tarifart,"StK")+M94+O94),10)*(C94&lt;Dauer)</f>
        <v>4.7459054147000002</v>
      </c>
      <c r="R94" s="10" cm="1">
        <f t="array" ref="R94">ROUND(P94*getKurs($A94),2)</f>
        <v>32232.400000000001</v>
      </c>
      <c r="S94" s="10" cm="1">
        <f t="array" ref="S94">ROUND(Q94*getKurs($A94),2)</f>
        <v>32515.53</v>
      </c>
      <c r="T94" s="10">
        <f t="shared" si="19"/>
        <v>43200</v>
      </c>
      <c r="U94" s="10" cm="1">
        <f t="array" ref="U94">getParm(Tarifart,"StoSatz")*(Dauer-C94)*Beitrag*Zahlweise*(C94&lt;BZDauer)</f>
        <v>1656</v>
      </c>
      <c r="V94" s="10">
        <f t="shared" si="24"/>
        <v>30859.53</v>
      </c>
    </row>
    <row r="95" spans="1:22" x14ac:dyDescent="0.45">
      <c r="A95" s="15">
        <f t="shared" si="25"/>
        <v>39142</v>
      </c>
      <c r="B95">
        <f t="shared" si="15"/>
        <v>86</v>
      </c>
      <c r="C95">
        <f t="shared" si="20"/>
        <v>7</v>
      </c>
      <c r="D95">
        <f t="shared" si="16"/>
        <v>2</v>
      </c>
      <c r="E95">
        <f t="shared" si="17"/>
        <v>1</v>
      </c>
      <c r="F95" s="10">
        <f t="shared" si="18"/>
        <v>300</v>
      </c>
      <c r="G95" s="10" cm="1">
        <f t="array" ref="G95">ROUND(getParm(Tarifart,"alpha")/(2*Zahlweise)*BeiSum*(C95&lt;2)*E95,2)</f>
        <v>0</v>
      </c>
      <c r="H95" s="10" cm="1">
        <f t="array" ref="H95">ROUND(F95*getParm(Tarifart,"beta")*E95,2)</f>
        <v>15</v>
      </c>
      <c r="I95" s="10" cm="1">
        <f t="array" ref="I95">ROUND(F95*get_Üb(YEAR(A95),$I$8)*E95,2)</f>
        <v>3.6</v>
      </c>
      <c r="J95" s="10">
        <f t="shared" si="21"/>
        <v>15</v>
      </c>
      <c r="K95" s="10">
        <f t="shared" si="22"/>
        <v>288.60000000000002</v>
      </c>
      <c r="L95" s="10" cm="1">
        <f t="array" ref="L95">ROUND(1/12*MAX(MTSum-R95-K95,MRSum)*Act_qx(x+C95,Geschlecht,getParm(Tarifart,"Tafel"),YEAR(GebDat),x+Dauer,1),2)</f>
        <v>2.06</v>
      </c>
      <c r="M95" s="10" cm="1">
        <f t="array" ref="M95">ROUND(L95*get_Üb(YEAR(A95),$M$8),2)</f>
        <v>0.1</v>
      </c>
      <c r="N95" s="10" cm="1">
        <f t="array" ref="N95">ROUND(R95*getParm(Tarifart,IF(C95&lt;BZDauer,"gamma1","gamma2")),2)</f>
        <v>12.61</v>
      </c>
      <c r="O95" s="10" cm="1">
        <f t="array" ref="O95">ROUND(R95*get_Üb(YEAR(A95),$O$8),2)</f>
        <v>3.15</v>
      </c>
      <c r="P95" s="19">
        <f t="shared" si="23"/>
        <v>4.7459054147000002</v>
      </c>
      <c r="Q95" s="19" cm="1">
        <f t="array" ref="Q95">ROUND(P95+1/getKurs(EDATE(A95,-1))*(K95-L95-N95-getParm(Tarifart,"StK")+M95+O95),10)*(C95&lt;Dauer)</f>
        <v>4.7862161303999997</v>
      </c>
      <c r="R95" s="10" cm="1">
        <f t="array" ref="R95">ROUND(P95*getKurs($A95),2)</f>
        <v>31513.95</v>
      </c>
      <c r="S95" s="10" cm="1">
        <f t="array" ref="S95">ROUND(Q95*getKurs($A95),2)</f>
        <v>31781.62</v>
      </c>
      <c r="T95" s="10">
        <f t="shared" si="19"/>
        <v>43200</v>
      </c>
      <c r="U95" s="10" cm="1">
        <f t="array" ref="U95">getParm(Tarifart,"StoSatz")*(Dauer-C95)*Beitrag*Zahlweise*(C95&lt;BZDauer)</f>
        <v>1656</v>
      </c>
      <c r="V95" s="10">
        <f t="shared" si="24"/>
        <v>30125.62</v>
      </c>
    </row>
    <row r="96" spans="1:22" x14ac:dyDescent="0.45">
      <c r="A96" s="15">
        <f t="shared" si="25"/>
        <v>39173</v>
      </c>
      <c r="B96">
        <f t="shared" si="15"/>
        <v>87</v>
      </c>
      <c r="C96">
        <f t="shared" si="20"/>
        <v>7</v>
      </c>
      <c r="D96">
        <f t="shared" si="16"/>
        <v>3</v>
      </c>
      <c r="E96">
        <f t="shared" si="17"/>
        <v>1</v>
      </c>
      <c r="F96" s="10">
        <f t="shared" si="18"/>
        <v>300</v>
      </c>
      <c r="G96" s="10" cm="1">
        <f t="array" ref="G96">ROUND(getParm(Tarifart,"alpha")/(2*Zahlweise)*BeiSum*(C96&lt;2)*E96,2)</f>
        <v>0</v>
      </c>
      <c r="H96" s="10" cm="1">
        <f t="array" ref="H96">ROUND(F96*getParm(Tarifart,"beta")*E96,2)</f>
        <v>15</v>
      </c>
      <c r="I96" s="10" cm="1">
        <f t="array" ref="I96">ROUND(F96*get_Üb(YEAR(A96),$I$8)*E96,2)</f>
        <v>3.6</v>
      </c>
      <c r="J96" s="10">
        <f t="shared" si="21"/>
        <v>15</v>
      </c>
      <c r="K96" s="10">
        <f t="shared" si="22"/>
        <v>288.60000000000002</v>
      </c>
      <c r="L96" s="10" cm="1">
        <f t="array" ref="L96">ROUND(1/12*MAX(MTSum-R96-K96,MRSum)*Act_qx(x+C96,Geschlecht,getParm(Tarifart,"Tafel"),YEAR(GebDat),x+Dauer,1),2)</f>
        <v>1.75</v>
      </c>
      <c r="M96" s="10" cm="1">
        <f t="array" ref="M96">ROUND(L96*get_Üb(YEAR(A96),$M$8),2)</f>
        <v>0.09</v>
      </c>
      <c r="N96" s="10" cm="1">
        <f t="array" ref="N96">ROUND(R96*getParm(Tarifart,IF(C96&lt;BZDauer,"gamma1","gamma2")),2)</f>
        <v>13.28</v>
      </c>
      <c r="O96" s="10" cm="1">
        <f t="array" ref="O96">ROUND(R96*get_Üb(YEAR(A96),$O$8),2)</f>
        <v>3.32</v>
      </c>
      <c r="P96" s="19">
        <f t="shared" si="23"/>
        <v>4.7862161303999997</v>
      </c>
      <c r="Q96" s="19" cm="1">
        <f t="array" ref="Q96">ROUND(P96+1/getKurs(EDATE(A96,-1))*(K96-L96-N96-getParm(Tarifart,"StK")+M96+O96),10)*(C96&lt;Dauer)</f>
        <v>4.8277778812000003</v>
      </c>
      <c r="R96" s="10" cm="1">
        <f t="array" ref="R96">ROUND(P96*getKurs($A96),2)</f>
        <v>33202.79</v>
      </c>
      <c r="S96" s="10" cm="1">
        <f t="array" ref="S96">ROUND(Q96*getKurs($A96),2)</f>
        <v>33491.120000000003</v>
      </c>
      <c r="T96" s="10">
        <f t="shared" si="19"/>
        <v>43200</v>
      </c>
      <c r="U96" s="10" cm="1">
        <f t="array" ref="U96">getParm(Tarifart,"StoSatz")*(Dauer-C96)*Beitrag*Zahlweise*(C96&lt;BZDauer)</f>
        <v>1656</v>
      </c>
      <c r="V96" s="10">
        <f t="shared" si="24"/>
        <v>31835.120000000003</v>
      </c>
    </row>
    <row r="97" spans="1:22" x14ac:dyDescent="0.45">
      <c r="A97" s="15">
        <f t="shared" si="25"/>
        <v>39203</v>
      </c>
      <c r="B97">
        <f t="shared" si="15"/>
        <v>88</v>
      </c>
      <c r="C97">
        <f t="shared" si="20"/>
        <v>7</v>
      </c>
      <c r="D97">
        <f t="shared" si="16"/>
        <v>4</v>
      </c>
      <c r="E97">
        <f t="shared" si="17"/>
        <v>1</v>
      </c>
      <c r="F97" s="10">
        <f t="shared" si="18"/>
        <v>300</v>
      </c>
      <c r="G97" s="10" cm="1">
        <f t="array" ref="G97">ROUND(getParm(Tarifart,"alpha")/(2*Zahlweise)*BeiSum*(C97&lt;2)*E97,2)</f>
        <v>0</v>
      </c>
      <c r="H97" s="10" cm="1">
        <f t="array" ref="H97">ROUND(F97*getParm(Tarifart,"beta")*E97,2)</f>
        <v>15</v>
      </c>
      <c r="I97" s="10" cm="1">
        <f t="array" ref="I97">ROUND(F97*get_Üb(YEAR(A97),$I$8)*E97,2)</f>
        <v>3.6</v>
      </c>
      <c r="J97" s="10">
        <f t="shared" si="21"/>
        <v>15</v>
      </c>
      <c r="K97" s="10">
        <f t="shared" si="22"/>
        <v>288.60000000000002</v>
      </c>
      <c r="L97" s="10" cm="1">
        <f t="array" ref="L97">ROUND(1/12*MAX(MTSum-R97-K97,MRSum)*Act_qx(x+C97,Geschlecht,getParm(Tarifart,"Tafel"),YEAR(GebDat),x+Dauer,1),2)</f>
        <v>1.25</v>
      </c>
      <c r="M97" s="10" cm="1">
        <f t="array" ref="M97">ROUND(L97*get_Üb(YEAR(A97),$M$8),2)</f>
        <v>0.06</v>
      </c>
      <c r="N97" s="10" cm="1">
        <f t="array" ref="N97">ROUND(R97*getParm(Tarifart,IF(C97&lt;BZDauer,"gamma1","gamma2")),2)</f>
        <v>14.4</v>
      </c>
      <c r="O97" s="10" cm="1">
        <f t="array" ref="O97">ROUND(R97*get_Üb(YEAR(A97),$O$8),2)</f>
        <v>3.6</v>
      </c>
      <c r="P97" s="19">
        <f t="shared" si="23"/>
        <v>4.8277778812000003</v>
      </c>
      <c r="Q97" s="19" cm="1">
        <f t="array" ref="Q97">ROUND(P97+1/getKurs(EDATE(A97,-1))*(K97-L97-N97-getParm(Tarifart,"StK")+M97+O97),10)*(C97&lt;Dauer)</f>
        <v>4.8675073386000003</v>
      </c>
      <c r="R97" s="10" cm="1">
        <f t="array" ref="R97">ROUND(P97*getKurs($A97),2)</f>
        <v>35995.57</v>
      </c>
      <c r="S97" s="10" cm="1">
        <f t="array" ref="S97">ROUND(Q97*getKurs($A97),2)</f>
        <v>36291.79</v>
      </c>
      <c r="T97" s="10">
        <f t="shared" si="19"/>
        <v>43200</v>
      </c>
      <c r="U97" s="10" cm="1">
        <f t="array" ref="U97">getParm(Tarifart,"StoSatz")*(Dauer-C97)*Beitrag*Zahlweise*(C97&lt;BZDauer)</f>
        <v>1656</v>
      </c>
      <c r="V97" s="10">
        <f t="shared" si="24"/>
        <v>34635.79</v>
      </c>
    </row>
    <row r="98" spans="1:22" x14ac:dyDescent="0.45">
      <c r="A98" s="15">
        <f t="shared" si="25"/>
        <v>39234</v>
      </c>
      <c r="B98">
        <f t="shared" si="15"/>
        <v>89</v>
      </c>
      <c r="C98">
        <f t="shared" si="20"/>
        <v>7</v>
      </c>
      <c r="D98">
        <f t="shared" si="16"/>
        <v>5</v>
      </c>
      <c r="E98">
        <f t="shared" si="17"/>
        <v>1</v>
      </c>
      <c r="F98" s="10">
        <f t="shared" si="18"/>
        <v>300</v>
      </c>
      <c r="G98" s="10" cm="1">
        <f t="array" ref="G98">ROUND(getParm(Tarifart,"alpha")/(2*Zahlweise)*BeiSum*(C98&lt;2)*E98,2)</f>
        <v>0</v>
      </c>
      <c r="H98" s="10" cm="1">
        <f t="array" ref="H98">ROUND(F98*getParm(Tarifart,"beta")*E98,2)</f>
        <v>15</v>
      </c>
      <c r="I98" s="10" cm="1">
        <f t="array" ref="I98">ROUND(F98*get_Üb(YEAR(A98),$I$8)*E98,2)</f>
        <v>3.6</v>
      </c>
      <c r="J98" s="10">
        <f t="shared" si="21"/>
        <v>15</v>
      </c>
      <c r="K98" s="10">
        <f t="shared" si="22"/>
        <v>288.60000000000002</v>
      </c>
      <c r="L98" s="10" cm="1">
        <f t="array" ref="L98">ROUND(1/12*MAX(MTSum-R98-K98,MRSum)*Act_qx(x+C98,Geschlecht,getParm(Tarifart,"Tafel"),YEAR(GebDat),x+Dauer,1),2)</f>
        <v>0.73</v>
      </c>
      <c r="M98" s="10" cm="1">
        <f t="array" ref="M98">ROUND(L98*get_Üb(YEAR(A98),$M$8),2)</f>
        <v>0.04</v>
      </c>
      <c r="N98" s="10" cm="1">
        <f t="array" ref="N98">ROUND(R98*getParm(Tarifart,IF(C98&lt;BZDauer,"gamma1","gamma2")),2)</f>
        <v>15.55</v>
      </c>
      <c r="O98" s="10" cm="1">
        <f t="array" ref="O98">ROUND(R98*get_Üb(YEAR(A98),$O$8),2)</f>
        <v>3.89</v>
      </c>
      <c r="P98" s="19">
        <f t="shared" si="23"/>
        <v>4.8675073386000003</v>
      </c>
      <c r="Q98" s="19" cm="1">
        <f t="array" ref="Q98">ROUND(P98+1/getKurs(EDATE(A98,-1))*(K98-L98-N98-getParm(Tarifart,"StK")+M98+O98),10)*(C98&lt;Dauer)</f>
        <v>4.9044242624000001</v>
      </c>
      <c r="R98" s="10" cm="1">
        <f t="array" ref="R98">ROUND(P98*getKurs($A98),2)</f>
        <v>38880.92</v>
      </c>
      <c r="S98" s="10" cm="1">
        <f t="array" ref="S98">ROUND(Q98*getKurs($A98),2)</f>
        <v>39175.81</v>
      </c>
      <c r="T98" s="10">
        <f t="shared" si="19"/>
        <v>43200</v>
      </c>
      <c r="U98" s="10" cm="1">
        <f t="array" ref="U98">getParm(Tarifart,"StoSatz")*(Dauer-C98)*Beitrag*Zahlweise*(C98&lt;BZDauer)</f>
        <v>1656</v>
      </c>
      <c r="V98" s="10">
        <f t="shared" si="24"/>
        <v>37519.81</v>
      </c>
    </row>
    <row r="99" spans="1:22" x14ac:dyDescent="0.45">
      <c r="A99" s="15">
        <f t="shared" si="25"/>
        <v>39264</v>
      </c>
      <c r="B99">
        <f t="shared" si="15"/>
        <v>90</v>
      </c>
      <c r="C99">
        <f t="shared" si="20"/>
        <v>7</v>
      </c>
      <c r="D99">
        <f t="shared" si="16"/>
        <v>6</v>
      </c>
      <c r="E99">
        <f t="shared" si="17"/>
        <v>1</v>
      </c>
      <c r="F99" s="10">
        <f t="shared" si="18"/>
        <v>300</v>
      </c>
      <c r="G99" s="10" cm="1">
        <f t="array" ref="G99">ROUND(getParm(Tarifart,"alpha")/(2*Zahlweise)*BeiSum*(C99&lt;2)*E99,2)</f>
        <v>0</v>
      </c>
      <c r="H99" s="10" cm="1">
        <f t="array" ref="H99">ROUND(F99*getParm(Tarifart,"beta")*E99,2)</f>
        <v>15</v>
      </c>
      <c r="I99" s="10" cm="1">
        <f t="array" ref="I99">ROUND(F99*get_Üb(YEAR(A99),$I$8)*E99,2)</f>
        <v>3.6</v>
      </c>
      <c r="J99" s="10">
        <f t="shared" si="21"/>
        <v>15</v>
      </c>
      <c r="K99" s="10">
        <f t="shared" si="22"/>
        <v>288.60000000000002</v>
      </c>
      <c r="L99" s="10" cm="1">
        <f t="array" ref="L99">ROUND(1/12*MAX(MTSum-R99-K99,MRSum)*Act_qx(x+C99,Geschlecht,getParm(Tarifart,"Tafel"),YEAR(GebDat),x+Dauer,1),2)</f>
        <v>0.7</v>
      </c>
      <c r="M99" s="10" cm="1">
        <f t="array" ref="M99">ROUND(L99*get_Üb(YEAR(A99),$M$8),2)</f>
        <v>0.04</v>
      </c>
      <c r="N99" s="10" cm="1">
        <f t="array" ref="N99">ROUND(R99*getParm(Tarifart,IF(C99&lt;BZDauer,"gamma1","gamma2")),2)</f>
        <v>15.61</v>
      </c>
      <c r="O99" s="10" cm="1">
        <f t="array" ref="O99">ROUND(R99*get_Üb(YEAR(A99),$O$8),2)</f>
        <v>3.9</v>
      </c>
      <c r="P99" s="19">
        <f t="shared" si="23"/>
        <v>4.9044242624000001</v>
      </c>
      <c r="Q99" s="19" cm="1">
        <f t="array" ref="Q99">ROUND(P99+1/getKurs(EDATE(A99,-1))*(K99-L99-N99-getParm(Tarifart,"StK")+M99+O99),10)*(C99&lt;Dauer)</f>
        <v>4.9388803426000001</v>
      </c>
      <c r="R99" s="10" cm="1">
        <f t="array" ref="R99">ROUND(P99*getKurs($A99),2)</f>
        <v>39030.589999999997</v>
      </c>
      <c r="S99" s="10" cm="1">
        <f t="array" ref="S99">ROUND(Q99*getKurs($A99),2)</f>
        <v>39304.800000000003</v>
      </c>
      <c r="T99" s="10">
        <f t="shared" si="19"/>
        <v>43200</v>
      </c>
      <c r="U99" s="10" cm="1">
        <f t="array" ref="U99">getParm(Tarifart,"StoSatz")*(Dauer-C99)*Beitrag*Zahlweise*(C99&lt;BZDauer)</f>
        <v>1656</v>
      </c>
      <c r="V99" s="10">
        <f t="shared" si="24"/>
        <v>37648.800000000003</v>
      </c>
    </row>
    <row r="100" spans="1:22" x14ac:dyDescent="0.45">
      <c r="A100" s="15">
        <f t="shared" si="25"/>
        <v>39295</v>
      </c>
      <c r="B100">
        <f t="shared" si="15"/>
        <v>91</v>
      </c>
      <c r="C100">
        <f t="shared" si="20"/>
        <v>7</v>
      </c>
      <c r="D100">
        <f t="shared" si="16"/>
        <v>7</v>
      </c>
      <c r="E100">
        <f t="shared" si="17"/>
        <v>1</v>
      </c>
      <c r="F100" s="10">
        <f t="shared" si="18"/>
        <v>300</v>
      </c>
      <c r="G100" s="10" cm="1">
        <f t="array" ref="G100">ROUND(getParm(Tarifart,"alpha")/(2*Zahlweise)*BeiSum*(C100&lt;2)*E100,2)</f>
        <v>0</v>
      </c>
      <c r="H100" s="10" cm="1">
        <f t="array" ref="H100">ROUND(F100*getParm(Tarifart,"beta")*E100,2)</f>
        <v>15</v>
      </c>
      <c r="I100" s="10" cm="1">
        <f t="array" ref="I100">ROUND(F100*get_Üb(YEAR(A100),$I$8)*E100,2)</f>
        <v>3.6</v>
      </c>
      <c r="J100" s="10">
        <f t="shared" si="21"/>
        <v>15</v>
      </c>
      <c r="K100" s="10">
        <f t="shared" si="22"/>
        <v>288.60000000000002</v>
      </c>
      <c r="L100" s="10" cm="1">
        <f t="array" ref="L100">ROUND(1/12*MAX(MTSum-R100-K100,MRSum)*Act_qx(x+C100,Geschlecht,getParm(Tarifart,"Tafel"),YEAR(GebDat),x+Dauer,1),2)</f>
        <v>1.08</v>
      </c>
      <c r="M100" s="10" cm="1">
        <f t="array" ref="M100">ROUND(L100*get_Üb(YEAR(A100),$M$8),2)</f>
        <v>0.05</v>
      </c>
      <c r="N100" s="10" cm="1">
        <f t="array" ref="N100">ROUND(R100*getParm(Tarifart,IF(C100&lt;BZDauer,"gamma1","gamma2")),2)</f>
        <v>14.77</v>
      </c>
      <c r="O100" s="10" cm="1">
        <f t="array" ref="O100">ROUND(R100*get_Üb(YEAR(A100),$O$8),2)</f>
        <v>3.69</v>
      </c>
      <c r="P100" s="19">
        <f t="shared" si="23"/>
        <v>4.9388803426000001</v>
      </c>
      <c r="Q100" s="19" cm="1">
        <f t="array" ref="Q100">ROUND(P100+1/getKurs(EDATE(A100,-1))*(K100-L100-N100-getParm(Tarifart,"StK")+M100+O100),10)*(C100&lt;Dauer)</f>
        <v>4.9734972931000003</v>
      </c>
      <c r="R100" s="10" cm="1">
        <f t="array" ref="R100">ROUND(P100*getKurs($A100),2)</f>
        <v>36912.85</v>
      </c>
      <c r="S100" s="10" cm="1">
        <f t="array" ref="S100">ROUND(Q100*getKurs($A100),2)</f>
        <v>37171.57</v>
      </c>
      <c r="T100" s="10">
        <f t="shared" si="19"/>
        <v>43200</v>
      </c>
      <c r="U100" s="10" cm="1">
        <f t="array" ref="U100">getParm(Tarifart,"StoSatz")*(Dauer-C100)*Beitrag*Zahlweise*(C100&lt;BZDauer)</f>
        <v>1656</v>
      </c>
      <c r="V100" s="10">
        <f t="shared" si="24"/>
        <v>35515.57</v>
      </c>
    </row>
    <row r="101" spans="1:22" x14ac:dyDescent="0.45">
      <c r="A101" s="15">
        <f t="shared" si="25"/>
        <v>39326</v>
      </c>
      <c r="B101">
        <f t="shared" si="15"/>
        <v>92</v>
      </c>
      <c r="C101">
        <f t="shared" si="20"/>
        <v>7</v>
      </c>
      <c r="D101">
        <f t="shared" si="16"/>
        <v>8</v>
      </c>
      <c r="E101">
        <f t="shared" si="17"/>
        <v>1</v>
      </c>
      <c r="F101" s="10">
        <f t="shared" si="18"/>
        <v>300</v>
      </c>
      <c r="G101" s="10" cm="1">
        <f t="array" ref="G101">ROUND(getParm(Tarifart,"alpha")/(2*Zahlweise)*BeiSum*(C101&lt;2)*E101,2)</f>
        <v>0</v>
      </c>
      <c r="H101" s="10" cm="1">
        <f t="array" ref="H101">ROUND(F101*getParm(Tarifart,"beta")*E101,2)</f>
        <v>15</v>
      </c>
      <c r="I101" s="10" cm="1">
        <f t="array" ref="I101">ROUND(F101*get_Üb(YEAR(A101),$I$8)*E101,2)</f>
        <v>3.6</v>
      </c>
      <c r="J101" s="10">
        <f t="shared" si="21"/>
        <v>15</v>
      </c>
      <c r="K101" s="10">
        <f t="shared" si="22"/>
        <v>288.60000000000002</v>
      </c>
      <c r="L101" s="10" cm="1">
        <f t="array" ref="L101">ROUND(1/12*MAX(MTSum-R101-K101,MRSum)*Act_qx(x+C101,Geschlecht,getParm(Tarifart,"Tafel"),YEAR(GebDat),x+Dauer,1),2)</f>
        <v>0.88</v>
      </c>
      <c r="M101" s="10" cm="1">
        <f t="array" ref="M101">ROUND(L101*get_Üb(YEAR(A101),$M$8),2)</f>
        <v>0.04</v>
      </c>
      <c r="N101" s="10" cm="1">
        <f t="array" ref="N101">ROUND(R101*getParm(Tarifart,IF(C101&lt;BZDauer,"gamma1","gamma2")),2)</f>
        <v>15.22</v>
      </c>
      <c r="O101" s="10" cm="1">
        <f t="array" ref="O101">ROUND(R101*get_Üb(YEAR(A101),$O$8),2)</f>
        <v>3.8</v>
      </c>
      <c r="P101" s="19">
        <f t="shared" si="23"/>
        <v>4.9734972931000003</v>
      </c>
      <c r="Q101" s="19" cm="1">
        <f t="array" ref="Q101">ROUND(P101+1/getKurs(EDATE(A101,-1))*(K101-L101-N101-getParm(Tarifart,"StK")+M101+O101),10)*(C101&lt;Dauer)</f>
        <v>5.0103373491000003</v>
      </c>
      <c r="R101" s="10" cm="1">
        <f t="array" ref="R101">ROUND(P101*getKurs($A101),2)</f>
        <v>38040.19</v>
      </c>
      <c r="S101" s="10" cm="1">
        <f t="array" ref="S101">ROUND(Q101*getKurs($A101),2)</f>
        <v>38321.97</v>
      </c>
      <c r="T101" s="10">
        <f t="shared" si="19"/>
        <v>43200</v>
      </c>
      <c r="U101" s="10" cm="1">
        <f t="array" ref="U101">getParm(Tarifart,"StoSatz")*(Dauer-C101)*Beitrag*Zahlweise*(C101&lt;BZDauer)</f>
        <v>1656</v>
      </c>
      <c r="V101" s="10">
        <f t="shared" si="24"/>
        <v>36665.97</v>
      </c>
    </row>
    <row r="102" spans="1:22" x14ac:dyDescent="0.45">
      <c r="A102" s="15">
        <f t="shared" si="25"/>
        <v>39356</v>
      </c>
      <c r="B102">
        <f t="shared" si="15"/>
        <v>93</v>
      </c>
      <c r="C102">
        <f t="shared" si="20"/>
        <v>7</v>
      </c>
      <c r="D102">
        <f t="shared" si="16"/>
        <v>9</v>
      </c>
      <c r="E102">
        <f t="shared" si="17"/>
        <v>1</v>
      </c>
      <c r="F102" s="10">
        <f t="shared" si="18"/>
        <v>300</v>
      </c>
      <c r="G102" s="10" cm="1">
        <f t="array" ref="G102">ROUND(getParm(Tarifart,"alpha")/(2*Zahlweise)*BeiSum*(C102&lt;2)*E102,2)</f>
        <v>0</v>
      </c>
      <c r="H102" s="10" cm="1">
        <f t="array" ref="H102">ROUND(F102*getParm(Tarifart,"beta")*E102,2)</f>
        <v>15</v>
      </c>
      <c r="I102" s="10" cm="1">
        <f t="array" ref="I102">ROUND(F102*get_Üb(YEAR(A102),$I$8)*E102,2)</f>
        <v>3.6</v>
      </c>
      <c r="J102" s="10">
        <f t="shared" si="21"/>
        <v>15</v>
      </c>
      <c r="K102" s="10">
        <f t="shared" si="22"/>
        <v>288.60000000000002</v>
      </c>
      <c r="L102" s="10" cm="1">
        <f t="array" ref="L102">ROUND(1/12*MAX(MTSum-R102-K102,MRSum)*Act_qx(x+C102,Geschlecht,getParm(Tarifart,"Tafel"),YEAR(GebDat),x+Dauer,1),2)</f>
        <v>0.65</v>
      </c>
      <c r="M102" s="10" cm="1">
        <f t="array" ref="M102">ROUND(L102*get_Üb(YEAR(A102),$M$8),2)</f>
        <v>0.03</v>
      </c>
      <c r="N102" s="10" cm="1">
        <f t="array" ref="N102">ROUND(R102*getParm(Tarifart,IF(C102&lt;BZDauer,"gamma1","gamma2")),2)</f>
        <v>15.88</v>
      </c>
      <c r="O102" s="10" cm="1">
        <f t="array" ref="O102">ROUND(R102*get_Üb(YEAR(A102),$O$8),2)</f>
        <v>3.97</v>
      </c>
      <c r="P102" s="19">
        <f t="shared" si="23"/>
        <v>5.0103373491000003</v>
      </c>
      <c r="Q102" s="19" cm="1">
        <f t="array" ref="Q102">ROUND(P102+1/getKurs(EDATE(A102,-1))*(K102-L102-N102-getParm(Tarifart,"StK")+M102+O102),10)*(C102&lt;Dauer)</f>
        <v>5.0463008874000002</v>
      </c>
      <c r="R102" s="10" cm="1">
        <f t="array" ref="R102">ROUND(P102*getKurs($A102),2)</f>
        <v>39694</v>
      </c>
      <c r="S102" s="10" cm="1">
        <f t="array" ref="S102">ROUND(Q102*getKurs($A102),2)</f>
        <v>39978.92</v>
      </c>
      <c r="T102" s="10">
        <f t="shared" si="19"/>
        <v>43294</v>
      </c>
      <c r="U102" s="10" cm="1">
        <f t="array" ref="U102">getParm(Tarifart,"StoSatz")*(Dauer-C102)*Beitrag*Zahlweise*(C102&lt;BZDauer)</f>
        <v>1656</v>
      </c>
      <c r="V102" s="10">
        <f t="shared" si="24"/>
        <v>38322.92</v>
      </c>
    </row>
    <row r="103" spans="1:22" x14ac:dyDescent="0.45">
      <c r="A103" s="15">
        <f t="shared" si="25"/>
        <v>39387</v>
      </c>
      <c r="B103">
        <f t="shared" si="15"/>
        <v>94</v>
      </c>
      <c r="C103">
        <f t="shared" si="20"/>
        <v>7</v>
      </c>
      <c r="D103">
        <f t="shared" si="16"/>
        <v>10</v>
      </c>
      <c r="E103">
        <f t="shared" si="17"/>
        <v>1</v>
      </c>
      <c r="F103" s="10">
        <f t="shared" si="18"/>
        <v>300</v>
      </c>
      <c r="G103" s="10" cm="1">
        <f t="array" ref="G103">ROUND(getParm(Tarifart,"alpha")/(2*Zahlweise)*BeiSum*(C103&lt;2)*E103,2)</f>
        <v>0</v>
      </c>
      <c r="H103" s="10" cm="1">
        <f t="array" ref="H103">ROUND(F103*getParm(Tarifart,"beta")*E103,2)</f>
        <v>15</v>
      </c>
      <c r="I103" s="10" cm="1">
        <f t="array" ref="I103">ROUND(F103*get_Üb(YEAR(A103),$I$8)*E103,2)</f>
        <v>3.6</v>
      </c>
      <c r="J103" s="10">
        <f t="shared" si="21"/>
        <v>15</v>
      </c>
      <c r="K103" s="10">
        <f t="shared" si="22"/>
        <v>288.60000000000002</v>
      </c>
      <c r="L103" s="10" cm="1">
        <f t="array" ref="L103">ROUND(1/12*MAX(MTSum-R103-K103,MRSum)*Act_qx(x+C103,Geschlecht,getParm(Tarifart,"Tafel"),YEAR(GebDat),x+Dauer,1),2)</f>
        <v>0.65</v>
      </c>
      <c r="M103" s="10" cm="1">
        <f t="array" ref="M103">ROUND(L103*get_Üb(YEAR(A103),$M$8),2)</f>
        <v>0.03</v>
      </c>
      <c r="N103" s="10" cm="1">
        <f t="array" ref="N103">ROUND(R103*getParm(Tarifart,IF(C103&lt;BZDauer,"gamma1","gamma2")),2)</f>
        <v>15.91</v>
      </c>
      <c r="O103" s="10" cm="1">
        <f t="array" ref="O103">ROUND(R103*get_Üb(YEAR(A103),$O$8),2)</f>
        <v>3.98</v>
      </c>
      <c r="P103" s="19">
        <f t="shared" si="23"/>
        <v>5.0463008874000002</v>
      </c>
      <c r="Q103" s="19" cm="1">
        <f t="array" ref="Q103">ROUND(P103+1/getKurs(EDATE(A103,-1))*(K103-L103-N103-getParm(Tarifart,"StK")+M103+O103),10)*(C103&lt;Dauer)</f>
        <v>5.0810188145000001</v>
      </c>
      <c r="R103" s="10" cm="1">
        <f t="array" ref="R103">ROUND(P103*getKurs($A103),2)</f>
        <v>39769.14</v>
      </c>
      <c r="S103" s="10" cm="1">
        <f t="array" ref="S103">ROUND(Q103*getKurs($A103),2)</f>
        <v>40042.75</v>
      </c>
      <c r="T103" s="10">
        <f t="shared" si="19"/>
        <v>43369.14</v>
      </c>
      <c r="U103" s="10" cm="1">
        <f t="array" ref="U103">getParm(Tarifart,"StoSatz")*(Dauer-C103)*Beitrag*Zahlweise*(C103&lt;BZDauer)</f>
        <v>1656</v>
      </c>
      <c r="V103" s="10">
        <f t="shared" si="24"/>
        <v>38386.75</v>
      </c>
    </row>
    <row r="104" spans="1:22" x14ac:dyDescent="0.45">
      <c r="A104" s="15">
        <f t="shared" si="25"/>
        <v>39417</v>
      </c>
      <c r="B104">
        <f t="shared" si="15"/>
        <v>95</v>
      </c>
      <c r="C104">
        <f t="shared" si="20"/>
        <v>7</v>
      </c>
      <c r="D104">
        <f t="shared" si="16"/>
        <v>11</v>
      </c>
      <c r="E104">
        <f t="shared" si="17"/>
        <v>1</v>
      </c>
      <c r="F104" s="10">
        <f t="shared" si="18"/>
        <v>300</v>
      </c>
      <c r="G104" s="10" cm="1">
        <f t="array" ref="G104">ROUND(getParm(Tarifart,"alpha")/(2*Zahlweise)*BeiSum*(C104&lt;2)*E104,2)</f>
        <v>0</v>
      </c>
      <c r="H104" s="10" cm="1">
        <f t="array" ref="H104">ROUND(F104*getParm(Tarifart,"beta")*E104,2)</f>
        <v>15</v>
      </c>
      <c r="I104" s="10" cm="1">
        <f t="array" ref="I104">ROUND(F104*get_Üb(YEAR(A104),$I$8)*E104,2)</f>
        <v>3.6</v>
      </c>
      <c r="J104" s="10">
        <f t="shared" si="21"/>
        <v>15</v>
      </c>
      <c r="K104" s="10">
        <f t="shared" si="22"/>
        <v>288.60000000000002</v>
      </c>
      <c r="L104" s="10" cm="1">
        <f t="array" ref="L104">ROUND(1/12*MAX(MTSum-R104-K104,MRSum)*Act_qx(x+C104,Geschlecht,getParm(Tarifart,"Tafel"),YEAR(GebDat),x+Dauer,1),2)</f>
        <v>0.65</v>
      </c>
      <c r="M104" s="10" cm="1">
        <f t="array" ref="M104">ROUND(L104*get_Üb(YEAR(A104),$M$8),2)</f>
        <v>0.03</v>
      </c>
      <c r="N104" s="10" cm="1">
        <f t="array" ref="N104">ROUND(R104*getParm(Tarifart,IF(C104&lt;BZDauer,"gamma1","gamma2")),2)</f>
        <v>15.93</v>
      </c>
      <c r="O104" s="10" cm="1">
        <f t="array" ref="O104">ROUND(R104*get_Üb(YEAR(A104),$O$8),2)</f>
        <v>3.98</v>
      </c>
      <c r="P104" s="19">
        <f t="shared" si="23"/>
        <v>5.0810188145000001</v>
      </c>
      <c r="Q104" s="19" cm="1">
        <f t="array" ref="Q104">ROUND(P104+1/getKurs(EDATE(A104,-1))*(K104-L104-N104-getParm(Tarifart,"StK")+M104+O104),10)*(C104&lt;Dauer)</f>
        <v>5.1159173342999997</v>
      </c>
      <c r="R104" s="10" cm="1">
        <f t="array" ref="R104">ROUND(P104*getKurs($A104),2)</f>
        <v>39821.269999999997</v>
      </c>
      <c r="S104" s="10" cm="1">
        <f t="array" ref="S104">ROUND(Q104*getKurs($A104),2)</f>
        <v>40094.769999999997</v>
      </c>
      <c r="T104" s="10">
        <f t="shared" si="19"/>
        <v>43421.27</v>
      </c>
      <c r="U104" s="10" cm="1">
        <f t="array" ref="U104">getParm(Tarifart,"StoSatz")*(Dauer-C104)*Beitrag*Zahlweise*(C104&lt;BZDauer)</f>
        <v>1656</v>
      </c>
      <c r="V104" s="10">
        <f t="shared" si="24"/>
        <v>38438.769999999997</v>
      </c>
    </row>
    <row r="105" spans="1:22" x14ac:dyDescent="0.45">
      <c r="A105" s="15">
        <f t="shared" si="25"/>
        <v>39448</v>
      </c>
      <c r="B105">
        <f t="shared" si="15"/>
        <v>96</v>
      </c>
      <c r="C105">
        <f t="shared" si="20"/>
        <v>8</v>
      </c>
      <c r="D105">
        <f t="shared" si="16"/>
        <v>0</v>
      </c>
      <c r="E105">
        <f t="shared" si="17"/>
        <v>1</v>
      </c>
      <c r="F105" s="10">
        <f t="shared" si="18"/>
        <v>300</v>
      </c>
      <c r="G105" s="10" cm="1">
        <f t="array" ref="G105">ROUND(getParm(Tarifart,"alpha")/(2*Zahlweise)*BeiSum*(C105&lt;2)*E105,2)</f>
        <v>0</v>
      </c>
      <c r="H105" s="10" cm="1">
        <f t="array" ref="H105">ROUND(F105*getParm(Tarifart,"beta")*E105,2)</f>
        <v>15</v>
      </c>
      <c r="I105" s="10" cm="1">
        <f t="array" ref="I105">ROUND(F105*get_Üb(YEAR(A105),$I$8)*E105,2)</f>
        <v>3.6</v>
      </c>
      <c r="J105" s="10">
        <f t="shared" si="21"/>
        <v>15</v>
      </c>
      <c r="K105" s="10">
        <f t="shared" si="22"/>
        <v>288.60000000000002</v>
      </c>
      <c r="L105" s="10" cm="1">
        <f t="array" ref="L105">ROUND(1/12*MAX(MTSum-R105-K105,MRSum)*Act_qx(x+C105,Geschlecht,getParm(Tarifart,"Tafel"),YEAR(GebDat),x+Dauer,1),2)</f>
        <v>0.71</v>
      </c>
      <c r="M105" s="10" cm="1">
        <f t="array" ref="M105">ROUND(L105*get_Üb(YEAR(A105),$M$8),2)</f>
        <v>0.04</v>
      </c>
      <c r="N105" s="10" cm="1">
        <f t="array" ref="N105">ROUND(R105*getParm(Tarifart,IF(C105&lt;BZDauer,"gamma1","gamma2")),2)</f>
        <v>16.27</v>
      </c>
      <c r="O105" s="10" cm="1">
        <f t="array" ref="O105">ROUND(R105*get_Üb(YEAR(A105),$O$8),2)</f>
        <v>4.07</v>
      </c>
      <c r="P105" s="19">
        <f t="shared" si="23"/>
        <v>5.1159173342999997</v>
      </c>
      <c r="Q105" s="19" cm="1">
        <f t="array" ref="Q105">ROUND(P105+1/getKurs(EDATE(A105,-1))*(K105-L105-N105-getParm(Tarifart,"StK")+M105+O105),10)*(C105&lt;Dauer)</f>
        <v>5.1509716773000003</v>
      </c>
      <c r="R105" s="10" cm="1">
        <f t="array" ref="R105">ROUND(P105*getKurs($A105),2)</f>
        <v>40666.99</v>
      </c>
      <c r="S105" s="10" cm="1">
        <f t="array" ref="S105">ROUND(Q105*getKurs($A105),2)</f>
        <v>40945.64</v>
      </c>
      <c r="T105" s="10">
        <f t="shared" si="19"/>
        <v>44266.99</v>
      </c>
      <c r="U105" s="10" cm="1">
        <f t="array" ref="U105">getParm(Tarifart,"StoSatz")*(Dauer-C105)*Beitrag*Zahlweise*(C105&lt;BZDauer)</f>
        <v>1584</v>
      </c>
      <c r="V105" s="10">
        <f t="shared" si="24"/>
        <v>39361.64</v>
      </c>
    </row>
    <row r="106" spans="1:22" x14ac:dyDescent="0.45">
      <c r="A106" s="15">
        <f t="shared" si="25"/>
        <v>39479</v>
      </c>
      <c r="B106">
        <f t="shared" si="15"/>
        <v>97</v>
      </c>
      <c r="C106">
        <f t="shared" si="20"/>
        <v>8</v>
      </c>
      <c r="D106">
        <f t="shared" si="16"/>
        <v>1</v>
      </c>
      <c r="E106">
        <f t="shared" si="17"/>
        <v>1</v>
      </c>
      <c r="F106" s="10">
        <f t="shared" si="18"/>
        <v>300</v>
      </c>
      <c r="G106" s="10" cm="1">
        <f t="array" ref="G106">ROUND(getParm(Tarifart,"alpha")/(2*Zahlweise)*BeiSum*(C106&lt;2)*E106,2)</f>
        <v>0</v>
      </c>
      <c r="H106" s="10" cm="1">
        <f t="array" ref="H106">ROUND(F106*getParm(Tarifart,"beta")*E106,2)</f>
        <v>15</v>
      </c>
      <c r="I106" s="10" cm="1">
        <f t="array" ref="I106">ROUND(F106*get_Üb(YEAR(A106),$I$8)*E106,2)</f>
        <v>3.6</v>
      </c>
      <c r="J106" s="10">
        <f t="shared" si="21"/>
        <v>15</v>
      </c>
      <c r="K106" s="10">
        <f t="shared" si="22"/>
        <v>288.60000000000002</v>
      </c>
      <c r="L106" s="10" cm="1">
        <f t="array" ref="L106">ROUND(1/12*MAX(MTSum-R106-K106,MRSum)*Act_qx(x+C106,Geschlecht,getParm(Tarifart,"Tafel"),YEAR(GebDat),x+Dauer,1),2)</f>
        <v>1.38</v>
      </c>
      <c r="M106" s="10" cm="1">
        <f t="array" ref="M106">ROUND(L106*get_Üb(YEAR(A106),$M$8),2)</f>
        <v>7.0000000000000007E-2</v>
      </c>
      <c r="N106" s="10" cm="1">
        <f t="array" ref="N106">ROUND(R106*getParm(Tarifart,IF(C106&lt;BZDauer,"gamma1","gamma2")),2)</f>
        <v>14.36</v>
      </c>
      <c r="O106" s="10" cm="1">
        <f t="array" ref="O106">ROUND(R106*get_Üb(YEAR(A106),$O$8),2)</f>
        <v>3.59</v>
      </c>
      <c r="P106" s="19">
        <f t="shared" si="23"/>
        <v>5.1509716773000003</v>
      </c>
      <c r="Q106" s="19" cm="1">
        <f t="array" ref="Q106">ROUND(P106+1/getKurs(EDATE(A106,-1))*(K106-L106-N106-getParm(Tarifart,"StK")+M106+O106),10)*(C106&lt;Dauer)</f>
        <v>5.1856321613</v>
      </c>
      <c r="R106" s="10" cm="1">
        <f t="array" ref="R106">ROUND(P106*getKurs($A106),2)</f>
        <v>35895.42</v>
      </c>
      <c r="S106" s="10" cm="1">
        <f t="array" ref="S106">ROUND(Q106*getKurs($A106),2)</f>
        <v>36136.959999999999</v>
      </c>
      <c r="T106" s="10">
        <f t="shared" si="19"/>
        <v>43200</v>
      </c>
      <c r="U106" s="10" cm="1">
        <f t="array" ref="U106">getParm(Tarifart,"StoSatz")*(Dauer-C106)*Beitrag*Zahlweise*(C106&lt;BZDauer)</f>
        <v>1584</v>
      </c>
      <c r="V106" s="10">
        <f t="shared" si="24"/>
        <v>34552.959999999999</v>
      </c>
    </row>
    <row r="107" spans="1:22" x14ac:dyDescent="0.45">
      <c r="A107" s="15">
        <f t="shared" si="25"/>
        <v>39508</v>
      </c>
      <c r="B107">
        <f t="shared" si="15"/>
        <v>98</v>
      </c>
      <c r="C107">
        <f t="shared" si="20"/>
        <v>8</v>
      </c>
      <c r="D107">
        <f t="shared" si="16"/>
        <v>2</v>
      </c>
      <c r="E107">
        <f t="shared" si="17"/>
        <v>1</v>
      </c>
      <c r="F107" s="10">
        <f t="shared" si="18"/>
        <v>300</v>
      </c>
      <c r="G107" s="10" cm="1">
        <f t="array" ref="G107">ROUND(getParm(Tarifart,"alpha")/(2*Zahlweise)*BeiSum*(C107&lt;2)*E107,2)</f>
        <v>0</v>
      </c>
      <c r="H107" s="10" cm="1">
        <f t="array" ref="H107">ROUND(F107*getParm(Tarifart,"beta")*E107,2)</f>
        <v>15</v>
      </c>
      <c r="I107" s="10" cm="1">
        <f t="array" ref="I107">ROUND(F107*get_Üb(YEAR(A107),$I$8)*E107,2)</f>
        <v>3.6</v>
      </c>
      <c r="J107" s="10">
        <f t="shared" si="21"/>
        <v>15</v>
      </c>
      <c r="K107" s="10">
        <f t="shared" si="22"/>
        <v>288.60000000000002</v>
      </c>
      <c r="L107" s="10" cm="1">
        <f t="array" ref="L107">ROUND(1/12*MAX(MTSum-R107-K107,MRSum)*Act_qx(x+C107,Geschlecht,getParm(Tarifart,"Tafel"),YEAR(GebDat),x+Dauer,1),2)</f>
        <v>1.61</v>
      </c>
      <c r="M107" s="10" cm="1">
        <f t="array" ref="M107">ROUND(L107*get_Üb(YEAR(A107),$M$8),2)</f>
        <v>0.08</v>
      </c>
      <c r="N107" s="10" cm="1">
        <f t="array" ref="N107">ROUND(R107*getParm(Tarifart,IF(C107&lt;BZDauer,"gamma1","gamma2")),2)</f>
        <v>13.88</v>
      </c>
      <c r="O107" s="10" cm="1">
        <f t="array" ref="O107">ROUND(R107*get_Üb(YEAR(A107),$O$8),2)</f>
        <v>3.47</v>
      </c>
      <c r="P107" s="19">
        <f t="shared" si="23"/>
        <v>5.1856321613</v>
      </c>
      <c r="Q107" s="19" cm="1">
        <f t="array" ref="Q107">ROUND(P107+1/getKurs(EDATE(A107,-1))*(K107-L107-N107-getParm(Tarifart,"StK")+M107+O107),10)*(C107&lt;Dauer)</f>
        <v>5.2251892072999997</v>
      </c>
      <c r="R107" s="10" cm="1">
        <f t="array" ref="R107">ROUND(P107*getKurs($A107),2)</f>
        <v>34691.620000000003</v>
      </c>
      <c r="S107" s="10" cm="1">
        <f t="array" ref="S107">ROUND(Q107*getKurs($A107),2)</f>
        <v>34956.25</v>
      </c>
      <c r="T107" s="10">
        <f t="shared" si="19"/>
        <v>43200</v>
      </c>
      <c r="U107" s="10" cm="1">
        <f t="array" ref="U107">getParm(Tarifart,"StoSatz")*(Dauer-C107)*Beitrag*Zahlweise*(C107&lt;BZDauer)</f>
        <v>1584</v>
      </c>
      <c r="V107" s="10">
        <f t="shared" si="24"/>
        <v>33372.25</v>
      </c>
    </row>
    <row r="108" spans="1:22" x14ac:dyDescent="0.45">
      <c r="A108" s="15">
        <f t="shared" si="25"/>
        <v>39539</v>
      </c>
      <c r="B108">
        <f t="shared" si="15"/>
        <v>99</v>
      </c>
      <c r="C108">
        <f t="shared" si="20"/>
        <v>8</v>
      </c>
      <c r="D108">
        <f t="shared" si="16"/>
        <v>3</v>
      </c>
      <c r="E108">
        <f t="shared" si="17"/>
        <v>1</v>
      </c>
      <c r="F108" s="10">
        <f t="shared" si="18"/>
        <v>300</v>
      </c>
      <c r="G108" s="10" cm="1">
        <f t="array" ref="G108">ROUND(getParm(Tarifart,"alpha")/(2*Zahlweise)*BeiSum*(C108&lt;2)*E108,2)</f>
        <v>0</v>
      </c>
      <c r="H108" s="10" cm="1">
        <f t="array" ref="H108">ROUND(F108*getParm(Tarifart,"beta")*E108,2)</f>
        <v>15</v>
      </c>
      <c r="I108" s="10" cm="1">
        <f t="array" ref="I108">ROUND(F108*get_Üb(YEAR(A108),$I$8)*E108,2)</f>
        <v>3.6</v>
      </c>
      <c r="J108" s="10">
        <f t="shared" si="21"/>
        <v>15</v>
      </c>
      <c r="K108" s="10">
        <f t="shared" si="22"/>
        <v>288.60000000000002</v>
      </c>
      <c r="L108" s="10" cm="1">
        <f t="array" ref="L108">ROUND(1/12*MAX(MTSum-R108-K108,MRSum)*Act_qx(x+C108,Geschlecht,getParm(Tarifart,"Tafel"),YEAR(GebDat),x+Dauer,1),2)</f>
        <v>1.53</v>
      </c>
      <c r="M108" s="10" cm="1">
        <f t="array" ref="M108">ROUND(L108*get_Üb(YEAR(A108),$M$8),2)</f>
        <v>0.08</v>
      </c>
      <c r="N108" s="10" cm="1">
        <f t="array" ref="N108">ROUND(R108*getParm(Tarifart,IF(C108&lt;BZDauer,"gamma1","gamma2")),2)</f>
        <v>14.05</v>
      </c>
      <c r="O108" s="10" cm="1">
        <f t="array" ref="O108">ROUND(R108*get_Üb(YEAR(A108),$O$8),2)</f>
        <v>3.51</v>
      </c>
      <c r="P108" s="19">
        <f t="shared" si="23"/>
        <v>5.2251892072999997</v>
      </c>
      <c r="Q108" s="19" cm="1">
        <f t="array" ref="Q108">ROUND(P108+1/getKurs(EDATE(A108,-1))*(K108-L108-N108-getParm(Tarifart,"StK")+M108+O108),10)*(C108&lt;Dauer)</f>
        <v>5.2663868245999996</v>
      </c>
      <c r="R108" s="10" cm="1">
        <f t="array" ref="R108">ROUND(P108*getKurs($A108),2)</f>
        <v>35115</v>
      </c>
      <c r="S108" s="10" cm="1">
        <f t="array" ref="S108">ROUND(Q108*getKurs($A108),2)</f>
        <v>35391.86</v>
      </c>
      <c r="T108" s="10">
        <f t="shared" si="19"/>
        <v>43200</v>
      </c>
      <c r="U108" s="10" cm="1">
        <f t="array" ref="U108">getParm(Tarifart,"StoSatz")*(Dauer-C108)*Beitrag*Zahlweise*(C108&lt;BZDauer)</f>
        <v>1584</v>
      </c>
      <c r="V108" s="10">
        <f t="shared" si="24"/>
        <v>33807.86</v>
      </c>
    </row>
    <row r="109" spans="1:22" x14ac:dyDescent="0.45">
      <c r="A109" s="15">
        <f t="shared" si="25"/>
        <v>39569</v>
      </c>
      <c r="B109">
        <f t="shared" si="15"/>
        <v>100</v>
      </c>
      <c r="C109">
        <f t="shared" si="20"/>
        <v>8</v>
      </c>
      <c r="D109">
        <f t="shared" si="16"/>
        <v>4</v>
      </c>
      <c r="E109">
        <f t="shared" si="17"/>
        <v>1</v>
      </c>
      <c r="F109" s="10">
        <f t="shared" si="18"/>
        <v>300</v>
      </c>
      <c r="G109" s="10" cm="1">
        <f t="array" ref="G109">ROUND(getParm(Tarifart,"alpha")/(2*Zahlweise)*BeiSum*(C109&lt;2)*E109,2)</f>
        <v>0</v>
      </c>
      <c r="H109" s="10" cm="1">
        <f t="array" ref="H109">ROUND(F109*getParm(Tarifart,"beta")*E109,2)</f>
        <v>15</v>
      </c>
      <c r="I109" s="10" cm="1">
        <f t="array" ref="I109">ROUND(F109*get_Üb(YEAR(A109),$I$8)*E109,2)</f>
        <v>3.6</v>
      </c>
      <c r="J109" s="10">
        <f t="shared" si="21"/>
        <v>15</v>
      </c>
      <c r="K109" s="10">
        <f t="shared" si="22"/>
        <v>288.60000000000002</v>
      </c>
      <c r="L109" s="10" cm="1">
        <f t="array" ref="L109">ROUND(1/12*MAX(MTSum-R109-K109,MRSum)*Act_qx(x+C109,Geschlecht,getParm(Tarifart,"Tafel"),YEAR(GebDat),x+Dauer,1),2)</f>
        <v>1.1399999999999999</v>
      </c>
      <c r="M109" s="10" cm="1">
        <f t="array" ref="M109">ROUND(L109*get_Üb(YEAR(A109),$M$8),2)</f>
        <v>0.06</v>
      </c>
      <c r="N109" s="10" cm="1">
        <f t="array" ref="N109">ROUND(R109*getParm(Tarifart,IF(C109&lt;BZDauer,"gamma1","gamma2")),2)</f>
        <v>14.84</v>
      </c>
      <c r="O109" s="10" cm="1">
        <f t="array" ref="O109">ROUND(R109*get_Üb(YEAR(A109),$O$8),2)</f>
        <v>3.71</v>
      </c>
      <c r="P109" s="19">
        <f t="shared" si="23"/>
        <v>5.2663868245999996</v>
      </c>
      <c r="Q109" s="19" cm="1">
        <f t="array" ref="Q109">ROUND(P109+1/getKurs(EDATE(A109,-1))*(K109-L109-N109-getParm(Tarifart,"StK")+M109+O109),10)*(C109&lt;Dauer)</f>
        <v>5.3073654670000003</v>
      </c>
      <c r="R109" s="10" cm="1">
        <f t="array" ref="R109">ROUND(P109*getKurs($A109),2)</f>
        <v>37092.370000000003</v>
      </c>
      <c r="S109" s="10" cm="1">
        <f t="array" ref="S109">ROUND(Q109*getKurs($A109),2)</f>
        <v>37381</v>
      </c>
      <c r="T109" s="10">
        <f t="shared" si="19"/>
        <v>43200</v>
      </c>
      <c r="U109" s="10" cm="1">
        <f t="array" ref="U109">getParm(Tarifart,"StoSatz")*(Dauer-C109)*Beitrag*Zahlweise*(C109&lt;BZDauer)</f>
        <v>1584</v>
      </c>
      <c r="V109" s="10">
        <f t="shared" si="24"/>
        <v>35797</v>
      </c>
    </row>
    <row r="110" spans="1:22" x14ac:dyDescent="0.45">
      <c r="A110" s="15">
        <f t="shared" si="25"/>
        <v>39600</v>
      </c>
      <c r="B110">
        <f t="shared" si="15"/>
        <v>101</v>
      </c>
      <c r="C110">
        <f t="shared" si="20"/>
        <v>8</v>
      </c>
      <c r="D110">
        <f t="shared" si="16"/>
        <v>5</v>
      </c>
      <c r="E110">
        <f t="shared" si="17"/>
        <v>1</v>
      </c>
      <c r="F110" s="10">
        <f t="shared" si="18"/>
        <v>300</v>
      </c>
      <c r="G110" s="10" cm="1">
        <f t="array" ref="G110">ROUND(getParm(Tarifart,"alpha")/(2*Zahlweise)*BeiSum*(C110&lt;2)*E110,2)</f>
        <v>0</v>
      </c>
      <c r="H110" s="10" cm="1">
        <f t="array" ref="H110">ROUND(F110*getParm(Tarifart,"beta")*E110,2)</f>
        <v>15</v>
      </c>
      <c r="I110" s="10" cm="1">
        <f t="array" ref="I110">ROUND(F110*get_Üb(YEAR(A110),$I$8)*E110,2)</f>
        <v>3.6</v>
      </c>
      <c r="J110" s="10">
        <f t="shared" si="21"/>
        <v>15</v>
      </c>
      <c r="K110" s="10">
        <f t="shared" si="22"/>
        <v>288.60000000000002</v>
      </c>
      <c r="L110" s="10" cm="1">
        <f t="array" ref="L110">ROUND(1/12*MAX(MTSum-R110-K110,MRSum)*Act_qx(x+C110,Geschlecht,getParm(Tarifart,"Tafel"),YEAR(GebDat),x+Dauer,1),2)</f>
        <v>1.1200000000000001</v>
      </c>
      <c r="M110" s="10" cm="1">
        <f t="array" ref="M110">ROUND(L110*get_Üb(YEAR(A110),$M$8),2)</f>
        <v>0.06</v>
      </c>
      <c r="N110" s="10" cm="1">
        <f t="array" ref="N110">ROUND(R110*getParm(Tarifart,IF(C110&lt;BZDauer,"gamma1","gamma2")),2)</f>
        <v>14.88</v>
      </c>
      <c r="O110" s="10" cm="1">
        <f t="array" ref="O110">ROUND(R110*get_Üb(YEAR(A110),$O$8),2)</f>
        <v>3.72</v>
      </c>
      <c r="P110" s="19">
        <f t="shared" si="23"/>
        <v>5.3073654670000003</v>
      </c>
      <c r="Q110" s="19" cm="1">
        <f t="array" ref="Q110">ROUND(P110+1/getKurs(EDATE(A110,-1))*(K110-L110-N110-getParm(Tarifart,"StK")+M110+O110),10)*(C110&lt;Dauer)</f>
        <v>5.3464640055999997</v>
      </c>
      <c r="R110" s="10" cm="1">
        <f t="array" ref="R110">ROUND(P110*getKurs($A110),2)</f>
        <v>37198.1</v>
      </c>
      <c r="S110" s="10" cm="1">
        <f t="array" ref="S110">ROUND(Q110*getKurs($A110),2)</f>
        <v>37472.14</v>
      </c>
      <c r="T110" s="10">
        <f t="shared" si="19"/>
        <v>43200</v>
      </c>
      <c r="U110" s="10" cm="1">
        <f t="array" ref="U110">getParm(Tarifart,"StoSatz")*(Dauer-C110)*Beitrag*Zahlweise*(C110&lt;BZDauer)</f>
        <v>1584</v>
      </c>
      <c r="V110" s="10">
        <f t="shared" si="24"/>
        <v>35888.14</v>
      </c>
    </row>
    <row r="111" spans="1:22" x14ac:dyDescent="0.45">
      <c r="A111" s="15">
        <f t="shared" si="25"/>
        <v>39630</v>
      </c>
      <c r="B111">
        <f t="shared" si="15"/>
        <v>102</v>
      </c>
      <c r="C111">
        <f t="shared" si="20"/>
        <v>8</v>
      </c>
      <c r="D111">
        <f t="shared" si="16"/>
        <v>6</v>
      </c>
      <c r="E111">
        <f t="shared" si="17"/>
        <v>1</v>
      </c>
      <c r="F111" s="10">
        <f t="shared" si="18"/>
        <v>300</v>
      </c>
      <c r="G111" s="10" cm="1">
        <f t="array" ref="G111">ROUND(getParm(Tarifart,"alpha")/(2*Zahlweise)*BeiSum*(C111&lt;2)*E111,2)</f>
        <v>0</v>
      </c>
      <c r="H111" s="10" cm="1">
        <f t="array" ref="H111">ROUND(F111*getParm(Tarifart,"beta")*E111,2)</f>
        <v>15</v>
      </c>
      <c r="I111" s="10" cm="1">
        <f t="array" ref="I111">ROUND(F111*get_Üb(YEAR(A111),$I$8)*E111,2)</f>
        <v>3.6</v>
      </c>
      <c r="J111" s="10">
        <f t="shared" si="21"/>
        <v>15</v>
      </c>
      <c r="K111" s="10">
        <f t="shared" si="22"/>
        <v>288.60000000000002</v>
      </c>
      <c r="L111" s="10" cm="1">
        <f t="array" ref="L111">ROUND(1/12*MAX(MTSum-R111-K111,MRSum)*Act_qx(x+C111,Geschlecht,getParm(Tarifart,"Tafel"),YEAR(GebDat),x+Dauer,1),2)</f>
        <v>1.79</v>
      </c>
      <c r="M111" s="10" cm="1">
        <f t="array" ref="M111">ROUND(L111*get_Üb(YEAR(A111),$M$8),2)</f>
        <v>0.09</v>
      </c>
      <c r="N111" s="10" cm="1">
        <f t="array" ref="N111">ROUND(R111*getParm(Tarifart,IF(C111&lt;BZDauer,"gamma1","gamma2")),2)</f>
        <v>13.51</v>
      </c>
      <c r="O111" s="10" cm="1">
        <f t="array" ref="O111">ROUND(R111*get_Üb(YEAR(A111),$O$8),2)</f>
        <v>3.38</v>
      </c>
      <c r="P111" s="19">
        <f t="shared" si="23"/>
        <v>5.3464640055999997</v>
      </c>
      <c r="Q111" s="19" cm="1">
        <f t="array" ref="Q111">ROUND(P111+1/getKurs(EDATE(A111,-1))*(K111-L111-N111-getParm(Tarifart,"StK")+M111+O111),10)*(C111&lt;Dauer)</f>
        <v>5.3858104243999998</v>
      </c>
      <c r="R111" s="10" cm="1">
        <f t="array" ref="R111">ROUND(P111*getKurs($A111),2)</f>
        <v>33767.949999999997</v>
      </c>
      <c r="S111" s="10" cm="1">
        <f t="array" ref="S111">ROUND(Q111*getKurs($A111),2)</f>
        <v>34016.46</v>
      </c>
      <c r="T111" s="10">
        <f t="shared" si="19"/>
        <v>43200</v>
      </c>
      <c r="U111" s="10" cm="1">
        <f t="array" ref="U111">getParm(Tarifart,"StoSatz")*(Dauer-C111)*Beitrag*Zahlweise*(C111&lt;BZDauer)</f>
        <v>1584</v>
      </c>
      <c r="V111" s="10">
        <f t="shared" si="24"/>
        <v>32432.46</v>
      </c>
    </row>
    <row r="112" spans="1:22" x14ac:dyDescent="0.45">
      <c r="A112" s="15">
        <f t="shared" si="25"/>
        <v>39661</v>
      </c>
      <c r="B112">
        <f t="shared" si="15"/>
        <v>103</v>
      </c>
      <c r="C112">
        <f t="shared" si="20"/>
        <v>8</v>
      </c>
      <c r="D112">
        <f t="shared" si="16"/>
        <v>7</v>
      </c>
      <c r="E112">
        <f t="shared" si="17"/>
        <v>1</v>
      </c>
      <c r="F112" s="10">
        <f t="shared" si="18"/>
        <v>300</v>
      </c>
      <c r="G112" s="10" cm="1">
        <f t="array" ref="G112">ROUND(getParm(Tarifart,"alpha")/(2*Zahlweise)*BeiSum*(C112&lt;2)*E112,2)</f>
        <v>0</v>
      </c>
      <c r="H112" s="10" cm="1">
        <f t="array" ref="H112">ROUND(F112*getParm(Tarifart,"beta")*E112,2)</f>
        <v>15</v>
      </c>
      <c r="I112" s="10" cm="1">
        <f t="array" ref="I112">ROUND(F112*get_Üb(YEAR(A112),$I$8)*E112,2)</f>
        <v>3.6</v>
      </c>
      <c r="J112" s="10">
        <f t="shared" si="21"/>
        <v>15</v>
      </c>
      <c r="K112" s="10">
        <f t="shared" si="22"/>
        <v>288.60000000000002</v>
      </c>
      <c r="L112" s="10" cm="1">
        <f t="array" ref="L112">ROUND(1/12*MAX(MTSum-R112-K112,MRSum)*Act_qx(x+C112,Geschlecht,getParm(Tarifart,"Tafel"),YEAR(GebDat),x+Dauer,1),2)</f>
        <v>1.66</v>
      </c>
      <c r="M112" s="10" cm="1">
        <f t="array" ref="M112">ROUND(L112*get_Üb(YEAR(A112),$M$8),2)</f>
        <v>0.08</v>
      </c>
      <c r="N112" s="10" cm="1">
        <f t="array" ref="N112">ROUND(R112*getParm(Tarifart,IF(C112&lt;BZDauer,"gamma1","gamma2")),2)</f>
        <v>13.78</v>
      </c>
      <c r="O112" s="10" cm="1">
        <f t="array" ref="O112">ROUND(R112*get_Üb(YEAR(A112),$O$8),2)</f>
        <v>3.45</v>
      </c>
      <c r="P112" s="19">
        <f t="shared" si="23"/>
        <v>5.3858104243999998</v>
      </c>
      <c r="Q112" s="19" cm="1">
        <f t="array" ref="Q112">ROUND(P112+1/getKurs(EDATE(A112,-1))*(K112-L112-N112-getParm(Tarifart,"StK")+M112+O112),10)*(C112&lt;Dauer)</f>
        <v>5.4294603006999997</v>
      </c>
      <c r="R112" s="10" cm="1">
        <f t="array" ref="R112">ROUND(P112*getKurs($A112),2)</f>
        <v>34450.120000000003</v>
      </c>
      <c r="S112" s="10" cm="1">
        <f t="array" ref="S112">ROUND(Q112*getKurs($A112),2)</f>
        <v>34729.33</v>
      </c>
      <c r="T112" s="10">
        <f t="shared" si="19"/>
        <v>43200</v>
      </c>
      <c r="U112" s="10" cm="1">
        <f t="array" ref="U112">getParm(Tarifart,"StoSatz")*(Dauer-C112)*Beitrag*Zahlweise*(C112&lt;BZDauer)</f>
        <v>1584</v>
      </c>
      <c r="V112" s="10">
        <f t="shared" si="24"/>
        <v>33145.33</v>
      </c>
    </row>
    <row r="113" spans="1:22" x14ac:dyDescent="0.45">
      <c r="A113" s="15">
        <f t="shared" si="25"/>
        <v>39692</v>
      </c>
      <c r="B113">
        <f t="shared" si="15"/>
        <v>104</v>
      </c>
      <c r="C113">
        <f t="shared" si="20"/>
        <v>8</v>
      </c>
      <c r="D113">
        <f t="shared" si="16"/>
        <v>8</v>
      </c>
      <c r="E113">
        <f t="shared" si="17"/>
        <v>1</v>
      </c>
      <c r="F113" s="10">
        <f t="shared" si="18"/>
        <v>300</v>
      </c>
      <c r="G113" s="10" cm="1">
        <f t="array" ref="G113">ROUND(getParm(Tarifart,"alpha")/(2*Zahlweise)*BeiSum*(C113&lt;2)*E113,2)</f>
        <v>0</v>
      </c>
      <c r="H113" s="10" cm="1">
        <f t="array" ref="H113">ROUND(F113*getParm(Tarifart,"beta")*E113,2)</f>
        <v>15</v>
      </c>
      <c r="I113" s="10" cm="1">
        <f t="array" ref="I113">ROUND(F113*get_Üb(YEAR(A113),$I$8)*E113,2)</f>
        <v>3.6</v>
      </c>
      <c r="J113" s="10">
        <f t="shared" si="21"/>
        <v>15</v>
      </c>
      <c r="K113" s="10">
        <f t="shared" si="22"/>
        <v>288.60000000000002</v>
      </c>
      <c r="L113" s="10" cm="1">
        <f t="array" ref="L113">ROUND(1/12*MAX(MTSum-R113-K113,MRSum)*Act_qx(x+C113,Geschlecht,getParm(Tarifart,"Tafel"),YEAR(GebDat),x+Dauer,1),2)</f>
        <v>1.58</v>
      </c>
      <c r="M113" s="10" cm="1">
        <f t="array" ref="M113">ROUND(L113*get_Üb(YEAR(A113),$M$8),2)</f>
        <v>0.08</v>
      </c>
      <c r="N113" s="10" cm="1">
        <f t="array" ref="N113">ROUND(R113*getParm(Tarifart,IF(C113&lt;BZDauer,"gamma1","gamma2")),2)</f>
        <v>13.95</v>
      </c>
      <c r="O113" s="10" cm="1">
        <f t="array" ref="O113">ROUND(R113*get_Üb(YEAR(A113),$O$8),2)</f>
        <v>3.49</v>
      </c>
      <c r="P113" s="19">
        <f t="shared" si="23"/>
        <v>5.4294603006999997</v>
      </c>
      <c r="Q113" s="19" cm="1">
        <f t="array" ref="Q113">ROUND(P113+1/getKurs(EDATE(A113,-1))*(K113-L113-N113-getParm(Tarifart,"StK")+M113+O113),10)*(C113&lt;Dauer)</f>
        <v>5.4725528862999999</v>
      </c>
      <c r="R113" s="10" cm="1">
        <f t="array" ref="R113">ROUND(P113*getKurs($A113),2)</f>
        <v>34866.910000000003</v>
      </c>
      <c r="S113" s="10" cm="1">
        <f t="array" ref="S113">ROUND(Q113*getKurs($A113),2)</f>
        <v>35143.64</v>
      </c>
      <c r="T113" s="10">
        <f t="shared" si="19"/>
        <v>43200</v>
      </c>
      <c r="U113" s="10" cm="1">
        <f t="array" ref="U113">getParm(Tarifart,"StoSatz")*(Dauer-C113)*Beitrag*Zahlweise*(C113&lt;BZDauer)</f>
        <v>1584</v>
      </c>
      <c r="V113" s="10">
        <f t="shared" si="24"/>
        <v>33559.64</v>
      </c>
    </row>
    <row r="114" spans="1:22" x14ac:dyDescent="0.45">
      <c r="A114" s="15">
        <f t="shared" si="25"/>
        <v>39722</v>
      </c>
      <c r="B114">
        <f t="shared" si="15"/>
        <v>105</v>
      </c>
      <c r="C114">
        <f t="shared" si="20"/>
        <v>8</v>
      </c>
      <c r="D114">
        <f t="shared" si="16"/>
        <v>9</v>
      </c>
      <c r="E114">
        <f t="shared" si="17"/>
        <v>1</v>
      </c>
      <c r="F114" s="10">
        <f t="shared" si="18"/>
        <v>300</v>
      </c>
      <c r="G114" s="10" cm="1">
        <f t="array" ref="G114">ROUND(getParm(Tarifart,"alpha")/(2*Zahlweise)*BeiSum*(C114&lt;2)*E114,2)</f>
        <v>0</v>
      </c>
      <c r="H114" s="10" cm="1">
        <f t="array" ref="H114">ROUND(F114*getParm(Tarifart,"beta")*E114,2)</f>
        <v>15</v>
      </c>
      <c r="I114" s="10" cm="1">
        <f t="array" ref="I114">ROUND(F114*get_Üb(YEAR(A114),$I$8)*E114,2)</f>
        <v>3.6</v>
      </c>
      <c r="J114" s="10">
        <f t="shared" si="21"/>
        <v>15</v>
      </c>
      <c r="K114" s="10">
        <f t="shared" si="22"/>
        <v>288.60000000000002</v>
      </c>
      <c r="L114" s="10" cm="1">
        <f t="array" ref="L114">ROUND(1/12*MAX(MTSum-R114-K114,MRSum)*Act_qx(x+C114,Geschlecht,getParm(Tarifart,"Tafel"),YEAR(GebDat),x+Dauer,1),2)</f>
        <v>2.1800000000000002</v>
      </c>
      <c r="M114" s="10" cm="1">
        <f t="array" ref="M114">ROUND(L114*get_Üb(YEAR(A114),$M$8),2)</f>
        <v>0.11</v>
      </c>
      <c r="N114" s="10" cm="1">
        <f t="array" ref="N114">ROUND(R114*getParm(Tarifart,IF(C114&lt;BZDauer,"gamma1","gamma2")),2)</f>
        <v>12.71</v>
      </c>
      <c r="O114" s="10" cm="1">
        <f t="array" ref="O114">ROUND(R114*get_Üb(YEAR(A114),$O$8),2)</f>
        <v>3.18</v>
      </c>
      <c r="P114" s="19">
        <f t="shared" si="23"/>
        <v>5.4725528862999999</v>
      </c>
      <c r="Q114" s="19" cm="1">
        <f t="array" ref="Q114">ROUND(P114+1/getKurs(EDATE(A114,-1))*(K114-L114-N114-getParm(Tarifart,"StK")+M114+O114),10)*(C114&lt;Dauer)</f>
        <v>5.5155314903999999</v>
      </c>
      <c r="R114" s="10" cm="1">
        <f t="array" ref="R114">ROUND(P114*getKurs($A114),2)</f>
        <v>31775.45</v>
      </c>
      <c r="S114" s="10" cm="1">
        <f t="array" ref="S114">ROUND(Q114*getKurs($A114),2)</f>
        <v>32025</v>
      </c>
      <c r="T114" s="10">
        <f t="shared" si="19"/>
        <v>43200</v>
      </c>
      <c r="U114" s="10" cm="1">
        <f t="array" ref="U114">getParm(Tarifart,"StoSatz")*(Dauer-C114)*Beitrag*Zahlweise*(C114&lt;BZDauer)</f>
        <v>1584</v>
      </c>
      <c r="V114" s="10">
        <f t="shared" si="24"/>
        <v>30441</v>
      </c>
    </row>
    <row r="115" spans="1:22" x14ac:dyDescent="0.45">
      <c r="A115" s="15">
        <f t="shared" si="25"/>
        <v>39753</v>
      </c>
      <c r="B115">
        <f t="shared" si="15"/>
        <v>106</v>
      </c>
      <c r="C115">
        <f t="shared" si="20"/>
        <v>8</v>
      </c>
      <c r="D115">
        <f t="shared" si="16"/>
        <v>10</v>
      </c>
      <c r="E115">
        <f t="shared" si="17"/>
        <v>1</v>
      </c>
      <c r="F115" s="10">
        <f t="shared" si="18"/>
        <v>300</v>
      </c>
      <c r="G115" s="10" cm="1">
        <f t="array" ref="G115">ROUND(getParm(Tarifart,"alpha")/(2*Zahlweise)*BeiSum*(C115&lt;2)*E115,2)</f>
        <v>0</v>
      </c>
      <c r="H115" s="10" cm="1">
        <f t="array" ref="H115">ROUND(F115*getParm(Tarifart,"beta")*E115,2)</f>
        <v>15</v>
      </c>
      <c r="I115" s="10" cm="1">
        <f t="array" ref="I115">ROUND(F115*get_Üb(YEAR(A115),$I$8)*E115,2)</f>
        <v>3.6</v>
      </c>
      <c r="J115" s="10">
        <f t="shared" si="21"/>
        <v>15</v>
      </c>
      <c r="K115" s="10">
        <f t="shared" si="22"/>
        <v>288.60000000000002</v>
      </c>
      <c r="L115" s="10" cm="1">
        <f t="array" ref="L115">ROUND(1/12*MAX(MTSum-R115-K115,MRSum)*Act_qx(x+C115,Geschlecht,getParm(Tarifart,"Tafel"),YEAR(GebDat),x+Dauer,1),2)</f>
        <v>2.98</v>
      </c>
      <c r="M115" s="10" cm="1">
        <f t="array" ref="M115">ROUND(L115*get_Üb(YEAR(A115),$M$8),2)</f>
        <v>0.15</v>
      </c>
      <c r="N115" s="10" cm="1">
        <f t="array" ref="N115">ROUND(R115*getParm(Tarifart,IF(C115&lt;BZDauer,"gamma1","gamma2")),2)</f>
        <v>11.09</v>
      </c>
      <c r="O115" s="10" cm="1">
        <f t="array" ref="O115">ROUND(R115*get_Üb(YEAR(A115),$O$8),2)</f>
        <v>2.77</v>
      </c>
      <c r="P115" s="19">
        <f t="shared" si="23"/>
        <v>5.5155314903999999</v>
      </c>
      <c r="Q115" s="19" cm="1">
        <f t="array" ref="Q115">ROUND(P115+1/getKurs(EDATE(A115,-1))*(K115-L115-N115-getParm(Tarifart,"StK")+M115+O115),10)*(C115&lt;Dauer)</f>
        <v>5.5631433209000001</v>
      </c>
      <c r="R115" s="10" cm="1">
        <f t="array" ref="R115">ROUND(P115*getKurs($A115),2)</f>
        <v>27725.69</v>
      </c>
      <c r="S115" s="10" cm="1">
        <f t="array" ref="S115">ROUND(Q115*getKurs($A115),2)</f>
        <v>27965.03</v>
      </c>
      <c r="T115" s="10">
        <f t="shared" si="19"/>
        <v>43200</v>
      </c>
      <c r="U115" s="10" cm="1">
        <f t="array" ref="U115">getParm(Tarifart,"StoSatz")*(Dauer-C115)*Beitrag*Zahlweise*(C115&lt;BZDauer)</f>
        <v>1584</v>
      </c>
      <c r="V115" s="10">
        <f t="shared" si="24"/>
        <v>26381.03</v>
      </c>
    </row>
    <row r="116" spans="1:22" x14ac:dyDescent="0.45">
      <c r="A116" s="15">
        <f t="shared" si="25"/>
        <v>39783</v>
      </c>
      <c r="B116">
        <f t="shared" si="15"/>
        <v>107</v>
      </c>
      <c r="C116">
        <f t="shared" si="20"/>
        <v>8</v>
      </c>
      <c r="D116">
        <f t="shared" si="16"/>
        <v>11</v>
      </c>
      <c r="E116">
        <f t="shared" si="17"/>
        <v>1</v>
      </c>
      <c r="F116" s="10">
        <f t="shared" si="18"/>
        <v>300</v>
      </c>
      <c r="G116" s="10" cm="1">
        <f t="array" ref="G116">ROUND(getParm(Tarifart,"alpha")/(2*Zahlweise)*BeiSum*(C116&lt;2)*E116,2)</f>
        <v>0</v>
      </c>
      <c r="H116" s="10" cm="1">
        <f t="array" ref="H116">ROUND(F116*getParm(Tarifart,"beta")*E116,2)</f>
        <v>15</v>
      </c>
      <c r="I116" s="10" cm="1">
        <f t="array" ref="I116">ROUND(F116*get_Üb(YEAR(A116),$I$8)*E116,2)</f>
        <v>3.6</v>
      </c>
      <c r="J116" s="10">
        <f t="shared" si="21"/>
        <v>15</v>
      </c>
      <c r="K116" s="10">
        <f t="shared" si="22"/>
        <v>288.60000000000002</v>
      </c>
      <c r="L116" s="10" cm="1">
        <f t="array" ref="L116">ROUND(1/12*MAX(MTSum-R116-K116,MRSum)*Act_qx(x+C116,Geschlecht,getParm(Tarifart,"Tafel"),YEAR(GebDat),x+Dauer,1),2)</f>
        <v>3.62</v>
      </c>
      <c r="M116" s="10" cm="1">
        <f t="array" ref="M116">ROUND(L116*get_Üb(YEAR(A116),$M$8),2)</f>
        <v>0.18</v>
      </c>
      <c r="N116" s="10" cm="1">
        <f t="array" ref="N116">ROUND(R116*getParm(Tarifart,IF(C116&lt;BZDauer,"gamma1","gamma2")),2)</f>
        <v>9.7799999999999994</v>
      </c>
      <c r="O116" s="10" cm="1">
        <f t="array" ref="O116">ROUND(R116*get_Üb(YEAR(A116),$O$8),2)</f>
        <v>2.44</v>
      </c>
      <c r="P116" s="19">
        <f t="shared" si="23"/>
        <v>5.5631433209000001</v>
      </c>
      <c r="Q116" s="19" cm="1">
        <f t="array" ref="Q116">ROUND(P116+1/getKurs(EDATE(A116,-1))*(K116-L116-N116-getParm(Tarifart,"StK")+M116+O116),10)*(C116&lt;Dauer)</f>
        <v>5.6182117138000001</v>
      </c>
      <c r="R116" s="10" cm="1">
        <f t="array" ref="R116">ROUND(P116*getKurs($A116),2)</f>
        <v>24448.85</v>
      </c>
      <c r="S116" s="10" cm="1">
        <f t="array" ref="S116">ROUND(Q116*getKurs($A116),2)</f>
        <v>24690.86</v>
      </c>
      <c r="T116" s="10">
        <f t="shared" si="19"/>
        <v>43200</v>
      </c>
      <c r="U116" s="10" cm="1">
        <f t="array" ref="U116">getParm(Tarifart,"StoSatz")*(Dauer-C116)*Beitrag*Zahlweise*(C116&lt;BZDauer)</f>
        <v>1584</v>
      </c>
      <c r="V116" s="10">
        <f t="shared" si="24"/>
        <v>23106.86</v>
      </c>
    </row>
    <row r="117" spans="1:22" x14ac:dyDescent="0.45">
      <c r="A117" s="15">
        <f t="shared" si="25"/>
        <v>39814</v>
      </c>
      <c r="B117">
        <f t="shared" si="15"/>
        <v>108</v>
      </c>
      <c r="C117">
        <f t="shared" si="20"/>
        <v>9</v>
      </c>
      <c r="D117">
        <f t="shared" si="16"/>
        <v>0</v>
      </c>
      <c r="E117">
        <f t="shared" si="17"/>
        <v>1</v>
      </c>
      <c r="F117" s="10">
        <f t="shared" si="18"/>
        <v>300</v>
      </c>
      <c r="G117" s="10" cm="1">
        <f t="array" ref="G117">ROUND(getParm(Tarifart,"alpha")/(2*Zahlweise)*BeiSum*(C117&lt;2)*E117,2)</f>
        <v>0</v>
      </c>
      <c r="H117" s="10" cm="1">
        <f t="array" ref="H117">ROUND(F117*getParm(Tarifart,"beta")*E117,2)</f>
        <v>15</v>
      </c>
      <c r="I117" s="10" cm="1">
        <f t="array" ref="I117">ROUND(F117*get_Üb(YEAR(A117),$I$8)*E117,2)</f>
        <v>3.6</v>
      </c>
      <c r="J117" s="10">
        <f t="shared" si="21"/>
        <v>15</v>
      </c>
      <c r="K117" s="10">
        <f t="shared" si="22"/>
        <v>288.60000000000002</v>
      </c>
      <c r="L117" s="10" cm="1">
        <f t="array" ref="L117">ROUND(1/12*MAX(MTSum-R117-K117,MRSum)*Act_qx(x+C117,Geschlecht,getParm(Tarifart,"Tafel"),YEAR(GebDat),x+Dauer,1),2)</f>
        <v>3.21</v>
      </c>
      <c r="M117" s="10" cm="1">
        <f t="array" ref="M117">ROUND(L117*get_Üb(YEAR(A117),$M$8),2)</f>
        <v>0.16</v>
      </c>
      <c r="N117" s="10" cm="1">
        <f t="array" ref="N117">ROUND(R117*getParm(Tarifart,IF(C117&lt;BZDauer,"gamma1","gamma2")),2)</f>
        <v>11.18</v>
      </c>
      <c r="O117" s="10" cm="1">
        <f t="array" ref="O117">ROUND(R117*get_Üb(YEAR(A117),$O$8),2)</f>
        <v>2.79</v>
      </c>
      <c r="P117" s="19">
        <f t="shared" si="23"/>
        <v>5.6182117138000001</v>
      </c>
      <c r="Q117" s="19" cm="1">
        <f t="array" ref="Q117">ROUND(P117+1/getKurs(EDATE(A117,-1))*(K117-L117-N117-getParm(Tarifart,"StK")+M117+O117),10)*(C117&lt;Dauer)</f>
        <v>5.6810497561000002</v>
      </c>
      <c r="R117" s="10" cm="1">
        <f t="array" ref="R117">ROUND(P117*getKurs($A117),2)</f>
        <v>27939.759999999998</v>
      </c>
      <c r="S117" s="10" cm="1">
        <f t="array" ref="S117">ROUND(Q117*getKurs($A117),2)</f>
        <v>28252.26</v>
      </c>
      <c r="T117" s="10">
        <f t="shared" si="19"/>
        <v>43200</v>
      </c>
      <c r="U117" s="10" cm="1">
        <f t="array" ref="U117">getParm(Tarifart,"StoSatz")*(Dauer-C117)*Beitrag*Zahlweise*(C117&lt;BZDauer)</f>
        <v>1512</v>
      </c>
      <c r="V117" s="10">
        <f t="shared" si="24"/>
        <v>26740.26</v>
      </c>
    </row>
    <row r="118" spans="1:22" x14ac:dyDescent="0.45">
      <c r="A118" s="15">
        <f t="shared" si="25"/>
        <v>39845</v>
      </c>
      <c r="B118">
        <f t="shared" si="15"/>
        <v>109</v>
      </c>
      <c r="C118">
        <f t="shared" si="20"/>
        <v>9</v>
      </c>
      <c r="D118">
        <f t="shared" si="16"/>
        <v>1</v>
      </c>
      <c r="E118">
        <f t="shared" si="17"/>
        <v>1</v>
      </c>
      <c r="F118" s="10">
        <f t="shared" si="18"/>
        <v>300</v>
      </c>
      <c r="G118" s="10" cm="1">
        <f t="array" ref="G118">ROUND(getParm(Tarifart,"alpha")/(2*Zahlweise)*BeiSum*(C118&lt;2)*E118,2)</f>
        <v>0</v>
      </c>
      <c r="H118" s="10" cm="1">
        <f t="array" ref="H118">ROUND(F118*getParm(Tarifart,"beta")*E118,2)</f>
        <v>15</v>
      </c>
      <c r="I118" s="10" cm="1">
        <f t="array" ref="I118">ROUND(F118*get_Üb(YEAR(A118),$I$8)*E118,2)</f>
        <v>3.6</v>
      </c>
      <c r="J118" s="10">
        <f t="shared" si="21"/>
        <v>15</v>
      </c>
      <c r="K118" s="10">
        <f t="shared" si="22"/>
        <v>288.60000000000002</v>
      </c>
      <c r="L118" s="10" cm="1">
        <f t="array" ref="L118">ROUND(1/12*MAX(MTSum-R118-K118,MRSum)*Act_qx(x+C118,Geschlecht,getParm(Tarifart,"Tafel"),YEAR(GebDat),x+Dauer,1),2)</f>
        <v>3.99</v>
      </c>
      <c r="M118" s="10" cm="1">
        <f t="array" ref="M118">ROUND(L118*get_Üb(YEAR(A118),$M$8),2)</f>
        <v>0.2</v>
      </c>
      <c r="N118" s="10" cm="1">
        <f t="array" ref="N118">ROUND(R118*getParm(Tarifart,IF(C118&lt;BZDauer,"gamma1","gamma2")),2)</f>
        <v>9.7100000000000009</v>
      </c>
      <c r="O118" s="10" cm="1">
        <f t="array" ref="O118">ROUND(R118*get_Üb(YEAR(A118),$O$8),2)</f>
        <v>2.4300000000000002</v>
      </c>
      <c r="P118" s="19">
        <f t="shared" si="23"/>
        <v>5.6810497561000002</v>
      </c>
      <c r="Q118" s="19" cm="1">
        <f t="array" ref="Q118">ROUND(P118+1/getKurs(EDATE(A118,-1))*(K118-L118-N118-getParm(Tarifart,"StK")+M118+O118),10)*(C118&lt;Dauer)</f>
        <v>5.7366552472999999</v>
      </c>
      <c r="R118" s="10" cm="1">
        <f t="array" ref="R118">ROUND(P118*getKurs($A118),2)</f>
        <v>24263.99</v>
      </c>
      <c r="S118" s="10" cm="1">
        <f t="array" ref="S118">ROUND(Q118*getKurs($A118),2)</f>
        <v>24501.48</v>
      </c>
      <c r="T118" s="10">
        <f t="shared" si="19"/>
        <v>43200</v>
      </c>
      <c r="U118" s="10" cm="1">
        <f t="array" ref="U118">getParm(Tarifart,"StoSatz")*(Dauer-C118)*Beitrag*Zahlweise*(C118&lt;BZDauer)</f>
        <v>1512</v>
      </c>
      <c r="V118" s="10">
        <f t="shared" si="24"/>
        <v>22989.48</v>
      </c>
    </row>
    <row r="119" spans="1:22" x14ac:dyDescent="0.45">
      <c r="A119" s="15">
        <f t="shared" si="25"/>
        <v>39873</v>
      </c>
      <c r="B119">
        <f t="shared" si="15"/>
        <v>110</v>
      </c>
      <c r="C119">
        <f t="shared" si="20"/>
        <v>9</v>
      </c>
      <c r="D119">
        <f t="shared" si="16"/>
        <v>2</v>
      </c>
      <c r="E119">
        <f t="shared" si="17"/>
        <v>1</v>
      </c>
      <c r="F119" s="10">
        <f t="shared" si="18"/>
        <v>300</v>
      </c>
      <c r="G119" s="10" cm="1">
        <f t="array" ref="G119">ROUND(getParm(Tarifart,"alpha")/(2*Zahlweise)*BeiSum*(C119&lt;2)*E119,2)</f>
        <v>0</v>
      </c>
      <c r="H119" s="10" cm="1">
        <f t="array" ref="H119">ROUND(F119*getParm(Tarifart,"beta")*E119,2)</f>
        <v>15</v>
      </c>
      <c r="I119" s="10" cm="1">
        <f t="array" ref="I119">ROUND(F119*get_Üb(YEAR(A119),$I$8)*E119,2)</f>
        <v>3.6</v>
      </c>
      <c r="J119" s="10">
        <f t="shared" si="21"/>
        <v>15</v>
      </c>
      <c r="K119" s="10">
        <f t="shared" si="22"/>
        <v>288.60000000000002</v>
      </c>
      <c r="L119" s="10" cm="1">
        <f t="array" ref="L119">ROUND(1/12*MAX(MTSum-R119-K119,MRSum)*Act_qx(x+C119,Geschlecht,getParm(Tarifart,"Tafel"),YEAR(GebDat),x+Dauer,1),2)</f>
        <v>4.63</v>
      </c>
      <c r="M119" s="10" cm="1">
        <f t="array" ref="M119">ROUND(L119*get_Üb(YEAR(A119),$M$8),2)</f>
        <v>0.23</v>
      </c>
      <c r="N119" s="10" cm="1">
        <f t="array" ref="N119">ROUND(R119*getParm(Tarifart,IF(C119&lt;BZDauer,"gamma1","gamma2")),2)</f>
        <v>8.51</v>
      </c>
      <c r="O119" s="10" cm="1">
        <f t="array" ref="O119">ROUND(R119*get_Üb(YEAR(A119),$O$8),2)</f>
        <v>2.13</v>
      </c>
      <c r="P119" s="19">
        <f t="shared" si="23"/>
        <v>5.7366552472999999</v>
      </c>
      <c r="Q119" s="19" cm="1">
        <f t="array" ref="Q119">ROUND(P119+1/getKurs(EDATE(A119,-1))*(K119-L119-N119-getParm(Tarifart,"StK")+M119+O119),10)*(C119&lt;Dauer)</f>
        <v>5.8014685011999996</v>
      </c>
      <c r="R119" s="10" cm="1">
        <f t="array" ref="R119">ROUND(P119*getKurs($A119),2)</f>
        <v>21283.39</v>
      </c>
      <c r="S119" s="10" cm="1">
        <f t="array" ref="S119">ROUND(Q119*getKurs($A119),2)</f>
        <v>21523.85</v>
      </c>
      <c r="T119" s="10">
        <f t="shared" si="19"/>
        <v>43200</v>
      </c>
      <c r="U119" s="10" cm="1">
        <f t="array" ref="U119">getParm(Tarifart,"StoSatz")*(Dauer-C119)*Beitrag*Zahlweise*(C119&lt;BZDauer)</f>
        <v>1512</v>
      </c>
      <c r="V119" s="10">
        <f t="shared" si="24"/>
        <v>20011.849999999999</v>
      </c>
    </row>
    <row r="120" spans="1:22" x14ac:dyDescent="0.45">
      <c r="A120" s="15">
        <f t="shared" si="25"/>
        <v>39904</v>
      </c>
      <c r="B120">
        <f t="shared" si="15"/>
        <v>111</v>
      </c>
      <c r="C120">
        <f t="shared" si="20"/>
        <v>9</v>
      </c>
      <c r="D120">
        <f t="shared" si="16"/>
        <v>3</v>
      </c>
      <c r="E120">
        <f t="shared" si="17"/>
        <v>1</v>
      </c>
      <c r="F120" s="10">
        <f t="shared" si="18"/>
        <v>300</v>
      </c>
      <c r="G120" s="10" cm="1">
        <f t="array" ref="G120">ROUND(getParm(Tarifart,"alpha")/(2*Zahlweise)*BeiSum*(C120&lt;2)*E120,2)</f>
        <v>0</v>
      </c>
      <c r="H120" s="10" cm="1">
        <f t="array" ref="H120">ROUND(F120*getParm(Tarifart,"beta")*E120,2)</f>
        <v>15</v>
      </c>
      <c r="I120" s="10" cm="1">
        <f t="array" ref="I120">ROUND(F120*get_Üb(YEAR(A120),$I$8)*E120,2)</f>
        <v>3.6</v>
      </c>
      <c r="J120" s="10">
        <f t="shared" si="21"/>
        <v>15</v>
      </c>
      <c r="K120" s="10">
        <f t="shared" si="22"/>
        <v>288.60000000000002</v>
      </c>
      <c r="L120" s="10" cm="1">
        <f t="array" ref="L120">ROUND(1/12*MAX(MTSum-R120-K120,MRSum)*Act_qx(x+C120,Geschlecht,getParm(Tarifart,"Tafel"),YEAR(GebDat),x+Dauer,1),2)</f>
        <v>4.0599999999999996</v>
      </c>
      <c r="M120" s="10" cm="1">
        <f t="array" ref="M120">ROUND(L120*get_Üb(YEAR(A120),$M$8),2)</f>
        <v>0.2</v>
      </c>
      <c r="N120" s="10" cm="1">
        <f t="array" ref="N120">ROUND(R120*getParm(Tarifart,IF(C120&lt;BZDauer,"gamma1","gamma2")),2)</f>
        <v>9.59</v>
      </c>
      <c r="O120" s="10" cm="1">
        <f t="array" ref="O120">ROUND(R120*get_Üb(YEAR(A120),$O$8),2)</f>
        <v>2.4</v>
      </c>
      <c r="P120" s="19">
        <f t="shared" si="23"/>
        <v>5.8014685011999996</v>
      </c>
      <c r="Q120" s="19" cm="1">
        <f t="array" ref="Q120">ROUND(P120+1/getKurs(EDATE(A120,-1))*(K120-L120-N120-getParm(Tarifart,"StK")+M120+O120),10)*(C120&lt;Dauer)</f>
        <v>5.8760088738</v>
      </c>
      <c r="R120" s="10" cm="1">
        <f t="array" ref="R120">ROUND(P120*getKurs($A120),2)</f>
        <v>23966.27</v>
      </c>
      <c r="S120" s="10" cm="1">
        <f t="array" ref="S120">ROUND(Q120*getKurs($A120),2)</f>
        <v>24274.2</v>
      </c>
      <c r="T120" s="10">
        <f t="shared" si="19"/>
        <v>43200</v>
      </c>
      <c r="U120" s="10" cm="1">
        <f t="array" ref="U120">getParm(Tarifart,"StoSatz")*(Dauer-C120)*Beitrag*Zahlweise*(C120&lt;BZDauer)</f>
        <v>1512</v>
      </c>
      <c r="V120" s="10">
        <f t="shared" si="24"/>
        <v>22762.2</v>
      </c>
    </row>
    <row r="121" spans="1:22" x14ac:dyDescent="0.45">
      <c r="A121" s="15">
        <f t="shared" si="25"/>
        <v>39934</v>
      </c>
      <c r="B121">
        <f t="shared" si="15"/>
        <v>112</v>
      </c>
      <c r="C121">
        <f t="shared" si="20"/>
        <v>9</v>
      </c>
      <c r="D121">
        <f t="shared" si="16"/>
        <v>4</v>
      </c>
      <c r="E121">
        <f t="shared" si="17"/>
        <v>1</v>
      </c>
      <c r="F121" s="10">
        <f t="shared" si="18"/>
        <v>300</v>
      </c>
      <c r="G121" s="10" cm="1">
        <f t="array" ref="G121">ROUND(getParm(Tarifart,"alpha")/(2*Zahlweise)*BeiSum*(C121&lt;2)*E121,2)</f>
        <v>0</v>
      </c>
      <c r="H121" s="10" cm="1">
        <f t="array" ref="H121">ROUND(F121*getParm(Tarifart,"beta")*E121,2)</f>
        <v>15</v>
      </c>
      <c r="I121" s="10" cm="1">
        <f t="array" ref="I121">ROUND(F121*get_Üb(YEAR(A121),$I$8)*E121,2)</f>
        <v>3.6</v>
      </c>
      <c r="J121" s="10">
        <f t="shared" si="21"/>
        <v>15</v>
      </c>
      <c r="K121" s="10">
        <f t="shared" si="22"/>
        <v>288.60000000000002</v>
      </c>
      <c r="L121" s="10" cm="1">
        <f t="array" ref="L121">ROUND(1/12*MAX(MTSum-R121-K121,MRSum)*Act_qx(x+C121,Geschlecht,getParm(Tarifart,"Tafel"),YEAR(GebDat),x+Dauer,1),2)</f>
        <v>3.02</v>
      </c>
      <c r="M121" s="10" cm="1">
        <f t="array" ref="M121">ROUND(L121*get_Üb(YEAR(A121),$M$8),2)</f>
        <v>0.15</v>
      </c>
      <c r="N121" s="10" cm="1">
        <f t="array" ref="N121">ROUND(R121*getParm(Tarifart,IF(C121&lt;BZDauer,"gamma1","gamma2")),2)</f>
        <v>11.52</v>
      </c>
      <c r="O121" s="10" cm="1">
        <f t="array" ref="O121">ROUND(R121*get_Üb(YEAR(A121),$O$8),2)</f>
        <v>2.88</v>
      </c>
      <c r="P121" s="19">
        <f t="shared" si="23"/>
        <v>5.8760088738</v>
      </c>
      <c r="Q121" s="19" cm="1">
        <f t="array" ref="Q121">ROUND(P121+1/getKurs(EDATE(A121,-1))*(K121-L121-N121-getParm(Tarifart,"StK")+M121+O121),10)*(C121&lt;Dauer)</f>
        <v>5.9428414378000003</v>
      </c>
      <c r="R121" s="10" cm="1">
        <f t="array" ref="R121">ROUND(P121*getKurs($A121),2)</f>
        <v>28806.84</v>
      </c>
      <c r="S121" s="10" cm="1">
        <f t="array" ref="S121">ROUND(Q121*getKurs($A121),2)</f>
        <v>29134.48</v>
      </c>
      <c r="T121" s="10">
        <f t="shared" si="19"/>
        <v>43200</v>
      </c>
      <c r="U121" s="10" cm="1">
        <f t="array" ref="U121">getParm(Tarifart,"StoSatz")*(Dauer-C121)*Beitrag*Zahlweise*(C121&lt;BZDauer)</f>
        <v>1512</v>
      </c>
      <c r="V121" s="10">
        <f t="shared" si="24"/>
        <v>27622.48</v>
      </c>
    </row>
    <row r="122" spans="1:22" x14ac:dyDescent="0.45">
      <c r="A122" s="15">
        <f t="shared" si="25"/>
        <v>39965</v>
      </c>
      <c r="B122">
        <f t="shared" ref="B122:B185" si="26">B121+1</f>
        <v>113</v>
      </c>
      <c r="C122">
        <f t="shared" si="20"/>
        <v>9</v>
      </c>
      <c r="D122">
        <f t="shared" ref="D122:D185" si="27">MOD(B122,12)</f>
        <v>5</v>
      </c>
      <c r="E122">
        <f t="shared" si="17"/>
        <v>1</v>
      </c>
      <c r="F122" s="10">
        <f t="shared" si="18"/>
        <v>300</v>
      </c>
      <c r="G122" s="10" cm="1">
        <f t="array" ref="G122">ROUND(getParm(Tarifart,"alpha")/(2*Zahlweise)*BeiSum*(C122&lt;2)*E122,2)</f>
        <v>0</v>
      </c>
      <c r="H122" s="10" cm="1">
        <f t="array" ref="H122">ROUND(F122*getParm(Tarifart,"beta")*E122,2)</f>
        <v>15</v>
      </c>
      <c r="I122" s="10" cm="1">
        <f t="array" ref="I122">ROUND(F122*get_Üb(YEAR(A122),$I$8)*E122,2)</f>
        <v>3.6</v>
      </c>
      <c r="J122" s="10">
        <f t="shared" si="21"/>
        <v>15</v>
      </c>
      <c r="K122" s="10">
        <f t="shared" si="22"/>
        <v>288.60000000000002</v>
      </c>
      <c r="L122" s="10" cm="1">
        <f t="array" ref="L122">ROUND(1/12*MAX(MTSum-R122-K122,MRSum)*Act_qx(x+C122,Geschlecht,getParm(Tarifart,"Tafel"),YEAR(GebDat),x+Dauer,1),2)</f>
        <v>2.64</v>
      </c>
      <c r="M122" s="10" cm="1">
        <f t="array" ref="M122">ROUND(L122*get_Üb(YEAR(A122),$M$8),2)</f>
        <v>0.13</v>
      </c>
      <c r="N122" s="10" cm="1">
        <f t="array" ref="N122">ROUND(R122*getParm(Tarifart,IF(C122&lt;BZDauer,"gamma1","gamma2")),2)</f>
        <v>12.22</v>
      </c>
      <c r="O122" s="10" cm="1">
        <f t="array" ref="O122">ROUND(R122*get_Üb(YEAR(A122),$O$8),2)</f>
        <v>3.06</v>
      </c>
      <c r="P122" s="19">
        <f t="shared" si="23"/>
        <v>5.9428414378000003</v>
      </c>
      <c r="Q122" s="19" cm="1">
        <f t="array" ref="Q122">ROUND(P122+1/getKurs(EDATE(A122,-1))*(K122-L122-N122-getParm(Tarifart,"StK")+M122+O122),10)*(C122&lt;Dauer)</f>
        <v>5.9991255405999997</v>
      </c>
      <c r="R122" s="10" cm="1">
        <f t="array" ref="R122">ROUND(P122*getKurs($A122),2)</f>
        <v>30561.42</v>
      </c>
      <c r="S122" s="10" cm="1">
        <f t="array" ref="S122">ROUND(Q122*getKurs($A122),2)</f>
        <v>30850.86</v>
      </c>
      <c r="T122" s="10">
        <f t="shared" si="19"/>
        <v>43200</v>
      </c>
      <c r="U122" s="10" cm="1">
        <f t="array" ref="U122">getParm(Tarifart,"StoSatz")*(Dauer-C122)*Beitrag*Zahlweise*(C122&lt;BZDauer)</f>
        <v>1512</v>
      </c>
      <c r="V122" s="10">
        <f t="shared" si="24"/>
        <v>29338.86</v>
      </c>
    </row>
    <row r="123" spans="1:22" x14ac:dyDescent="0.45">
      <c r="A123" s="15">
        <f t="shared" si="25"/>
        <v>39995</v>
      </c>
      <c r="B123">
        <f t="shared" si="26"/>
        <v>114</v>
      </c>
      <c r="C123">
        <f t="shared" si="20"/>
        <v>9</v>
      </c>
      <c r="D123">
        <f t="shared" si="27"/>
        <v>6</v>
      </c>
      <c r="E123">
        <f t="shared" si="17"/>
        <v>1</v>
      </c>
      <c r="F123" s="10">
        <f t="shared" si="18"/>
        <v>300</v>
      </c>
      <c r="G123" s="10" cm="1">
        <f t="array" ref="G123">ROUND(getParm(Tarifart,"alpha")/(2*Zahlweise)*BeiSum*(C123&lt;2)*E123,2)</f>
        <v>0</v>
      </c>
      <c r="H123" s="10" cm="1">
        <f t="array" ref="H123">ROUND(F123*getParm(Tarifart,"beta")*E123,2)</f>
        <v>15</v>
      </c>
      <c r="I123" s="10" cm="1">
        <f t="array" ref="I123">ROUND(F123*get_Üb(YEAR(A123),$I$8)*E123,2)</f>
        <v>3.6</v>
      </c>
      <c r="J123" s="10">
        <f t="shared" si="21"/>
        <v>15</v>
      </c>
      <c r="K123" s="10">
        <f t="shared" si="22"/>
        <v>288.60000000000002</v>
      </c>
      <c r="L123" s="10" cm="1">
        <f t="array" ref="L123">ROUND(1/12*MAX(MTSum-R123-K123,MRSum)*Act_qx(x+C123,Geschlecht,getParm(Tarifart,"Tafel"),YEAR(GebDat),x+Dauer,1),2)</f>
        <v>2.89</v>
      </c>
      <c r="M123" s="10" cm="1">
        <f t="array" ref="M123">ROUND(L123*get_Üb(YEAR(A123),$M$8),2)</f>
        <v>0.14000000000000001</v>
      </c>
      <c r="N123" s="10" cm="1">
        <f t="array" ref="N123">ROUND(R123*getParm(Tarifart,IF(C123&lt;BZDauer,"gamma1","gamma2")),2)</f>
        <v>11.77</v>
      </c>
      <c r="O123" s="10" cm="1">
        <f t="array" ref="O123">ROUND(R123*get_Üb(YEAR(A123),$O$8),2)</f>
        <v>2.94</v>
      </c>
      <c r="P123" s="19">
        <f t="shared" si="23"/>
        <v>5.9991255405999997</v>
      </c>
      <c r="Q123" s="19" cm="1">
        <f t="array" ref="Q123">ROUND(P123+1/getKurs(EDATE(A123,-1))*(K123-L123-N123-getParm(Tarifart,"StK")+M123+O123),10)*(C123&lt;Dauer)</f>
        <v>6.0527991972999997</v>
      </c>
      <c r="R123" s="10" cm="1">
        <f t="array" ref="R123">ROUND(P123*getKurs($A123),2)</f>
        <v>29428.35</v>
      </c>
      <c r="S123" s="10" cm="1">
        <f t="array" ref="S123">ROUND(Q123*getKurs($A123),2)</f>
        <v>29691.64</v>
      </c>
      <c r="T123" s="10">
        <f t="shared" si="19"/>
        <v>43200</v>
      </c>
      <c r="U123" s="10" cm="1">
        <f t="array" ref="U123">getParm(Tarifart,"StoSatz")*(Dauer-C123)*Beitrag*Zahlweise*(C123&lt;BZDauer)</f>
        <v>1512</v>
      </c>
      <c r="V123" s="10">
        <f t="shared" si="24"/>
        <v>28179.64</v>
      </c>
    </row>
    <row r="124" spans="1:22" x14ac:dyDescent="0.45">
      <c r="A124" s="15">
        <f t="shared" si="25"/>
        <v>40026</v>
      </c>
      <c r="B124">
        <f t="shared" si="26"/>
        <v>115</v>
      </c>
      <c r="C124">
        <f t="shared" si="20"/>
        <v>9</v>
      </c>
      <c r="D124">
        <f t="shared" si="27"/>
        <v>7</v>
      </c>
      <c r="E124">
        <f t="shared" si="17"/>
        <v>1</v>
      </c>
      <c r="F124" s="10">
        <f t="shared" si="18"/>
        <v>300</v>
      </c>
      <c r="G124" s="10" cm="1">
        <f t="array" ref="G124">ROUND(getParm(Tarifart,"alpha")/(2*Zahlweise)*BeiSum*(C124&lt;2)*E124,2)</f>
        <v>0</v>
      </c>
      <c r="H124" s="10" cm="1">
        <f t="array" ref="H124">ROUND(F124*getParm(Tarifart,"beta")*E124,2)</f>
        <v>15</v>
      </c>
      <c r="I124" s="10" cm="1">
        <f t="array" ref="I124">ROUND(F124*get_Üb(YEAR(A124),$I$8)*E124,2)</f>
        <v>3.6</v>
      </c>
      <c r="J124" s="10">
        <f t="shared" si="21"/>
        <v>15</v>
      </c>
      <c r="K124" s="10">
        <f t="shared" si="22"/>
        <v>288.60000000000002</v>
      </c>
      <c r="L124" s="10" cm="1">
        <f t="array" ref="L124">ROUND(1/12*MAX(MTSum-R124-K124,MRSum)*Act_qx(x+C124,Geschlecht,getParm(Tarifart,"Tafel"),YEAR(GebDat),x+Dauer,1),2)</f>
        <v>2.15</v>
      </c>
      <c r="M124" s="10" cm="1">
        <f t="array" ref="M124">ROUND(L124*get_Üb(YEAR(A124),$M$8),2)</f>
        <v>0.11</v>
      </c>
      <c r="N124" s="10" cm="1">
        <f t="array" ref="N124">ROUND(R124*getParm(Tarifart,IF(C124&lt;BZDauer,"gamma1","gamma2")),2)</f>
        <v>13.14</v>
      </c>
      <c r="O124" s="10" cm="1">
        <f t="array" ref="O124">ROUND(R124*get_Üb(YEAR(A124),$O$8),2)</f>
        <v>3.28</v>
      </c>
      <c r="P124" s="19">
        <f t="shared" si="23"/>
        <v>6.0527991972999997</v>
      </c>
      <c r="Q124" s="19" cm="1">
        <f t="array" ref="Q124">ROUND(P124+1/getKurs(EDATE(A124,-1))*(K124-L124-N124-getParm(Tarifart,"StK")+M124+O124),10)*(C124&lt;Dauer)</f>
        <v>6.1090021067000002</v>
      </c>
      <c r="R124" s="10" cm="1">
        <f t="array" ref="R124">ROUND(P124*getKurs($A124),2)</f>
        <v>32847.629999999997</v>
      </c>
      <c r="S124" s="10" cm="1">
        <f t="array" ref="S124">ROUND(Q124*getKurs($A124),2)</f>
        <v>33152.639999999999</v>
      </c>
      <c r="T124" s="10">
        <f t="shared" si="19"/>
        <v>43200</v>
      </c>
      <c r="U124" s="10" cm="1">
        <f t="array" ref="U124">getParm(Tarifart,"StoSatz")*(Dauer-C124)*Beitrag*Zahlweise*(C124&lt;BZDauer)</f>
        <v>1512</v>
      </c>
      <c r="V124" s="10">
        <f t="shared" si="24"/>
        <v>31640.639999999999</v>
      </c>
    </row>
    <row r="125" spans="1:22" x14ac:dyDescent="0.45">
      <c r="A125" s="15">
        <f t="shared" si="25"/>
        <v>40057</v>
      </c>
      <c r="B125">
        <f t="shared" si="26"/>
        <v>116</v>
      </c>
      <c r="C125">
        <f t="shared" si="20"/>
        <v>9</v>
      </c>
      <c r="D125">
        <f t="shared" si="27"/>
        <v>8</v>
      </c>
      <c r="E125">
        <f t="shared" si="17"/>
        <v>1</v>
      </c>
      <c r="F125" s="10">
        <f t="shared" si="18"/>
        <v>300</v>
      </c>
      <c r="G125" s="10" cm="1">
        <f t="array" ref="G125">ROUND(getParm(Tarifart,"alpha")/(2*Zahlweise)*BeiSum*(C125&lt;2)*E125,2)</f>
        <v>0</v>
      </c>
      <c r="H125" s="10" cm="1">
        <f t="array" ref="H125">ROUND(F125*getParm(Tarifart,"beta")*E125,2)</f>
        <v>15</v>
      </c>
      <c r="I125" s="10" cm="1">
        <f t="array" ref="I125">ROUND(F125*get_Üb(YEAR(A125),$I$8)*E125,2)</f>
        <v>3.6</v>
      </c>
      <c r="J125" s="10">
        <f t="shared" si="21"/>
        <v>15</v>
      </c>
      <c r="K125" s="10">
        <f t="shared" si="22"/>
        <v>288.60000000000002</v>
      </c>
      <c r="L125" s="10" cm="1">
        <f t="array" ref="L125">ROUND(1/12*MAX(MTSum-R125-K125,MRSum)*Act_qx(x+C125,Geschlecht,getParm(Tarifart,"Tafel"),YEAR(GebDat),x+Dauer,1),2)</f>
        <v>2.2200000000000002</v>
      </c>
      <c r="M125" s="10" cm="1">
        <f t="array" ref="M125">ROUND(L125*get_Üb(YEAR(A125),$M$8),2)</f>
        <v>0.11</v>
      </c>
      <c r="N125" s="10" cm="1">
        <f t="array" ref="N125">ROUND(R125*getParm(Tarifart,IF(C125&lt;BZDauer,"gamma1","gamma2")),2)</f>
        <v>13.02</v>
      </c>
      <c r="O125" s="10" cm="1">
        <f t="array" ref="O125">ROUND(R125*get_Üb(YEAR(A125),$O$8),2)</f>
        <v>3.25</v>
      </c>
      <c r="P125" s="19">
        <f t="shared" si="23"/>
        <v>6.1090021067000002</v>
      </c>
      <c r="Q125" s="19" cm="1">
        <f t="array" ref="Q125">ROUND(P125+1/getKurs(EDATE(A125,-1))*(K125-L125-N125-getParm(Tarifart,"StK")+M125+O125),10)*(C125&lt;Dauer)</f>
        <v>6.1598087441000002</v>
      </c>
      <c r="R125" s="10" cm="1">
        <f t="array" ref="R125">ROUND(P125*getKurs($A125),2)</f>
        <v>32544.43</v>
      </c>
      <c r="S125" s="10" cm="1">
        <f t="array" ref="S125">ROUND(Q125*getKurs($A125),2)</f>
        <v>32815.089999999997</v>
      </c>
      <c r="T125" s="10">
        <f t="shared" si="19"/>
        <v>43200</v>
      </c>
      <c r="U125" s="10" cm="1">
        <f t="array" ref="U125">getParm(Tarifart,"StoSatz")*(Dauer-C125)*Beitrag*Zahlweise*(C125&lt;BZDauer)</f>
        <v>1512</v>
      </c>
      <c r="V125" s="10">
        <f t="shared" si="24"/>
        <v>31303.089999999997</v>
      </c>
    </row>
    <row r="126" spans="1:22" x14ac:dyDescent="0.45">
      <c r="A126" s="15">
        <f t="shared" si="25"/>
        <v>40087</v>
      </c>
      <c r="B126">
        <f t="shared" si="26"/>
        <v>117</v>
      </c>
      <c r="C126">
        <f t="shared" si="20"/>
        <v>9</v>
      </c>
      <c r="D126">
        <f t="shared" si="27"/>
        <v>9</v>
      </c>
      <c r="E126">
        <f t="shared" si="17"/>
        <v>1</v>
      </c>
      <c r="F126" s="10">
        <f t="shared" si="18"/>
        <v>300</v>
      </c>
      <c r="G126" s="10" cm="1">
        <f t="array" ref="G126">ROUND(getParm(Tarifart,"alpha")/(2*Zahlweise)*BeiSum*(C126&lt;2)*E126,2)</f>
        <v>0</v>
      </c>
      <c r="H126" s="10" cm="1">
        <f t="array" ref="H126">ROUND(F126*getParm(Tarifart,"beta")*E126,2)</f>
        <v>15</v>
      </c>
      <c r="I126" s="10" cm="1">
        <f t="array" ref="I126">ROUND(F126*get_Üb(YEAR(A126),$I$8)*E126,2)</f>
        <v>3.6</v>
      </c>
      <c r="J126" s="10">
        <f t="shared" si="21"/>
        <v>15</v>
      </c>
      <c r="K126" s="10">
        <f t="shared" si="22"/>
        <v>288.60000000000002</v>
      </c>
      <c r="L126" s="10" cm="1">
        <f t="array" ref="L126">ROUND(1/12*MAX(MTSum-R126-K126,MRSum)*Act_qx(x+C126,Geschlecht,getParm(Tarifart,"Tafel"),YEAR(GebDat),x+Dauer,1),2)</f>
        <v>1.86</v>
      </c>
      <c r="M126" s="10" cm="1">
        <f t="array" ref="M126">ROUND(L126*get_Üb(YEAR(A126),$M$8),2)</f>
        <v>0.09</v>
      </c>
      <c r="N126" s="10" cm="1">
        <f t="array" ref="N126">ROUND(R126*getParm(Tarifart,IF(C126&lt;BZDauer,"gamma1","gamma2")),2)</f>
        <v>13.69</v>
      </c>
      <c r="O126" s="10" cm="1">
        <f t="array" ref="O126">ROUND(R126*get_Üb(YEAR(A126),$O$8),2)</f>
        <v>3.42</v>
      </c>
      <c r="P126" s="19">
        <f t="shared" si="23"/>
        <v>6.1598087441000002</v>
      </c>
      <c r="Q126" s="19" cm="1">
        <f t="array" ref="Q126">ROUND(P126+1/getKurs(EDATE(A126,-1))*(K126-L126-N126-getParm(Tarifart,"StK")+M126+O126),10)*(C126&lt;Dauer)</f>
        <v>6.2115348563000001</v>
      </c>
      <c r="R126" s="10" cm="1">
        <f t="array" ref="R126">ROUND(P126*getKurs($A126),2)</f>
        <v>34214.97</v>
      </c>
      <c r="S126" s="10" cm="1">
        <f t="array" ref="S126">ROUND(Q126*getKurs($A126),2)</f>
        <v>34502.28</v>
      </c>
      <c r="T126" s="10">
        <f t="shared" si="19"/>
        <v>43200</v>
      </c>
      <c r="U126" s="10" cm="1">
        <f t="array" ref="U126">getParm(Tarifart,"StoSatz")*(Dauer-C126)*Beitrag*Zahlweise*(C126&lt;BZDauer)</f>
        <v>1512</v>
      </c>
      <c r="V126" s="10">
        <f t="shared" si="24"/>
        <v>32990.28</v>
      </c>
    </row>
    <row r="127" spans="1:22" x14ac:dyDescent="0.45">
      <c r="A127" s="15">
        <f t="shared" si="25"/>
        <v>40118</v>
      </c>
      <c r="B127">
        <f t="shared" si="26"/>
        <v>118</v>
      </c>
      <c r="C127">
        <f t="shared" si="20"/>
        <v>9</v>
      </c>
      <c r="D127">
        <f t="shared" si="27"/>
        <v>10</v>
      </c>
      <c r="E127">
        <f t="shared" si="17"/>
        <v>1</v>
      </c>
      <c r="F127" s="10">
        <f t="shared" si="18"/>
        <v>300</v>
      </c>
      <c r="G127" s="10" cm="1">
        <f t="array" ref="G127">ROUND(getParm(Tarifart,"alpha")/(2*Zahlweise)*BeiSum*(C127&lt;2)*E127,2)</f>
        <v>0</v>
      </c>
      <c r="H127" s="10" cm="1">
        <f t="array" ref="H127">ROUND(F127*getParm(Tarifart,"beta")*E127,2)</f>
        <v>15</v>
      </c>
      <c r="I127" s="10" cm="1">
        <f t="array" ref="I127">ROUND(F127*get_Üb(YEAR(A127),$I$8)*E127,2)</f>
        <v>3.6</v>
      </c>
      <c r="J127" s="10">
        <f t="shared" si="21"/>
        <v>15</v>
      </c>
      <c r="K127" s="10">
        <f t="shared" si="22"/>
        <v>288.60000000000002</v>
      </c>
      <c r="L127" s="10" cm="1">
        <f t="array" ref="L127">ROUND(1/12*MAX(MTSum-R127-K127,MRSum)*Act_qx(x+C127,Geschlecht,getParm(Tarifart,"Tafel"),YEAR(GebDat),x+Dauer,1),2)</f>
        <v>1.96</v>
      </c>
      <c r="M127" s="10" cm="1">
        <f t="array" ref="M127">ROUND(L127*get_Üb(YEAR(A127),$M$8),2)</f>
        <v>0.1</v>
      </c>
      <c r="N127" s="10" cm="1">
        <f t="array" ref="N127">ROUND(R127*getParm(Tarifart,IF(C127&lt;BZDauer,"gamma1","gamma2")),2)</f>
        <v>13.49</v>
      </c>
      <c r="O127" s="10" cm="1">
        <f t="array" ref="O127">ROUND(R127*get_Üb(YEAR(A127),$O$8),2)</f>
        <v>3.37</v>
      </c>
      <c r="P127" s="19">
        <f t="shared" si="23"/>
        <v>6.2115348563000001</v>
      </c>
      <c r="Q127" s="19" cm="1">
        <f t="array" ref="Q127">ROUND(P127+1/getKurs(EDATE(A127,-1))*(K127-L127-N127-getParm(Tarifart,"StK")+M127+O127),10)*(C127&lt;Dauer)</f>
        <v>6.2611554376000003</v>
      </c>
      <c r="R127" s="10" cm="1">
        <f t="array" ref="R127">ROUND(P127*getKurs($A127),2)</f>
        <v>33733.730000000003</v>
      </c>
      <c r="S127" s="10" cm="1">
        <f t="array" ref="S127">ROUND(Q127*getKurs($A127),2)</f>
        <v>34003.21</v>
      </c>
      <c r="T127" s="10">
        <f t="shared" si="19"/>
        <v>43200</v>
      </c>
      <c r="U127" s="10" cm="1">
        <f t="array" ref="U127">getParm(Tarifart,"StoSatz")*(Dauer-C127)*Beitrag*Zahlweise*(C127&lt;BZDauer)</f>
        <v>1512</v>
      </c>
      <c r="V127" s="10">
        <f t="shared" si="24"/>
        <v>32491.21</v>
      </c>
    </row>
    <row r="128" spans="1:22" x14ac:dyDescent="0.45">
      <c r="A128" s="15">
        <f t="shared" si="25"/>
        <v>40148</v>
      </c>
      <c r="B128">
        <f t="shared" si="26"/>
        <v>119</v>
      </c>
      <c r="C128">
        <f t="shared" si="20"/>
        <v>9</v>
      </c>
      <c r="D128">
        <f t="shared" si="27"/>
        <v>11</v>
      </c>
      <c r="E128">
        <f t="shared" si="17"/>
        <v>1</v>
      </c>
      <c r="F128" s="10">
        <f t="shared" si="18"/>
        <v>300</v>
      </c>
      <c r="G128" s="10" cm="1">
        <f t="array" ref="G128">ROUND(getParm(Tarifart,"alpha")/(2*Zahlweise)*BeiSum*(C128&lt;2)*E128,2)</f>
        <v>0</v>
      </c>
      <c r="H128" s="10" cm="1">
        <f t="array" ref="H128">ROUND(F128*getParm(Tarifart,"beta")*E128,2)</f>
        <v>15</v>
      </c>
      <c r="I128" s="10" cm="1">
        <f t="array" ref="I128">ROUND(F128*get_Üb(YEAR(A128),$I$8)*E128,2)</f>
        <v>3.6</v>
      </c>
      <c r="J128" s="10">
        <f t="shared" si="21"/>
        <v>15</v>
      </c>
      <c r="K128" s="10">
        <f t="shared" si="22"/>
        <v>288.60000000000002</v>
      </c>
      <c r="L128" s="10" cm="1">
        <f t="array" ref="L128">ROUND(1/12*MAX(MTSum-R128-K128,MRSum)*Act_qx(x+C128,Geschlecht,getParm(Tarifart,"Tafel"),YEAR(GebDat),x+Dauer,1),2)</f>
        <v>1.44</v>
      </c>
      <c r="M128" s="10" cm="1">
        <f t="array" ref="M128">ROUND(L128*get_Üb(YEAR(A128),$M$8),2)</f>
        <v>7.0000000000000007E-2</v>
      </c>
      <c r="N128" s="10" cm="1">
        <f t="array" ref="N128">ROUND(R128*getParm(Tarifart,IF(C128&lt;BZDauer,"gamma1","gamma2")),2)</f>
        <v>14.47</v>
      </c>
      <c r="O128" s="10" cm="1">
        <f t="array" ref="O128">ROUND(R128*get_Üb(YEAR(A128),$O$8),2)</f>
        <v>3.62</v>
      </c>
      <c r="P128" s="19">
        <f t="shared" si="23"/>
        <v>6.2611554376000003</v>
      </c>
      <c r="Q128" s="19" cm="1">
        <f t="array" ref="Q128">ROUND(P128+1/getKurs(EDATE(A128,-1))*(K128-L128-N128-getParm(Tarifart,"StK")+M128+O128),10)*(C128&lt;Dauer)</f>
        <v>6.3118623290000002</v>
      </c>
      <c r="R128" s="10" cm="1">
        <f t="array" ref="R128">ROUND(P128*getKurs($A128),2)</f>
        <v>36168.25</v>
      </c>
      <c r="S128" s="10" cm="1">
        <f t="array" ref="S128">ROUND(Q128*getKurs($A128),2)</f>
        <v>36461.17</v>
      </c>
      <c r="T128" s="10">
        <f t="shared" si="19"/>
        <v>43200</v>
      </c>
      <c r="U128" s="10" cm="1">
        <f t="array" ref="U128">getParm(Tarifart,"StoSatz")*(Dauer-C128)*Beitrag*Zahlweise*(C128&lt;BZDauer)</f>
        <v>1512</v>
      </c>
      <c r="V128" s="10">
        <f t="shared" si="24"/>
        <v>34949.17</v>
      </c>
    </row>
    <row r="129" spans="1:22" x14ac:dyDescent="0.45">
      <c r="A129" s="15">
        <f t="shared" si="25"/>
        <v>40179</v>
      </c>
      <c r="B129">
        <f t="shared" si="26"/>
        <v>120</v>
      </c>
      <c r="C129">
        <f t="shared" si="20"/>
        <v>10</v>
      </c>
      <c r="D129">
        <f t="shared" si="27"/>
        <v>0</v>
      </c>
      <c r="E129">
        <f t="shared" si="17"/>
        <v>1</v>
      </c>
      <c r="F129" s="10">
        <f t="shared" si="18"/>
        <v>300</v>
      </c>
      <c r="G129" s="10" cm="1">
        <f t="array" ref="G129">ROUND(getParm(Tarifart,"alpha")/(2*Zahlweise)*BeiSum*(C129&lt;2)*E129,2)</f>
        <v>0</v>
      </c>
      <c r="H129" s="10" cm="1">
        <f t="array" ref="H129">ROUND(F129*getParm(Tarifart,"beta")*E129,2)</f>
        <v>15</v>
      </c>
      <c r="I129" s="10" cm="1">
        <f t="array" ref="I129">ROUND(F129*get_Üb(YEAR(A129),$I$8)*E129,2)</f>
        <v>3.6</v>
      </c>
      <c r="J129" s="10">
        <f t="shared" si="21"/>
        <v>15</v>
      </c>
      <c r="K129" s="10">
        <f t="shared" si="22"/>
        <v>288.60000000000002</v>
      </c>
      <c r="L129" s="10" cm="1">
        <f t="array" ref="L129">ROUND(1/12*MAX(MTSum-R129-K129,MRSum)*Act_qx(x+C129,Geschlecht,getParm(Tarifart,"Tafel"),YEAR(GebDat),x+Dauer,1),2)</f>
        <v>1.1100000000000001</v>
      </c>
      <c r="M129" s="10" cm="1">
        <f t="array" ref="M129">ROUND(L129*get_Üb(YEAR(A129),$M$8),2)</f>
        <v>0.06</v>
      </c>
      <c r="N129" s="10" cm="1">
        <f t="array" ref="N129">ROUND(R129*getParm(Tarifart,IF(C129&lt;BZDauer,"gamma1","gamma2")),2)</f>
        <v>15.27</v>
      </c>
      <c r="O129" s="10" cm="1">
        <f t="array" ref="O129">ROUND(R129*get_Üb(YEAR(A129),$O$8),2)</f>
        <v>3.82</v>
      </c>
      <c r="P129" s="19">
        <f t="shared" si="23"/>
        <v>6.3118623290000002</v>
      </c>
      <c r="Q129" s="19" cm="1">
        <f t="array" ref="Q129">ROUND(P129+1/getKurs(EDATE(A129,-1))*(K129-L129-N129-getParm(Tarifart,"StK")+M129+O129),10)*(C129&lt;Dauer)</f>
        <v>6.3594854159</v>
      </c>
      <c r="R129" s="10" cm="1">
        <f t="array" ref="R129">ROUND(P129*getKurs($A129),2)</f>
        <v>38176.04</v>
      </c>
      <c r="S129" s="10" cm="1">
        <f t="array" ref="S129">ROUND(Q129*getKurs($A129),2)</f>
        <v>38464.080000000002</v>
      </c>
      <c r="T129" s="10">
        <f t="shared" si="19"/>
        <v>43200</v>
      </c>
      <c r="U129" s="10" cm="1">
        <f t="array" ref="U129">getParm(Tarifart,"StoSatz")*(Dauer-C129)*Beitrag*Zahlweise*(C129&lt;BZDauer)</f>
        <v>1440</v>
      </c>
      <c r="V129" s="10">
        <f t="shared" si="24"/>
        <v>37024.080000000002</v>
      </c>
    </row>
    <row r="130" spans="1:22" x14ac:dyDescent="0.45">
      <c r="A130" s="15">
        <f t="shared" si="25"/>
        <v>40210</v>
      </c>
      <c r="B130">
        <f t="shared" si="26"/>
        <v>121</v>
      </c>
      <c r="C130">
        <f t="shared" si="20"/>
        <v>10</v>
      </c>
      <c r="D130">
        <f t="shared" si="27"/>
        <v>1</v>
      </c>
      <c r="E130">
        <f t="shared" si="17"/>
        <v>1</v>
      </c>
      <c r="F130" s="10">
        <f t="shared" si="18"/>
        <v>300</v>
      </c>
      <c r="G130" s="10" cm="1">
        <f t="array" ref="G130">ROUND(getParm(Tarifart,"alpha")/(2*Zahlweise)*BeiSum*(C130&lt;2)*E130,2)</f>
        <v>0</v>
      </c>
      <c r="H130" s="10" cm="1">
        <f t="array" ref="H130">ROUND(F130*getParm(Tarifart,"beta")*E130,2)</f>
        <v>15</v>
      </c>
      <c r="I130" s="10" cm="1">
        <f t="array" ref="I130">ROUND(F130*get_Üb(YEAR(A130),$I$8)*E130,2)</f>
        <v>3.6</v>
      </c>
      <c r="J130" s="10">
        <f t="shared" si="21"/>
        <v>15</v>
      </c>
      <c r="K130" s="10">
        <f t="shared" si="22"/>
        <v>288.60000000000002</v>
      </c>
      <c r="L130" s="10" cm="1">
        <f t="array" ref="L130">ROUND(1/12*MAX(MTSum-R130-K130,MRSum)*Act_qx(x+C130,Geschlecht,getParm(Tarifart,"Tafel"),YEAR(GebDat),x+Dauer,1),2)</f>
        <v>1.64</v>
      </c>
      <c r="M130" s="10" cm="1">
        <f t="array" ref="M130">ROUND(L130*get_Üb(YEAR(A130),$M$8),2)</f>
        <v>0.08</v>
      </c>
      <c r="N130" s="10" cm="1">
        <f t="array" ref="N130">ROUND(R130*getParm(Tarifart,IF(C130&lt;BZDauer,"gamma1","gamma2")),2)</f>
        <v>14.38</v>
      </c>
      <c r="O130" s="10" cm="1">
        <f t="array" ref="O130">ROUND(R130*get_Üb(YEAR(A130),$O$8),2)</f>
        <v>3.6</v>
      </c>
      <c r="P130" s="19">
        <f t="shared" si="23"/>
        <v>6.3594854159</v>
      </c>
      <c r="Q130" s="19" cm="1">
        <f t="array" ref="Q130">ROUND(P130+1/getKurs(EDATE(A130,-1))*(K130-L130-N130-getParm(Tarifart,"StK")+M130+O130),10)*(C130&lt;Dauer)</f>
        <v>6.4049957246</v>
      </c>
      <c r="R130" s="10" cm="1">
        <f t="array" ref="R130">ROUND(P130*getKurs($A130),2)</f>
        <v>35959.58</v>
      </c>
      <c r="S130" s="10" cm="1">
        <f t="array" ref="S130">ROUND(Q130*getKurs($A130),2)</f>
        <v>36216.92</v>
      </c>
      <c r="T130" s="10">
        <f t="shared" si="19"/>
        <v>43200</v>
      </c>
      <c r="U130" s="10" cm="1">
        <f t="array" ref="U130">getParm(Tarifart,"StoSatz")*(Dauer-C130)*Beitrag*Zahlweise*(C130&lt;BZDauer)</f>
        <v>1440</v>
      </c>
      <c r="V130" s="10">
        <f t="shared" si="24"/>
        <v>34776.92</v>
      </c>
    </row>
    <row r="131" spans="1:22" x14ac:dyDescent="0.45">
      <c r="A131" s="15">
        <f t="shared" si="25"/>
        <v>40238</v>
      </c>
      <c r="B131">
        <f t="shared" si="26"/>
        <v>122</v>
      </c>
      <c r="C131">
        <f t="shared" si="20"/>
        <v>10</v>
      </c>
      <c r="D131">
        <f t="shared" si="27"/>
        <v>2</v>
      </c>
      <c r="E131">
        <f t="shared" si="17"/>
        <v>1</v>
      </c>
      <c r="F131" s="10">
        <f t="shared" si="18"/>
        <v>300</v>
      </c>
      <c r="G131" s="10" cm="1">
        <f t="array" ref="G131">ROUND(getParm(Tarifart,"alpha")/(2*Zahlweise)*BeiSum*(C131&lt;2)*E131,2)</f>
        <v>0</v>
      </c>
      <c r="H131" s="10" cm="1">
        <f t="array" ref="H131">ROUND(F131*getParm(Tarifart,"beta")*E131,2)</f>
        <v>15</v>
      </c>
      <c r="I131" s="10" cm="1">
        <f t="array" ref="I131">ROUND(F131*get_Üb(YEAR(A131),$I$8)*E131,2)</f>
        <v>3.6</v>
      </c>
      <c r="J131" s="10">
        <f t="shared" si="21"/>
        <v>15</v>
      </c>
      <c r="K131" s="10">
        <f t="shared" si="22"/>
        <v>288.60000000000002</v>
      </c>
      <c r="L131" s="10" cm="1">
        <f t="array" ref="L131">ROUND(1/12*MAX(MTSum-R131-K131,MRSum)*Act_qx(x+C131,Geschlecht,getParm(Tarifart,"Tafel"),YEAR(GebDat),x+Dauer,1),2)</f>
        <v>1.49</v>
      </c>
      <c r="M131" s="10" cm="1">
        <f t="array" ref="M131">ROUND(L131*get_Üb(YEAR(A131),$M$8),2)</f>
        <v>7.0000000000000007E-2</v>
      </c>
      <c r="N131" s="10" cm="1">
        <f t="array" ref="N131">ROUND(R131*getParm(Tarifart,IF(C131&lt;BZDauer,"gamma1","gamma2")),2)</f>
        <v>14.64</v>
      </c>
      <c r="O131" s="10" cm="1">
        <f t="array" ref="O131">ROUND(R131*get_Üb(YEAR(A131),$O$8),2)</f>
        <v>3.66</v>
      </c>
      <c r="P131" s="19">
        <f t="shared" si="23"/>
        <v>6.4049957246</v>
      </c>
      <c r="Q131" s="19" cm="1">
        <f t="array" ref="Q131">ROUND(P131+1/getKurs(EDATE(A131,-1))*(K131-L131-N131-getParm(Tarifart,"StK")+M131+O131),10)*(C131&lt;Dauer)</f>
        <v>6.4536650983000001</v>
      </c>
      <c r="R131" s="10" cm="1">
        <f t="array" ref="R131">ROUND(P131*getKurs($A131),2)</f>
        <v>36595.01</v>
      </c>
      <c r="S131" s="10" cm="1">
        <f t="array" ref="S131">ROUND(Q131*getKurs($A131),2)</f>
        <v>36873.08</v>
      </c>
      <c r="T131" s="10">
        <f t="shared" si="19"/>
        <v>43200</v>
      </c>
      <c r="U131" s="10" cm="1">
        <f t="array" ref="U131">getParm(Tarifart,"StoSatz")*(Dauer-C131)*Beitrag*Zahlweise*(C131&lt;BZDauer)</f>
        <v>1440</v>
      </c>
      <c r="V131" s="10">
        <f t="shared" si="24"/>
        <v>35433.08</v>
      </c>
    </row>
    <row r="132" spans="1:22" x14ac:dyDescent="0.45">
      <c r="A132" s="15">
        <f t="shared" si="25"/>
        <v>40269</v>
      </c>
      <c r="B132">
        <f t="shared" si="26"/>
        <v>123</v>
      </c>
      <c r="C132">
        <f t="shared" si="20"/>
        <v>10</v>
      </c>
      <c r="D132">
        <f t="shared" si="27"/>
        <v>3</v>
      </c>
      <c r="E132">
        <f t="shared" si="17"/>
        <v>1</v>
      </c>
      <c r="F132" s="10">
        <f t="shared" si="18"/>
        <v>300</v>
      </c>
      <c r="G132" s="10" cm="1">
        <f t="array" ref="G132">ROUND(getParm(Tarifart,"alpha")/(2*Zahlweise)*BeiSum*(C132&lt;2)*E132,2)</f>
        <v>0</v>
      </c>
      <c r="H132" s="10" cm="1">
        <f t="array" ref="H132">ROUND(F132*getParm(Tarifart,"beta")*E132,2)</f>
        <v>15</v>
      </c>
      <c r="I132" s="10" cm="1">
        <f t="array" ref="I132">ROUND(F132*get_Üb(YEAR(A132),$I$8)*E132,2)</f>
        <v>3.6</v>
      </c>
      <c r="J132" s="10">
        <f t="shared" si="21"/>
        <v>15</v>
      </c>
      <c r="K132" s="10">
        <f t="shared" si="22"/>
        <v>288.60000000000002</v>
      </c>
      <c r="L132" s="10" cm="1">
        <f t="array" ref="L132">ROUND(1/12*MAX(MTSum-R132-K132,MRSum)*Act_qx(x+C132,Geschlecht,getParm(Tarifart,"Tafel"),YEAR(GebDat),x+Dauer,1),2)</f>
        <v>0.85</v>
      </c>
      <c r="M132" s="10" cm="1">
        <f t="array" ref="M132">ROUND(L132*get_Üb(YEAR(A132),$M$8),2)</f>
        <v>0.04</v>
      </c>
      <c r="N132" s="10" cm="1">
        <f t="array" ref="N132">ROUND(R132*getParm(Tarifart,IF(C132&lt;BZDauer,"gamma1","gamma2")),2)</f>
        <v>16.100000000000001</v>
      </c>
      <c r="O132" s="10" cm="1">
        <f t="array" ref="O132">ROUND(R132*get_Üb(YEAR(A132),$O$8),2)</f>
        <v>4.0199999999999996</v>
      </c>
      <c r="P132" s="19">
        <f t="shared" si="23"/>
        <v>6.4536650983000001</v>
      </c>
      <c r="Q132" s="19" cm="1">
        <f t="array" ref="Q132">ROUND(P132+1/getKurs(EDATE(A132,-1))*(K132-L132-N132-getParm(Tarifart,"StK")+M132+O132),10)*(C132&lt;Dauer)</f>
        <v>6.5017458753000001</v>
      </c>
      <c r="R132" s="10" cm="1">
        <f t="array" ref="R132">ROUND(P132*getKurs($A132),2)</f>
        <v>40242.22</v>
      </c>
      <c r="S132" s="10" cm="1">
        <f t="array" ref="S132">ROUND(Q132*getKurs($A132),2)</f>
        <v>40542.03</v>
      </c>
      <c r="T132" s="10">
        <f t="shared" si="19"/>
        <v>43842.22</v>
      </c>
      <c r="U132" s="10" cm="1">
        <f t="array" ref="U132">getParm(Tarifart,"StoSatz")*(Dauer-C132)*Beitrag*Zahlweise*(C132&lt;BZDauer)</f>
        <v>1440</v>
      </c>
      <c r="V132" s="10">
        <f t="shared" si="24"/>
        <v>39102.03</v>
      </c>
    </row>
    <row r="133" spans="1:22" x14ac:dyDescent="0.45">
      <c r="A133" s="15">
        <f t="shared" si="25"/>
        <v>40299</v>
      </c>
      <c r="B133">
        <f t="shared" si="26"/>
        <v>124</v>
      </c>
      <c r="C133">
        <f t="shared" si="20"/>
        <v>10</v>
      </c>
      <c r="D133">
        <f t="shared" si="27"/>
        <v>4</v>
      </c>
      <c r="E133">
        <f t="shared" si="17"/>
        <v>1</v>
      </c>
      <c r="F133" s="10">
        <f t="shared" si="18"/>
        <v>300</v>
      </c>
      <c r="G133" s="10" cm="1">
        <f t="array" ref="G133">ROUND(getParm(Tarifart,"alpha")/(2*Zahlweise)*BeiSum*(C133&lt;2)*E133,2)</f>
        <v>0</v>
      </c>
      <c r="H133" s="10" cm="1">
        <f t="array" ref="H133">ROUND(F133*getParm(Tarifart,"beta")*E133,2)</f>
        <v>15</v>
      </c>
      <c r="I133" s="10" cm="1">
        <f t="array" ref="I133">ROUND(F133*get_Üb(YEAR(A133),$I$8)*E133,2)</f>
        <v>3.6</v>
      </c>
      <c r="J133" s="10">
        <f t="shared" si="21"/>
        <v>15</v>
      </c>
      <c r="K133" s="10">
        <f t="shared" si="22"/>
        <v>288.60000000000002</v>
      </c>
      <c r="L133" s="10" cm="1">
        <f t="array" ref="L133">ROUND(1/12*MAX(MTSum-R133-K133,MRSum)*Act_qx(x+C133,Geschlecht,getParm(Tarifart,"Tafel"),YEAR(GebDat),x+Dauer,1),2)</f>
        <v>0.85</v>
      </c>
      <c r="M133" s="10" cm="1">
        <f t="array" ref="M133">ROUND(L133*get_Üb(YEAR(A133),$M$8),2)</f>
        <v>0.04</v>
      </c>
      <c r="N133" s="10" cm="1">
        <f t="array" ref="N133">ROUND(R133*getParm(Tarifart,IF(C133&lt;BZDauer,"gamma1","gamma2")),2)</f>
        <v>16.04</v>
      </c>
      <c r="O133" s="10" cm="1">
        <f t="array" ref="O133">ROUND(R133*get_Üb(YEAR(A133),$O$8),2)</f>
        <v>4.01</v>
      </c>
      <c r="P133" s="19">
        <f t="shared" si="23"/>
        <v>6.5017458753000001</v>
      </c>
      <c r="Q133" s="19" cm="1">
        <f t="array" ref="Q133">ROUND(P133+1/getKurs(EDATE(A133,-1))*(K133-L133-N133-getParm(Tarifart,"StK")+M133+O133),10)*(C133&lt;Dauer)</f>
        <v>6.5458092794000002</v>
      </c>
      <c r="R133" s="10" cm="1">
        <f t="array" ref="R133">ROUND(P133*getKurs($A133),2)</f>
        <v>40095.75</v>
      </c>
      <c r="S133" s="10" cm="1">
        <f t="array" ref="S133">ROUND(Q133*getKurs($A133),2)</f>
        <v>40367.480000000003</v>
      </c>
      <c r="T133" s="10">
        <f t="shared" si="19"/>
        <v>43695.75</v>
      </c>
      <c r="U133" s="10" cm="1">
        <f t="array" ref="U133">getParm(Tarifart,"StoSatz")*(Dauer-C133)*Beitrag*Zahlweise*(C133&lt;BZDauer)</f>
        <v>1440</v>
      </c>
      <c r="V133" s="10">
        <f t="shared" si="24"/>
        <v>38927.480000000003</v>
      </c>
    </row>
    <row r="134" spans="1:22" x14ac:dyDescent="0.45">
      <c r="A134" s="15">
        <f t="shared" si="25"/>
        <v>40330</v>
      </c>
      <c r="B134">
        <f t="shared" si="26"/>
        <v>125</v>
      </c>
      <c r="C134">
        <f t="shared" si="20"/>
        <v>10</v>
      </c>
      <c r="D134">
        <f t="shared" si="27"/>
        <v>5</v>
      </c>
      <c r="E134">
        <f t="shared" si="17"/>
        <v>1</v>
      </c>
      <c r="F134" s="10">
        <f t="shared" si="18"/>
        <v>300</v>
      </c>
      <c r="G134" s="10" cm="1">
        <f t="array" ref="G134">ROUND(getParm(Tarifart,"alpha")/(2*Zahlweise)*BeiSum*(C134&lt;2)*E134,2)</f>
        <v>0</v>
      </c>
      <c r="H134" s="10" cm="1">
        <f t="array" ref="H134">ROUND(F134*getParm(Tarifart,"beta")*E134,2)</f>
        <v>15</v>
      </c>
      <c r="I134" s="10" cm="1">
        <f t="array" ref="I134">ROUND(F134*get_Üb(YEAR(A134),$I$8)*E134,2)</f>
        <v>3.6</v>
      </c>
      <c r="J134" s="10">
        <f t="shared" si="21"/>
        <v>15</v>
      </c>
      <c r="K134" s="10">
        <f t="shared" si="22"/>
        <v>288.60000000000002</v>
      </c>
      <c r="L134" s="10" cm="1">
        <f t="array" ref="L134">ROUND(1/12*MAX(MTSum-R134-K134,MRSum)*Act_qx(x+C134,Geschlecht,getParm(Tarifart,"Tafel"),YEAR(GebDat),x+Dauer,1),2)</f>
        <v>0.88</v>
      </c>
      <c r="M134" s="10" cm="1">
        <f t="array" ref="M134">ROUND(L134*get_Üb(YEAR(A134),$M$8),2)</f>
        <v>0.04</v>
      </c>
      <c r="N134" s="10" cm="1">
        <f t="array" ref="N134">ROUND(R134*getParm(Tarifart,IF(C134&lt;BZDauer,"gamma1","gamma2")),2)</f>
        <v>15.66</v>
      </c>
      <c r="O134" s="10" cm="1">
        <f t="array" ref="O134">ROUND(R134*get_Üb(YEAR(A134),$O$8),2)</f>
        <v>3.92</v>
      </c>
      <c r="P134" s="19">
        <f t="shared" si="23"/>
        <v>6.5458092794000002</v>
      </c>
      <c r="Q134" s="19" cm="1">
        <f t="array" ref="Q134">ROUND(P134+1/getKurs(EDATE(A134,-1))*(K134-L134-N134-getParm(Tarifart,"StK")+M134+O134),10)*(C134&lt;Dauer)</f>
        <v>6.5904052852000001</v>
      </c>
      <c r="R134" s="10" cm="1">
        <f t="array" ref="R134">ROUND(P134*getKurs($A134),2)</f>
        <v>39152.25</v>
      </c>
      <c r="S134" s="10" cm="1">
        <f t="array" ref="S134">ROUND(Q134*getKurs($A134),2)</f>
        <v>39418.99</v>
      </c>
      <c r="T134" s="10">
        <f t="shared" si="19"/>
        <v>43200</v>
      </c>
      <c r="U134" s="10" cm="1">
        <f t="array" ref="U134">getParm(Tarifart,"StoSatz")*(Dauer-C134)*Beitrag*Zahlweise*(C134&lt;BZDauer)</f>
        <v>1440</v>
      </c>
      <c r="V134" s="10">
        <f t="shared" si="24"/>
        <v>37978.99</v>
      </c>
    </row>
    <row r="135" spans="1:22" x14ac:dyDescent="0.45">
      <c r="A135" s="15">
        <f t="shared" si="25"/>
        <v>40360</v>
      </c>
      <c r="B135">
        <f t="shared" si="26"/>
        <v>126</v>
      </c>
      <c r="C135">
        <f t="shared" si="20"/>
        <v>10</v>
      </c>
      <c r="D135">
        <f t="shared" si="27"/>
        <v>6</v>
      </c>
      <c r="E135">
        <f t="shared" si="17"/>
        <v>1</v>
      </c>
      <c r="F135" s="10">
        <f t="shared" si="18"/>
        <v>300</v>
      </c>
      <c r="G135" s="10" cm="1">
        <f t="array" ref="G135">ROUND(getParm(Tarifart,"alpha")/(2*Zahlweise)*BeiSum*(C135&lt;2)*E135,2)</f>
        <v>0</v>
      </c>
      <c r="H135" s="10" cm="1">
        <f t="array" ref="H135">ROUND(F135*getParm(Tarifart,"beta")*E135,2)</f>
        <v>15</v>
      </c>
      <c r="I135" s="10" cm="1">
        <f t="array" ref="I135">ROUND(F135*get_Üb(YEAR(A135),$I$8)*E135,2)</f>
        <v>3.6</v>
      </c>
      <c r="J135" s="10">
        <f t="shared" si="21"/>
        <v>15</v>
      </c>
      <c r="K135" s="10">
        <f t="shared" si="22"/>
        <v>288.60000000000002</v>
      </c>
      <c r="L135" s="10" cm="1">
        <f t="array" ref="L135">ROUND(1/12*MAX(MTSum-R135-K135,MRSum)*Act_qx(x+C135,Geschlecht,getParm(Tarifart,"Tafel"),YEAR(GebDat),x+Dauer,1),2)</f>
        <v>1.01</v>
      </c>
      <c r="M135" s="10" cm="1">
        <f t="array" ref="M135">ROUND(L135*get_Üb(YEAR(A135),$M$8),2)</f>
        <v>0.05</v>
      </c>
      <c r="N135" s="10" cm="1">
        <f t="array" ref="N135">ROUND(R135*getParm(Tarifart,IF(C135&lt;BZDauer,"gamma1","gamma2")),2)</f>
        <v>15.44</v>
      </c>
      <c r="O135" s="10" cm="1">
        <f t="array" ref="O135">ROUND(R135*get_Üb(YEAR(A135),$O$8),2)</f>
        <v>3.86</v>
      </c>
      <c r="P135" s="19">
        <f t="shared" si="23"/>
        <v>6.5904052852000001</v>
      </c>
      <c r="Q135" s="19" cm="1">
        <f t="array" ref="Q135">ROUND(P135+1/getKurs(EDATE(A135,-1))*(K135-L135-N135-getParm(Tarifart,"StK")+M135+O135),10)*(C135&lt;Dauer)</f>
        <v>6.6363921743000001</v>
      </c>
      <c r="R135" s="10" cm="1">
        <f t="array" ref="R135">ROUND(P135*getKurs($A135),2)</f>
        <v>38602.839999999997</v>
      </c>
      <c r="S135" s="10" cm="1">
        <f t="array" ref="S135">ROUND(Q135*getKurs($A135),2)</f>
        <v>38872.199999999997</v>
      </c>
      <c r="T135" s="10">
        <f t="shared" si="19"/>
        <v>43200</v>
      </c>
      <c r="U135" s="10" cm="1">
        <f t="array" ref="U135">getParm(Tarifart,"StoSatz")*(Dauer-C135)*Beitrag*Zahlweise*(C135&lt;BZDauer)</f>
        <v>1440</v>
      </c>
      <c r="V135" s="10">
        <f t="shared" si="24"/>
        <v>37432.199999999997</v>
      </c>
    </row>
    <row r="136" spans="1:22" x14ac:dyDescent="0.45">
      <c r="A136" s="15">
        <f t="shared" si="25"/>
        <v>40391</v>
      </c>
      <c r="B136">
        <f t="shared" si="26"/>
        <v>127</v>
      </c>
      <c r="C136">
        <f t="shared" si="20"/>
        <v>10</v>
      </c>
      <c r="D136">
        <f t="shared" si="27"/>
        <v>7</v>
      </c>
      <c r="E136">
        <f t="shared" si="17"/>
        <v>1</v>
      </c>
      <c r="F136" s="10">
        <f t="shared" si="18"/>
        <v>300</v>
      </c>
      <c r="G136" s="10" cm="1">
        <f t="array" ref="G136">ROUND(getParm(Tarifart,"alpha")/(2*Zahlweise)*BeiSum*(C136&lt;2)*E136,2)</f>
        <v>0</v>
      </c>
      <c r="H136" s="10" cm="1">
        <f t="array" ref="H136">ROUND(F136*getParm(Tarifart,"beta")*E136,2)</f>
        <v>15</v>
      </c>
      <c r="I136" s="10" cm="1">
        <f t="array" ref="I136">ROUND(F136*get_Üb(YEAR(A136),$I$8)*E136,2)</f>
        <v>3.6</v>
      </c>
      <c r="J136" s="10">
        <f t="shared" si="21"/>
        <v>15</v>
      </c>
      <c r="K136" s="10">
        <f t="shared" si="22"/>
        <v>288.60000000000002</v>
      </c>
      <c r="L136" s="10" cm="1">
        <f t="array" ref="L136">ROUND(1/12*MAX(MTSum-R136-K136,MRSum)*Act_qx(x+C136,Geschlecht,getParm(Tarifart,"Tafel"),YEAR(GebDat),x+Dauer,1),2)</f>
        <v>0.85</v>
      </c>
      <c r="M136" s="10" cm="1">
        <f t="array" ref="M136">ROUND(L136*get_Üb(YEAR(A136),$M$8),2)</f>
        <v>0.04</v>
      </c>
      <c r="N136" s="10" cm="1">
        <f t="array" ref="N136">ROUND(R136*getParm(Tarifart,IF(C136&lt;BZDauer,"gamma1","gamma2")),2)</f>
        <v>16.7</v>
      </c>
      <c r="O136" s="10" cm="1">
        <f t="array" ref="O136">ROUND(R136*get_Üb(YEAR(A136),$O$8),2)</f>
        <v>4.18</v>
      </c>
      <c r="P136" s="19">
        <f t="shared" si="23"/>
        <v>6.6363921743000001</v>
      </c>
      <c r="Q136" s="19" cm="1">
        <f t="array" ref="Q136">ROUND(P136+1/getKurs(EDATE(A136,-1))*(K136-L136-N136-getParm(Tarifart,"StK")+M136+O136),10)*(C136&lt;Dauer)</f>
        <v>6.6832164641</v>
      </c>
      <c r="R136" s="10" cm="1">
        <f t="array" ref="R136">ROUND(P136*getKurs($A136),2)</f>
        <v>41757.040000000001</v>
      </c>
      <c r="S136" s="10" cm="1">
        <f t="array" ref="S136">ROUND(Q136*getKurs($A136),2)</f>
        <v>42051.67</v>
      </c>
      <c r="T136" s="10">
        <f t="shared" si="19"/>
        <v>45357.04</v>
      </c>
      <c r="U136" s="10" cm="1">
        <f t="array" ref="U136">getParm(Tarifart,"StoSatz")*(Dauer-C136)*Beitrag*Zahlweise*(C136&lt;BZDauer)</f>
        <v>1440</v>
      </c>
      <c r="V136" s="10">
        <f t="shared" si="24"/>
        <v>40611.67</v>
      </c>
    </row>
    <row r="137" spans="1:22" x14ac:dyDescent="0.45">
      <c r="A137" s="15">
        <f t="shared" si="25"/>
        <v>40422</v>
      </c>
      <c r="B137">
        <f t="shared" si="26"/>
        <v>128</v>
      </c>
      <c r="C137">
        <f t="shared" si="20"/>
        <v>10</v>
      </c>
      <c r="D137">
        <f t="shared" si="27"/>
        <v>8</v>
      </c>
      <c r="E137">
        <f t="shared" ref="E137:E200" si="28">IF(MOD(B137,12/Zahlweise)=0,1,0)</f>
        <v>1</v>
      </c>
      <c r="F137" s="10">
        <f t="shared" ref="F137:F200" si="29">Beitrag*E137*(C137&lt;BZDauer)</f>
        <v>300</v>
      </c>
      <c r="G137" s="10" cm="1">
        <f t="array" ref="G137">ROUND(getParm(Tarifart,"alpha")/(2*Zahlweise)*BeiSum*(C137&lt;2)*E137,2)</f>
        <v>0</v>
      </c>
      <c r="H137" s="10" cm="1">
        <f t="array" ref="H137">ROUND(F137*getParm(Tarifart,"beta")*E137,2)</f>
        <v>15</v>
      </c>
      <c r="I137" s="10" cm="1">
        <f t="array" ref="I137">ROUND(F137*get_Üb(YEAR(A137),$I$8)*E137,2)</f>
        <v>3.6</v>
      </c>
      <c r="J137" s="10">
        <f t="shared" si="21"/>
        <v>15</v>
      </c>
      <c r="K137" s="10">
        <f t="shared" si="22"/>
        <v>288.60000000000002</v>
      </c>
      <c r="L137" s="10" cm="1">
        <f t="array" ref="L137">ROUND(1/12*MAX(MTSum-R137-K137,MRSum)*Act_qx(x+C137,Geschlecht,getParm(Tarifart,"Tafel"),YEAR(GebDat),x+Dauer,1),2)</f>
        <v>0.85</v>
      </c>
      <c r="M137" s="10" cm="1">
        <f t="array" ref="M137">ROUND(L137*get_Üb(YEAR(A137),$M$8),2)</f>
        <v>0.04</v>
      </c>
      <c r="N137" s="10" cm="1">
        <f t="array" ref="N137">ROUND(R137*getParm(Tarifart,IF(C137&lt;BZDauer,"gamma1","gamma2")),2)</f>
        <v>16.260000000000002</v>
      </c>
      <c r="O137" s="10" cm="1">
        <f t="array" ref="O137">ROUND(R137*get_Üb(YEAR(A137),$O$8),2)</f>
        <v>4.07</v>
      </c>
      <c r="P137" s="19">
        <f t="shared" si="23"/>
        <v>6.6832164641</v>
      </c>
      <c r="Q137" s="19" cm="1">
        <f t="array" ref="Q137">ROUND(P137+1/getKurs(EDATE(A137,-1))*(K137-L137-N137-getParm(Tarifart,"StK")+M137+O137),10)*(C137&lt;Dauer)</f>
        <v>6.7268582833000004</v>
      </c>
      <c r="R137" s="10" cm="1">
        <f t="array" ref="R137">ROUND(P137*getKurs($A137),2)</f>
        <v>40660.019999999997</v>
      </c>
      <c r="S137" s="10" cm="1">
        <f t="array" ref="S137">ROUND(Q137*getKurs($A137),2)</f>
        <v>40925.53</v>
      </c>
      <c r="T137" s="10">
        <f t="shared" ref="T137:T200" si="30">ROUND(MAX(MTSum,R137+MRSum),2)</f>
        <v>44260.02</v>
      </c>
      <c r="U137" s="10" cm="1">
        <f t="array" ref="U137">getParm(Tarifart,"StoSatz")*(Dauer-C137)*Beitrag*Zahlweise*(C137&lt;BZDauer)</f>
        <v>1440</v>
      </c>
      <c r="V137" s="10">
        <f t="shared" si="24"/>
        <v>39485.53</v>
      </c>
    </row>
    <row r="138" spans="1:22" x14ac:dyDescent="0.45">
      <c r="A138" s="15">
        <f t="shared" si="25"/>
        <v>40452</v>
      </c>
      <c r="B138">
        <f t="shared" si="26"/>
        <v>129</v>
      </c>
      <c r="C138">
        <f t="shared" ref="C138:C201" si="31">QUOTIENT(B138,12)</f>
        <v>10</v>
      </c>
      <c r="D138">
        <f t="shared" si="27"/>
        <v>9</v>
      </c>
      <c r="E138">
        <f t="shared" si="28"/>
        <v>1</v>
      </c>
      <c r="F138" s="10">
        <f t="shared" si="29"/>
        <v>300</v>
      </c>
      <c r="G138" s="10" cm="1">
        <f t="array" ref="G138">ROUND(getParm(Tarifart,"alpha")/(2*Zahlweise)*BeiSum*(C138&lt;2)*E138,2)</f>
        <v>0</v>
      </c>
      <c r="H138" s="10" cm="1">
        <f t="array" ref="H138">ROUND(F138*getParm(Tarifart,"beta")*E138,2)</f>
        <v>15</v>
      </c>
      <c r="I138" s="10" cm="1">
        <f t="array" ref="I138">ROUND(F138*get_Üb(YEAR(A138),$I$8)*E138,2)</f>
        <v>3.6</v>
      </c>
      <c r="J138" s="10">
        <f t="shared" ref="J138:J201" si="32">G138+H138</f>
        <v>15</v>
      </c>
      <c r="K138" s="10">
        <f t="shared" ref="K138:K201" si="33">F138-J138+I138</f>
        <v>288.60000000000002</v>
      </c>
      <c r="L138" s="10" cm="1">
        <f t="array" ref="L138">ROUND(1/12*MAX(MTSum-R138-K138,MRSum)*Act_qx(x+C138,Geschlecht,getParm(Tarifart,"Tafel"),YEAR(GebDat),x+Dauer,1),2)</f>
        <v>0.85</v>
      </c>
      <c r="M138" s="10" cm="1">
        <f t="array" ref="M138">ROUND(L138*get_Üb(YEAR(A138),$M$8),2)</f>
        <v>0.04</v>
      </c>
      <c r="N138" s="10" cm="1">
        <f t="array" ref="N138">ROUND(R138*getParm(Tarifart,IF(C138&lt;BZDauer,"gamma1","gamma2")),2)</f>
        <v>16.71</v>
      </c>
      <c r="O138" s="10" cm="1">
        <f t="array" ref="O138">ROUND(R138*get_Üb(YEAR(A138),$O$8),2)</f>
        <v>4.18</v>
      </c>
      <c r="P138" s="19">
        <f t="shared" ref="P138:P201" si="34">Q137*(C138&lt;Dauer)</f>
        <v>6.7268582833000004</v>
      </c>
      <c r="Q138" s="19" cm="1">
        <f t="array" ref="Q138">ROUND(P138+1/getKurs(EDATE(A138,-1))*(K138-L138-N138-getParm(Tarifart,"StK")+M138+O138),10)*(C138&lt;Dauer)</f>
        <v>6.7719379197</v>
      </c>
      <c r="R138" s="10" cm="1">
        <f t="array" ref="R138">ROUND(P138*getKurs($A138),2)</f>
        <v>41782.800000000003</v>
      </c>
      <c r="S138" s="10" cm="1">
        <f t="array" ref="S138">ROUND(Q138*getKurs($A138),2)</f>
        <v>42062.81</v>
      </c>
      <c r="T138" s="10">
        <f t="shared" si="30"/>
        <v>45382.8</v>
      </c>
      <c r="U138" s="10" cm="1">
        <f t="array" ref="U138">getParm(Tarifart,"StoSatz")*(Dauer-C138)*Beitrag*Zahlweise*(C138&lt;BZDauer)</f>
        <v>1440</v>
      </c>
      <c r="V138" s="10">
        <f t="shared" ref="V138:V201" si="35">MAX(S138-U138,0)</f>
        <v>40622.81</v>
      </c>
    </row>
    <row r="139" spans="1:22" x14ac:dyDescent="0.45">
      <c r="A139" s="15">
        <f t="shared" ref="A139:A202" si="36">EDATE(A138,1)</f>
        <v>40483</v>
      </c>
      <c r="B139">
        <f t="shared" si="26"/>
        <v>130</v>
      </c>
      <c r="C139">
        <f t="shared" si="31"/>
        <v>10</v>
      </c>
      <c r="D139">
        <f t="shared" si="27"/>
        <v>10</v>
      </c>
      <c r="E139">
        <f t="shared" si="28"/>
        <v>1</v>
      </c>
      <c r="F139" s="10">
        <f t="shared" si="29"/>
        <v>300</v>
      </c>
      <c r="G139" s="10" cm="1">
        <f t="array" ref="G139">ROUND(getParm(Tarifart,"alpha")/(2*Zahlweise)*BeiSum*(C139&lt;2)*E139,2)</f>
        <v>0</v>
      </c>
      <c r="H139" s="10" cm="1">
        <f t="array" ref="H139">ROUND(F139*getParm(Tarifart,"beta")*E139,2)</f>
        <v>15</v>
      </c>
      <c r="I139" s="10" cm="1">
        <f t="array" ref="I139">ROUND(F139*get_Üb(YEAR(A139),$I$8)*E139,2)</f>
        <v>3.6</v>
      </c>
      <c r="J139" s="10">
        <f t="shared" si="32"/>
        <v>15</v>
      </c>
      <c r="K139" s="10">
        <f t="shared" si="33"/>
        <v>288.60000000000002</v>
      </c>
      <c r="L139" s="10" cm="1">
        <f t="array" ref="L139">ROUND(1/12*MAX(MTSum-R139-K139,MRSum)*Act_qx(x+C139,Geschlecht,getParm(Tarifart,"Tafel"),YEAR(GebDat),x+Dauer,1),2)</f>
        <v>0.85</v>
      </c>
      <c r="M139" s="10" cm="1">
        <f t="array" ref="M139">ROUND(L139*get_Üb(YEAR(A139),$M$8),2)</f>
        <v>0.04</v>
      </c>
      <c r="N139" s="10" cm="1">
        <f t="array" ref="N139">ROUND(R139*getParm(Tarifart,IF(C139&lt;BZDauer,"gamma1","gamma2")),2)</f>
        <v>17.89</v>
      </c>
      <c r="O139" s="10" cm="1">
        <f t="array" ref="O139">ROUND(R139*get_Üb(YEAR(A139),$O$8),2)</f>
        <v>4.47</v>
      </c>
      <c r="P139" s="19">
        <f t="shared" si="34"/>
        <v>6.7719379197</v>
      </c>
      <c r="Q139" s="19" cm="1">
        <f t="array" ref="Q139">ROUND(P139+1/getKurs(EDATE(A139,-1))*(K139-L139-N139-getParm(Tarifart,"StK")+M139+O139),10)*(C139&lt;Dauer)</f>
        <v>6.8159493568</v>
      </c>
      <c r="R139" s="10" cm="1">
        <f t="array" ref="R139">ROUND(P139*getKurs($A139),2)</f>
        <v>44727.7</v>
      </c>
      <c r="S139" s="10" cm="1">
        <f t="array" ref="S139">ROUND(Q139*getKurs($A139),2)</f>
        <v>45018.39</v>
      </c>
      <c r="T139" s="10">
        <f t="shared" si="30"/>
        <v>48327.7</v>
      </c>
      <c r="U139" s="10" cm="1">
        <f t="array" ref="U139">getParm(Tarifart,"StoSatz")*(Dauer-C139)*Beitrag*Zahlweise*(C139&lt;BZDauer)</f>
        <v>1440</v>
      </c>
      <c r="V139" s="10">
        <f t="shared" si="35"/>
        <v>43578.39</v>
      </c>
    </row>
    <row r="140" spans="1:22" x14ac:dyDescent="0.45">
      <c r="A140" s="15">
        <f t="shared" si="36"/>
        <v>40513</v>
      </c>
      <c r="B140">
        <f t="shared" si="26"/>
        <v>131</v>
      </c>
      <c r="C140">
        <f t="shared" si="31"/>
        <v>10</v>
      </c>
      <c r="D140">
        <f t="shared" si="27"/>
        <v>11</v>
      </c>
      <c r="E140">
        <f t="shared" si="28"/>
        <v>1</v>
      </c>
      <c r="F140" s="10">
        <f t="shared" si="29"/>
        <v>300</v>
      </c>
      <c r="G140" s="10" cm="1">
        <f t="array" ref="G140">ROUND(getParm(Tarifart,"alpha")/(2*Zahlweise)*BeiSum*(C140&lt;2)*E140,2)</f>
        <v>0</v>
      </c>
      <c r="H140" s="10" cm="1">
        <f t="array" ref="H140">ROUND(F140*getParm(Tarifart,"beta")*E140,2)</f>
        <v>15</v>
      </c>
      <c r="I140" s="10" cm="1">
        <f t="array" ref="I140">ROUND(F140*get_Üb(YEAR(A140),$I$8)*E140,2)</f>
        <v>3.6</v>
      </c>
      <c r="J140" s="10">
        <f t="shared" si="32"/>
        <v>15</v>
      </c>
      <c r="K140" s="10">
        <f t="shared" si="33"/>
        <v>288.60000000000002</v>
      </c>
      <c r="L140" s="10" cm="1">
        <f t="array" ref="L140">ROUND(1/12*MAX(MTSum-R140-K140,MRSum)*Act_qx(x+C140,Geschlecht,getParm(Tarifart,"Tafel"),YEAR(GebDat),x+Dauer,1),2)</f>
        <v>0.85</v>
      </c>
      <c r="M140" s="10" cm="1">
        <f t="array" ref="M140">ROUND(L140*get_Üb(YEAR(A140),$M$8),2)</f>
        <v>0.04</v>
      </c>
      <c r="N140" s="10" cm="1">
        <f t="array" ref="N140">ROUND(R140*getParm(Tarifart,IF(C140&lt;BZDauer,"gamma1","gamma2")),2)</f>
        <v>18.72</v>
      </c>
      <c r="O140" s="10" cm="1">
        <f t="array" ref="O140">ROUND(R140*get_Üb(YEAR(A140),$O$8),2)</f>
        <v>4.68</v>
      </c>
      <c r="P140" s="19">
        <f t="shared" si="34"/>
        <v>6.8159493568</v>
      </c>
      <c r="Q140" s="19" cm="1">
        <f t="array" ref="Q140">ROUND(P140+1/getKurs(EDATE(A140,-1))*(K140-L140-N140-getParm(Tarifart,"StK")+M140+O140),10)*(C140&lt;Dauer)</f>
        <v>6.8572447060000004</v>
      </c>
      <c r="R140" s="10" cm="1">
        <f t="array" ref="R140">ROUND(P140*getKurs($A140),2)</f>
        <v>46802.6</v>
      </c>
      <c r="S140" s="10" cm="1">
        <f t="array" ref="S140">ROUND(Q140*getKurs($A140),2)</f>
        <v>47086.16</v>
      </c>
      <c r="T140" s="10">
        <f t="shared" si="30"/>
        <v>50402.6</v>
      </c>
      <c r="U140" s="10" cm="1">
        <f t="array" ref="U140">getParm(Tarifart,"StoSatz")*(Dauer-C140)*Beitrag*Zahlweise*(C140&lt;BZDauer)</f>
        <v>1440</v>
      </c>
      <c r="V140" s="10">
        <f t="shared" si="35"/>
        <v>45646.16</v>
      </c>
    </row>
    <row r="141" spans="1:22" x14ac:dyDescent="0.45">
      <c r="A141" s="15">
        <f t="shared" si="36"/>
        <v>40544</v>
      </c>
      <c r="B141">
        <f t="shared" si="26"/>
        <v>132</v>
      </c>
      <c r="C141">
        <f t="shared" si="31"/>
        <v>11</v>
      </c>
      <c r="D141">
        <f t="shared" si="27"/>
        <v>0</v>
      </c>
      <c r="E141">
        <f t="shared" si="28"/>
        <v>1</v>
      </c>
      <c r="F141" s="10">
        <f t="shared" si="29"/>
        <v>300</v>
      </c>
      <c r="G141" s="10" cm="1">
        <f t="array" ref="G141">ROUND(getParm(Tarifart,"alpha")/(2*Zahlweise)*BeiSum*(C141&lt;2)*E141,2)</f>
        <v>0</v>
      </c>
      <c r="H141" s="10" cm="1">
        <f t="array" ref="H141">ROUND(F141*getParm(Tarifart,"beta")*E141,2)</f>
        <v>15</v>
      </c>
      <c r="I141" s="10" cm="1">
        <f t="array" ref="I141">ROUND(F141*get_Üb(YEAR(A141),$I$8)*E141,2)</f>
        <v>3.6</v>
      </c>
      <c r="J141" s="10">
        <f t="shared" si="32"/>
        <v>15</v>
      </c>
      <c r="K141" s="10">
        <f t="shared" si="33"/>
        <v>288.60000000000002</v>
      </c>
      <c r="L141" s="10" cm="1">
        <f t="array" ref="L141">ROUND(1/12*MAX(MTSum-R141-K141,MRSum)*Act_qx(x+C141,Geschlecht,getParm(Tarifart,"Tafel"),YEAR(GebDat),x+Dauer,1),2)</f>
        <v>0.93</v>
      </c>
      <c r="M141" s="10" cm="1">
        <f t="array" ref="M141">ROUND(L141*get_Üb(YEAR(A141),$M$8),2)</f>
        <v>0.05</v>
      </c>
      <c r="N141" s="10" cm="1">
        <f t="array" ref="N141">ROUND(R141*getParm(Tarifart,IF(C141&lt;BZDauer,"gamma1","gamma2")),2)</f>
        <v>19.170000000000002</v>
      </c>
      <c r="O141" s="10" cm="1">
        <f t="array" ref="O141">ROUND(R141*get_Üb(YEAR(A141),$O$8),2)</f>
        <v>4.79</v>
      </c>
      <c r="P141" s="19">
        <f t="shared" si="34"/>
        <v>6.8572447060000004</v>
      </c>
      <c r="Q141" s="19" cm="1">
        <f t="array" ref="Q141">ROUND(P141+1/getKurs(EDATE(A141,-1))*(K141-L141-N141-getParm(Tarifart,"StK")+M141+O141),10)*(C141&lt;Dauer)</f>
        <v>6.8969060828000002</v>
      </c>
      <c r="R141" s="10" cm="1">
        <f t="array" ref="R141">ROUND(P141*getKurs($A141),2)</f>
        <v>47930.36</v>
      </c>
      <c r="S141" s="10" cm="1">
        <f t="array" ref="S141">ROUND(Q141*getKurs($A141),2)</f>
        <v>48207.58</v>
      </c>
      <c r="T141" s="10">
        <f t="shared" si="30"/>
        <v>51530.36</v>
      </c>
      <c r="U141" s="10" cm="1">
        <f t="array" ref="U141">getParm(Tarifart,"StoSatz")*(Dauer-C141)*Beitrag*Zahlweise*(C141&lt;BZDauer)</f>
        <v>1368</v>
      </c>
      <c r="V141" s="10">
        <f t="shared" si="35"/>
        <v>46839.58</v>
      </c>
    </row>
    <row r="142" spans="1:22" x14ac:dyDescent="0.45">
      <c r="A142" s="15">
        <f t="shared" si="36"/>
        <v>40575</v>
      </c>
      <c r="B142">
        <f t="shared" si="26"/>
        <v>133</v>
      </c>
      <c r="C142">
        <f t="shared" si="31"/>
        <v>11</v>
      </c>
      <c r="D142">
        <f t="shared" si="27"/>
        <v>1</v>
      </c>
      <c r="E142">
        <f t="shared" si="28"/>
        <v>1</v>
      </c>
      <c r="F142" s="10">
        <f t="shared" si="29"/>
        <v>300</v>
      </c>
      <c r="G142" s="10" cm="1">
        <f t="array" ref="G142">ROUND(getParm(Tarifart,"alpha")/(2*Zahlweise)*BeiSum*(C142&lt;2)*E142,2)</f>
        <v>0</v>
      </c>
      <c r="H142" s="10" cm="1">
        <f t="array" ref="H142">ROUND(F142*getParm(Tarifart,"beta")*E142,2)</f>
        <v>15</v>
      </c>
      <c r="I142" s="10" cm="1">
        <f t="array" ref="I142">ROUND(F142*get_Üb(YEAR(A142),$I$8)*E142,2)</f>
        <v>3.6</v>
      </c>
      <c r="J142" s="10">
        <f t="shared" si="32"/>
        <v>15</v>
      </c>
      <c r="K142" s="10">
        <f t="shared" si="33"/>
        <v>288.60000000000002</v>
      </c>
      <c r="L142" s="10" cm="1">
        <f t="array" ref="L142">ROUND(1/12*MAX(MTSum-R142-K142,MRSum)*Act_qx(x+C142,Geschlecht,getParm(Tarifart,"Tafel"),YEAR(GebDat),x+Dauer,1),2)</f>
        <v>0.93</v>
      </c>
      <c r="M142" s="10" cm="1">
        <f t="array" ref="M142">ROUND(L142*get_Üb(YEAR(A142),$M$8),2)</f>
        <v>0.05</v>
      </c>
      <c r="N142" s="10" cm="1">
        <f t="array" ref="N142">ROUND(R142*getParm(Tarifart,IF(C142&lt;BZDauer,"gamma1","gamma2")),2)</f>
        <v>19.82</v>
      </c>
      <c r="O142" s="10" cm="1">
        <f t="array" ref="O142">ROUND(R142*get_Üb(YEAR(A142),$O$8),2)</f>
        <v>4.95</v>
      </c>
      <c r="P142" s="19">
        <f t="shared" si="34"/>
        <v>6.8969060828000002</v>
      </c>
      <c r="Q142" s="19" cm="1">
        <f t="array" ref="Q142">ROUND(P142+1/getKurs(EDATE(A142,-1))*(K142-L142-N142-getParm(Tarifart,"StK")+M142+O142),10)*(C142&lt;Dauer)</f>
        <v>6.9357988026999999</v>
      </c>
      <c r="R142" s="10" cm="1">
        <f t="array" ref="R142">ROUND(P142*getKurs($A142),2)</f>
        <v>49549.24</v>
      </c>
      <c r="S142" s="10" cm="1">
        <f t="array" ref="S142">ROUND(Q142*getKurs($A142),2)</f>
        <v>49828.65</v>
      </c>
      <c r="T142" s="10">
        <f t="shared" si="30"/>
        <v>53149.24</v>
      </c>
      <c r="U142" s="10" cm="1">
        <f t="array" ref="U142">getParm(Tarifart,"StoSatz")*(Dauer-C142)*Beitrag*Zahlweise*(C142&lt;BZDauer)</f>
        <v>1368</v>
      </c>
      <c r="V142" s="10">
        <f t="shared" si="35"/>
        <v>48460.65</v>
      </c>
    </row>
    <row r="143" spans="1:22" x14ac:dyDescent="0.45">
      <c r="A143" s="15">
        <f t="shared" si="36"/>
        <v>40603</v>
      </c>
      <c r="B143">
        <f t="shared" si="26"/>
        <v>134</v>
      </c>
      <c r="C143">
        <f t="shared" si="31"/>
        <v>11</v>
      </c>
      <c r="D143">
        <f t="shared" si="27"/>
        <v>2</v>
      </c>
      <c r="E143">
        <f t="shared" si="28"/>
        <v>1</v>
      </c>
      <c r="F143" s="10">
        <f t="shared" si="29"/>
        <v>300</v>
      </c>
      <c r="G143" s="10" cm="1">
        <f t="array" ref="G143">ROUND(getParm(Tarifart,"alpha")/(2*Zahlweise)*BeiSum*(C143&lt;2)*E143,2)</f>
        <v>0</v>
      </c>
      <c r="H143" s="10" cm="1">
        <f t="array" ref="H143">ROUND(F143*getParm(Tarifart,"beta")*E143,2)</f>
        <v>15</v>
      </c>
      <c r="I143" s="10" cm="1">
        <f t="array" ref="I143">ROUND(F143*get_Üb(YEAR(A143),$I$8)*E143,2)</f>
        <v>3.6</v>
      </c>
      <c r="J143" s="10">
        <f t="shared" si="32"/>
        <v>15</v>
      </c>
      <c r="K143" s="10">
        <f t="shared" si="33"/>
        <v>288.60000000000002</v>
      </c>
      <c r="L143" s="10" cm="1">
        <f t="array" ref="L143">ROUND(1/12*MAX(MTSum-R143-K143,MRSum)*Act_qx(x+C143,Geschlecht,getParm(Tarifart,"Tafel"),YEAR(GebDat),x+Dauer,1),2)</f>
        <v>0.93</v>
      </c>
      <c r="M143" s="10" cm="1">
        <f t="array" ref="M143">ROUND(L143*get_Üb(YEAR(A143),$M$8),2)</f>
        <v>0.05</v>
      </c>
      <c r="N143" s="10" cm="1">
        <f t="array" ref="N143">ROUND(R143*getParm(Tarifart,IF(C143&lt;BZDauer,"gamma1","gamma2")),2)</f>
        <v>20.04</v>
      </c>
      <c r="O143" s="10" cm="1">
        <f t="array" ref="O143">ROUND(R143*get_Üb(YEAR(A143),$O$8),2)</f>
        <v>5.01</v>
      </c>
      <c r="P143" s="19">
        <f t="shared" si="34"/>
        <v>6.9357988026999999</v>
      </c>
      <c r="Q143" s="19" cm="1">
        <f t="array" ref="Q143">ROUND(P143+1/getKurs(EDATE(A143,-1))*(K143-L143-N143-getParm(Tarifart,"StK")+M143+O143),10)*(C143&lt;Dauer)</f>
        <v>6.9736161453000003</v>
      </c>
      <c r="R143" s="10" cm="1">
        <f t="array" ref="R143">ROUND(P143*getKurs($A143),2)</f>
        <v>50099.360000000001</v>
      </c>
      <c r="S143" s="10" cm="1">
        <f t="array" ref="S143">ROUND(Q143*getKurs($A143),2)</f>
        <v>50372.52</v>
      </c>
      <c r="T143" s="10">
        <f t="shared" si="30"/>
        <v>53699.360000000001</v>
      </c>
      <c r="U143" s="10" cm="1">
        <f t="array" ref="U143">getParm(Tarifart,"StoSatz")*(Dauer-C143)*Beitrag*Zahlweise*(C143&lt;BZDauer)</f>
        <v>1368</v>
      </c>
      <c r="V143" s="10">
        <f t="shared" si="35"/>
        <v>49004.52</v>
      </c>
    </row>
    <row r="144" spans="1:22" x14ac:dyDescent="0.45">
      <c r="A144" s="15">
        <f t="shared" si="36"/>
        <v>40634</v>
      </c>
      <c r="B144">
        <f t="shared" si="26"/>
        <v>135</v>
      </c>
      <c r="C144">
        <f t="shared" si="31"/>
        <v>11</v>
      </c>
      <c r="D144">
        <f t="shared" si="27"/>
        <v>3</v>
      </c>
      <c r="E144">
        <f t="shared" si="28"/>
        <v>1</v>
      </c>
      <c r="F144" s="10">
        <f t="shared" si="29"/>
        <v>300</v>
      </c>
      <c r="G144" s="10" cm="1">
        <f t="array" ref="G144">ROUND(getParm(Tarifart,"alpha")/(2*Zahlweise)*BeiSum*(C144&lt;2)*E144,2)</f>
        <v>0</v>
      </c>
      <c r="H144" s="10" cm="1">
        <f t="array" ref="H144">ROUND(F144*getParm(Tarifart,"beta")*E144,2)</f>
        <v>15</v>
      </c>
      <c r="I144" s="10" cm="1">
        <f t="array" ref="I144">ROUND(F144*get_Üb(YEAR(A144),$I$8)*E144,2)</f>
        <v>3.6</v>
      </c>
      <c r="J144" s="10">
        <f t="shared" si="32"/>
        <v>15</v>
      </c>
      <c r="K144" s="10">
        <f t="shared" si="33"/>
        <v>288.60000000000002</v>
      </c>
      <c r="L144" s="10" cm="1">
        <f t="array" ref="L144">ROUND(1/12*MAX(MTSum-R144-K144,MRSum)*Act_qx(x+C144,Geschlecht,getParm(Tarifart,"Tafel"),YEAR(GebDat),x+Dauer,1),2)</f>
        <v>0.93</v>
      </c>
      <c r="M144" s="10" cm="1">
        <f t="array" ref="M144">ROUND(L144*get_Üb(YEAR(A144),$M$8),2)</f>
        <v>0.05</v>
      </c>
      <c r="N144" s="10" cm="1">
        <f t="array" ref="N144">ROUND(R144*getParm(Tarifart,IF(C144&lt;BZDauer,"gamma1","gamma2")),2)</f>
        <v>20.03</v>
      </c>
      <c r="O144" s="10" cm="1">
        <f t="array" ref="O144">ROUND(R144*get_Üb(YEAR(A144),$O$8),2)</f>
        <v>5.01</v>
      </c>
      <c r="P144" s="19">
        <f t="shared" si="34"/>
        <v>6.9736161453000003</v>
      </c>
      <c r="Q144" s="19" cm="1">
        <f t="array" ref="Q144">ROUND(P144+1/getKurs(EDATE(A144,-1))*(K144-L144-N144-getParm(Tarifart,"StK")+M144+O144),10)*(C144&lt;Dauer)</f>
        <v>7.0112305320999999</v>
      </c>
      <c r="R144" s="10" cm="1">
        <f t="array" ref="R144">ROUND(P144*getKurs($A144),2)</f>
        <v>50069.24</v>
      </c>
      <c r="S144" s="10" cm="1">
        <f t="array" ref="S144">ROUND(Q144*getKurs($A144),2)</f>
        <v>50339.3</v>
      </c>
      <c r="T144" s="10">
        <f t="shared" si="30"/>
        <v>53669.24</v>
      </c>
      <c r="U144" s="10" cm="1">
        <f t="array" ref="U144">getParm(Tarifart,"StoSatz")*(Dauer-C144)*Beitrag*Zahlweise*(C144&lt;BZDauer)</f>
        <v>1368</v>
      </c>
      <c r="V144" s="10">
        <f t="shared" si="35"/>
        <v>48971.3</v>
      </c>
    </row>
    <row r="145" spans="1:22" x14ac:dyDescent="0.45">
      <c r="A145" s="15">
        <f t="shared" si="36"/>
        <v>40664</v>
      </c>
      <c r="B145">
        <f t="shared" si="26"/>
        <v>136</v>
      </c>
      <c r="C145">
        <f t="shared" si="31"/>
        <v>11</v>
      </c>
      <c r="D145">
        <f t="shared" si="27"/>
        <v>4</v>
      </c>
      <c r="E145">
        <f t="shared" si="28"/>
        <v>1</v>
      </c>
      <c r="F145" s="10">
        <f t="shared" si="29"/>
        <v>300</v>
      </c>
      <c r="G145" s="10" cm="1">
        <f t="array" ref="G145">ROUND(getParm(Tarifart,"alpha")/(2*Zahlweise)*BeiSum*(C145&lt;2)*E145,2)</f>
        <v>0</v>
      </c>
      <c r="H145" s="10" cm="1">
        <f t="array" ref="H145">ROUND(F145*getParm(Tarifart,"beta")*E145,2)</f>
        <v>15</v>
      </c>
      <c r="I145" s="10" cm="1">
        <f t="array" ref="I145">ROUND(F145*get_Üb(YEAR(A145),$I$8)*E145,2)</f>
        <v>3.6</v>
      </c>
      <c r="J145" s="10">
        <f t="shared" si="32"/>
        <v>15</v>
      </c>
      <c r="K145" s="10">
        <f t="shared" si="33"/>
        <v>288.60000000000002</v>
      </c>
      <c r="L145" s="10" cm="1">
        <f t="array" ref="L145">ROUND(1/12*MAX(MTSum-R145-K145,MRSum)*Act_qx(x+C145,Geschlecht,getParm(Tarifart,"Tafel"),YEAR(GebDat),x+Dauer,1),2)</f>
        <v>0.93</v>
      </c>
      <c r="M145" s="10" cm="1">
        <f t="array" ref="M145">ROUND(L145*get_Üb(YEAR(A145),$M$8),2)</f>
        <v>0.05</v>
      </c>
      <c r="N145" s="10" cm="1">
        <f t="array" ref="N145">ROUND(R145*getParm(Tarifart,IF(C145&lt;BZDauer,"gamma1","gamma2")),2)</f>
        <v>21.11</v>
      </c>
      <c r="O145" s="10" cm="1">
        <f t="array" ref="O145">ROUND(R145*get_Üb(YEAR(A145),$O$8),2)</f>
        <v>5.28</v>
      </c>
      <c r="P145" s="19">
        <f t="shared" si="34"/>
        <v>7.0112305320999999</v>
      </c>
      <c r="Q145" s="19" cm="1">
        <f t="array" ref="Q145">ROUND(P145+1/getKurs(EDATE(A145,-1))*(K145-L145-N145-getParm(Tarifart,"StK")+M145+O145),10)*(C145&lt;Dauer)</f>
        <v>7.0489599427999998</v>
      </c>
      <c r="R145" s="10" cm="1">
        <f t="array" ref="R145">ROUND(P145*getKurs($A145),2)</f>
        <v>52778.02</v>
      </c>
      <c r="S145" s="10" cm="1">
        <f t="array" ref="S145">ROUND(Q145*getKurs($A145),2)</f>
        <v>53062.03</v>
      </c>
      <c r="T145" s="10">
        <f t="shared" si="30"/>
        <v>56378.02</v>
      </c>
      <c r="U145" s="10" cm="1">
        <f t="array" ref="U145">getParm(Tarifart,"StoSatz")*(Dauer-C145)*Beitrag*Zahlweise*(C145&lt;BZDauer)</f>
        <v>1368</v>
      </c>
      <c r="V145" s="10">
        <f t="shared" si="35"/>
        <v>51694.03</v>
      </c>
    </row>
    <row r="146" spans="1:22" x14ac:dyDescent="0.45">
      <c r="A146" s="15">
        <f t="shared" si="36"/>
        <v>40695</v>
      </c>
      <c r="B146">
        <f t="shared" si="26"/>
        <v>137</v>
      </c>
      <c r="C146">
        <f t="shared" si="31"/>
        <v>11</v>
      </c>
      <c r="D146">
        <f t="shared" si="27"/>
        <v>5</v>
      </c>
      <c r="E146">
        <f t="shared" si="28"/>
        <v>1</v>
      </c>
      <c r="F146" s="10">
        <f t="shared" si="29"/>
        <v>300</v>
      </c>
      <c r="G146" s="10" cm="1">
        <f t="array" ref="G146">ROUND(getParm(Tarifart,"alpha")/(2*Zahlweise)*BeiSum*(C146&lt;2)*E146,2)</f>
        <v>0</v>
      </c>
      <c r="H146" s="10" cm="1">
        <f t="array" ref="H146">ROUND(F146*getParm(Tarifart,"beta")*E146,2)</f>
        <v>15</v>
      </c>
      <c r="I146" s="10" cm="1">
        <f t="array" ref="I146">ROUND(F146*get_Üb(YEAR(A146),$I$8)*E146,2)</f>
        <v>3.6</v>
      </c>
      <c r="J146" s="10">
        <f t="shared" si="32"/>
        <v>15</v>
      </c>
      <c r="K146" s="10">
        <f t="shared" si="33"/>
        <v>288.60000000000002</v>
      </c>
      <c r="L146" s="10" cm="1">
        <f t="array" ref="L146">ROUND(1/12*MAX(MTSum-R146-K146,MRSum)*Act_qx(x+C146,Geschlecht,getParm(Tarifart,"Tafel"),YEAR(GebDat),x+Dauer,1),2)</f>
        <v>0.93</v>
      </c>
      <c r="M146" s="10" cm="1">
        <f t="array" ref="M146">ROUND(L146*get_Üb(YEAR(A146),$M$8),2)</f>
        <v>0.05</v>
      </c>
      <c r="N146" s="10" cm="1">
        <f t="array" ref="N146">ROUND(R146*getParm(Tarifart,IF(C146&lt;BZDauer,"gamma1","gamma2")),2)</f>
        <v>20.350000000000001</v>
      </c>
      <c r="O146" s="10" cm="1">
        <f t="array" ref="O146">ROUND(R146*get_Üb(YEAR(A146),$O$8),2)</f>
        <v>5.09</v>
      </c>
      <c r="P146" s="19">
        <f t="shared" si="34"/>
        <v>7.0489599427999998</v>
      </c>
      <c r="Q146" s="19" cm="1">
        <f t="array" ref="Q146">ROUND(P146+1/getKurs(EDATE(A146,-1))*(K146-L146-N146-getParm(Tarifart,"StK")+M146+O146),10)*(C146&lt;Dauer)</f>
        <v>7.0850217098000003</v>
      </c>
      <c r="R146" s="10" cm="1">
        <f t="array" ref="R146">ROUND(P146*getKurs($A146),2)</f>
        <v>50875.37</v>
      </c>
      <c r="S146" s="10" cm="1">
        <f t="array" ref="S146">ROUND(Q146*getKurs($A146),2)</f>
        <v>51135.65</v>
      </c>
      <c r="T146" s="10">
        <f t="shared" si="30"/>
        <v>54475.37</v>
      </c>
      <c r="U146" s="10" cm="1">
        <f t="array" ref="U146">getParm(Tarifart,"StoSatz")*(Dauer-C146)*Beitrag*Zahlweise*(C146&lt;BZDauer)</f>
        <v>1368</v>
      </c>
      <c r="V146" s="10">
        <f t="shared" si="35"/>
        <v>49767.65</v>
      </c>
    </row>
    <row r="147" spans="1:22" x14ac:dyDescent="0.45">
      <c r="A147" s="15">
        <f t="shared" si="36"/>
        <v>40725</v>
      </c>
      <c r="B147">
        <f t="shared" si="26"/>
        <v>138</v>
      </c>
      <c r="C147">
        <f t="shared" si="31"/>
        <v>11</v>
      </c>
      <c r="D147">
        <f t="shared" si="27"/>
        <v>6</v>
      </c>
      <c r="E147">
        <f t="shared" si="28"/>
        <v>1</v>
      </c>
      <c r="F147" s="10">
        <f t="shared" si="29"/>
        <v>300</v>
      </c>
      <c r="G147" s="10" cm="1">
        <f t="array" ref="G147">ROUND(getParm(Tarifart,"alpha")/(2*Zahlweise)*BeiSum*(C147&lt;2)*E147,2)</f>
        <v>0</v>
      </c>
      <c r="H147" s="10" cm="1">
        <f t="array" ref="H147">ROUND(F147*getParm(Tarifart,"beta")*E147,2)</f>
        <v>15</v>
      </c>
      <c r="I147" s="10" cm="1">
        <f t="array" ref="I147">ROUND(F147*get_Üb(YEAR(A147),$I$8)*E147,2)</f>
        <v>3.6</v>
      </c>
      <c r="J147" s="10">
        <f t="shared" si="32"/>
        <v>15</v>
      </c>
      <c r="K147" s="10">
        <f t="shared" si="33"/>
        <v>288.60000000000002</v>
      </c>
      <c r="L147" s="10" cm="1">
        <f t="array" ref="L147">ROUND(1/12*MAX(MTSum-R147-K147,MRSum)*Act_qx(x+C147,Geschlecht,getParm(Tarifart,"Tafel"),YEAR(GebDat),x+Dauer,1),2)</f>
        <v>0.93</v>
      </c>
      <c r="M147" s="10" cm="1">
        <f t="array" ref="M147">ROUND(L147*get_Üb(YEAR(A147),$M$8),2)</f>
        <v>0.05</v>
      </c>
      <c r="N147" s="10" cm="1">
        <f t="array" ref="N147">ROUND(R147*getParm(Tarifart,IF(C147&lt;BZDauer,"gamma1","gamma2")),2)</f>
        <v>21.03</v>
      </c>
      <c r="O147" s="10" cm="1">
        <f t="array" ref="O147">ROUND(R147*get_Üb(YEAR(A147),$O$8),2)</f>
        <v>5.26</v>
      </c>
      <c r="P147" s="19">
        <f t="shared" si="34"/>
        <v>7.0850217098000003</v>
      </c>
      <c r="Q147" s="19" cm="1">
        <f t="array" ref="Q147">ROUND(P147+1/getKurs(EDATE(A147,-1))*(K147-L147-N147-getParm(Tarifart,"StK")+M147+O147),10)*(C147&lt;Dauer)</f>
        <v>7.1225627736000003</v>
      </c>
      <c r="R147" s="10" cm="1">
        <f t="array" ref="R147">ROUND(P147*getKurs($A147),2)</f>
        <v>52566.89</v>
      </c>
      <c r="S147" s="10" cm="1">
        <f t="array" ref="S147">ROUND(Q147*getKurs($A147),2)</f>
        <v>52845.43</v>
      </c>
      <c r="T147" s="10">
        <f t="shared" si="30"/>
        <v>56166.89</v>
      </c>
      <c r="U147" s="10" cm="1">
        <f t="array" ref="U147">getParm(Tarifart,"StoSatz")*(Dauer-C147)*Beitrag*Zahlweise*(C147&lt;BZDauer)</f>
        <v>1368</v>
      </c>
      <c r="V147" s="10">
        <f t="shared" si="35"/>
        <v>51477.43</v>
      </c>
    </row>
    <row r="148" spans="1:22" x14ac:dyDescent="0.45">
      <c r="A148" s="15">
        <f t="shared" si="36"/>
        <v>40756</v>
      </c>
      <c r="B148">
        <f t="shared" si="26"/>
        <v>139</v>
      </c>
      <c r="C148">
        <f t="shared" si="31"/>
        <v>11</v>
      </c>
      <c r="D148">
        <f t="shared" si="27"/>
        <v>7</v>
      </c>
      <c r="E148">
        <f t="shared" si="28"/>
        <v>1</v>
      </c>
      <c r="F148" s="10">
        <f t="shared" si="29"/>
        <v>300</v>
      </c>
      <c r="G148" s="10" cm="1">
        <f t="array" ref="G148">ROUND(getParm(Tarifart,"alpha")/(2*Zahlweise)*BeiSum*(C148&lt;2)*E148,2)</f>
        <v>0</v>
      </c>
      <c r="H148" s="10" cm="1">
        <f t="array" ref="H148">ROUND(F148*getParm(Tarifart,"beta")*E148,2)</f>
        <v>15</v>
      </c>
      <c r="I148" s="10" cm="1">
        <f t="array" ref="I148">ROUND(F148*get_Üb(YEAR(A148),$I$8)*E148,2)</f>
        <v>3.6</v>
      </c>
      <c r="J148" s="10">
        <f t="shared" si="32"/>
        <v>15</v>
      </c>
      <c r="K148" s="10">
        <f t="shared" si="33"/>
        <v>288.60000000000002</v>
      </c>
      <c r="L148" s="10" cm="1">
        <f t="array" ref="L148">ROUND(1/12*MAX(MTSum-R148-K148,MRSum)*Act_qx(x+C148,Geschlecht,getParm(Tarifart,"Tafel"),YEAR(GebDat),x+Dauer,1),2)</f>
        <v>0.93</v>
      </c>
      <c r="M148" s="10" cm="1">
        <f t="array" ref="M148">ROUND(L148*get_Üb(YEAR(A148),$M$8),2)</f>
        <v>0.05</v>
      </c>
      <c r="N148" s="10" cm="1">
        <f t="array" ref="N148">ROUND(R148*getParm(Tarifart,IF(C148&lt;BZDauer,"gamma1","gamma2")),2)</f>
        <v>19.809999999999999</v>
      </c>
      <c r="O148" s="10" cm="1">
        <f t="array" ref="O148">ROUND(R148*get_Üb(YEAR(A148),$O$8),2)</f>
        <v>4.95</v>
      </c>
      <c r="P148" s="19">
        <f t="shared" si="34"/>
        <v>7.1225627736000003</v>
      </c>
      <c r="Q148" s="19" cm="1">
        <f t="array" ref="Q148">ROUND(P148+1/getKurs(EDATE(A148,-1))*(K148-L148-N148-getParm(Tarifart,"StK")+M148+O148),10)*(C148&lt;Dauer)</f>
        <v>7.1592043529999998</v>
      </c>
      <c r="R148" s="10" cm="1">
        <f t="array" ref="R148">ROUND(P148*getKurs($A148),2)</f>
        <v>49530.16</v>
      </c>
      <c r="S148" s="10" cm="1">
        <f t="array" ref="S148">ROUND(Q148*getKurs($A148),2)</f>
        <v>49784.959999999999</v>
      </c>
      <c r="T148" s="10">
        <f t="shared" si="30"/>
        <v>53130.16</v>
      </c>
      <c r="U148" s="10" cm="1">
        <f t="array" ref="U148">getParm(Tarifart,"StoSatz")*(Dauer-C148)*Beitrag*Zahlweise*(C148&lt;BZDauer)</f>
        <v>1368</v>
      </c>
      <c r="V148" s="10">
        <f t="shared" si="35"/>
        <v>48416.959999999999</v>
      </c>
    </row>
    <row r="149" spans="1:22" x14ac:dyDescent="0.45">
      <c r="A149" s="15">
        <f t="shared" si="36"/>
        <v>40787</v>
      </c>
      <c r="B149">
        <f t="shared" si="26"/>
        <v>140</v>
      </c>
      <c r="C149">
        <f t="shared" si="31"/>
        <v>11</v>
      </c>
      <c r="D149">
        <f t="shared" si="27"/>
        <v>8</v>
      </c>
      <c r="E149">
        <f t="shared" si="28"/>
        <v>1</v>
      </c>
      <c r="F149" s="10">
        <f t="shared" si="29"/>
        <v>300</v>
      </c>
      <c r="G149" s="10" cm="1">
        <f t="array" ref="G149">ROUND(getParm(Tarifart,"alpha")/(2*Zahlweise)*BeiSum*(C149&lt;2)*E149,2)</f>
        <v>0</v>
      </c>
      <c r="H149" s="10" cm="1">
        <f t="array" ref="H149">ROUND(F149*getParm(Tarifart,"beta")*E149,2)</f>
        <v>15</v>
      </c>
      <c r="I149" s="10" cm="1">
        <f t="array" ref="I149">ROUND(F149*get_Üb(YEAR(A149),$I$8)*E149,2)</f>
        <v>3.6</v>
      </c>
      <c r="J149" s="10">
        <f t="shared" si="32"/>
        <v>15</v>
      </c>
      <c r="K149" s="10">
        <f t="shared" si="33"/>
        <v>288.60000000000002</v>
      </c>
      <c r="L149" s="10" cm="1">
        <f t="array" ref="L149">ROUND(1/12*MAX(MTSum-R149-K149,MRSum)*Act_qx(x+C149,Geschlecht,getParm(Tarifart,"Tafel"),YEAR(GebDat),x+Dauer,1),2)</f>
        <v>0.93</v>
      </c>
      <c r="M149" s="10" cm="1">
        <f t="array" ref="M149">ROUND(L149*get_Üb(YEAR(A149),$M$8),2)</f>
        <v>0.05</v>
      </c>
      <c r="N149" s="10" cm="1">
        <f t="array" ref="N149">ROUND(R149*getParm(Tarifart,IF(C149&lt;BZDauer,"gamma1","gamma2")),2)</f>
        <v>16.41</v>
      </c>
      <c r="O149" s="10" cm="1">
        <f t="array" ref="O149">ROUND(R149*get_Üb(YEAR(A149),$O$8),2)</f>
        <v>4.0999999999999996</v>
      </c>
      <c r="P149" s="19">
        <f t="shared" si="34"/>
        <v>7.1592043529999998</v>
      </c>
      <c r="Q149" s="19" cm="1">
        <f t="array" ref="Q149">ROUND(P149+1/getKurs(EDATE(A149,-1))*(K149-L149-N149-getParm(Tarifart,"StK")+M149+O149),10)*(C149&lt;Dauer)</f>
        <v>7.1986652084999996</v>
      </c>
      <c r="R149" s="10" cm="1">
        <f t="array" ref="R149">ROUND(P149*getKurs($A149),2)</f>
        <v>41026.75</v>
      </c>
      <c r="S149" s="10" cm="1">
        <f t="array" ref="S149">ROUND(Q149*getKurs($A149),2)</f>
        <v>41252.89</v>
      </c>
      <c r="T149" s="10">
        <f t="shared" si="30"/>
        <v>44626.75</v>
      </c>
      <c r="U149" s="10" cm="1">
        <f t="array" ref="U149">getParm(Tarifart,"StoSatz")*(Dauer-C149)*Beitrag*Zahlweise*(C149&lt;BZDauer)</f>
        <v>1368</v>
      </c>
      <c r="V149" s="10">
        <f t="shared" si="35"/>
        <v>39884.89</v>
      </c>
    </row>
    <row r="150" spans="1:22" x14ac:dyDescent="0.45">
      <c r="A150" s="15">
        <f t="shared" si="36"/>
        <v>40817</v>
      </c>
      <c r="B150">
        <f t="shared" si="26"/>
        <v>141</v>
      </c>
      <c r="C150">
        <f t="shared" si="31"/>
        <v>11</v>
      </c>
      <c r="D150">
        <f t="shared" si="27"/>
        <v>9</v>
      </c>
      <c r="E150">
        <f t="shared" si="28"/>
        <v>1</v>
      </c>
      <c r="F150" s="10">
        <f t="shared" si="29"/>
        <v>300</v>
      </c>
      <c r="G150" s="10" cm="1">
        <f t="array" ref="G150">ROUND(getParm(Tarifart,"alpha")/(2*Zahlweise)*BeiSum*(C150&lt;2)*E150,2)</f>
        <v>0</v>
      </c>
      <c r="H150" s="10" cm="1">
        <f t="array" ref="H150">ROUND(F150*getParm(Tarifart,"beta")*E150,2)</f>
        <v>15</v>
      </c>
      <c r="I150" s="10" cm="1">
        <f t="array" ref="I150">ROUND(F150*get_Üb(YEAR(A150),$I$8)*E150,2)</f>
        <v>3.6</v>
      </c>
      <c r="J150" s="10">
        <f t="shared" si="32"/>
        <v>15</v>
      </c>
      <c r="K150" s="10">
        <f t="shared" si="33"/>
        <v>288.60000000000002</v>
      </c>
      <c r="L150" s="10" cm="1">
        <f t="array" ref="L150">ROUND(1/12*MAX(MTSum-R150-K150,MRSum)*Act_qx(x+C150,Geschlecht,getParm(Tarifart,"Tafel"),YEAR(GebDat),x+Dauer,1),2)</f>
        <v>1.08</v>
      </c>
      <c r="M150" s="10" cm="1">
        <f t="array" ref="M150">ROUND(L150*get_Üb(YEAR(A150),$M$8),2)</f>
        <v>0.05</v>
      </c>
      <c r="N150" s="10" cm="1">
        <f t="array" ref="N150">ROUND(R150*getParm(Tarifart,IF(C150&lt;BZDauer,"gamma1","gamma2")),2)</f>
        <v>15.48</v>
      </c>
      <c r="O150" s="10" cm="1">
        <f t="array" ref="O150">ROUND(R150*get_Üb(YEAR(A150),$O$8),2)</f>
        <v>3.87</v>
      </c>
      <c r="P150" s="19">
        <f t="shared" si="34"/>
        <v>7.1986652084999996</v>
      </c>
      <c r="Q150" s="19" cm="1">
        <f t="array" ref="Q150">ROUND(P150+1/getKurs(EDATE(A150,-1))*(K150-L150-N150-getParm(Tarifart,"StK")+M150+O150),10)*(C150&lt;Dauer)</f>
        <v>7.2466459714999996</v>
      </c>
      <c r="R150" s="10" cm="1">
        <f t="array" ref="R150">ROUND(P150*getKurs($A150),2)</f>
        <v>38705.06</v>
      </c>
      <c r="S150" s="10" cm="1">
        <f t="array" ref="S150">ROUND(Q150*getKurs($A150),2)</f>
        <v>38963.040000000001</v>
      </c>
      <c r="T150" s="10">
        <f t="shared" si="30"/>
        <v>43200</v>
      </c>
      <c r="U150" s="10" cm="1">
        <f t="array" ref="U150">getParm(Tarifart,"StoSatz")*(Dauer-C150)*Beitrag*Zahlweise*(C150&lt;BZDauer)</f>
        <v>1368</v>
      </c>
      <c r="V150" s="10">
        <f t="shared" si="35"/>
        <v>37595.040000000001</v>
      </c>
    </row>
    <row r="151" spans="1:22" x14ac:dyDescent="0.45">
      <c r="A151" s="15">
        <f t="shared" si="36"/>
        <v>40848</v>
      </c>
      <c r="B151">
        <f t="shared" si="26"/>
        <v>142</v>
      </c>
      <c r="C151">
        <f t="shared" si="31"/>
        <v>11</v>
      </c>
      <c r="D151">
        <f t="shared" si="27"/>
        <v>10</v>
      </c>
      <c r="E151">
        <f t="shared" si="28"/>
        <v>1</v>
      </c>
      <c r="F151" s="10">
        <f t="shared" si="29"/>
        <v>300</v>
      </c>
      <c r="G151" s="10" cm="1">
        <f t="array" ref="G151">ROUND(getParm(Tarifart,"alpha")/(2*Zahlweise)*BeiSum*(C151&lt;2)*E151,2)</f>
        <v>0</v>
      </c>
      <c r="H151" s="10" cm="1">
        <f t="array" ref="H151">ROUND(F151*getParm(Tarifart,"beta")*E151,2)</f>
        <v>15</v>
      </c>
      <c r="I151" s="10" cm="1">
        <f t="array" ref="I151">ROUND(F151*get_Üb(YEAR(A151),$I$8)*E151,2)</f>
        <v>3.6</v>
      </c>
      <c r="J151" s="10">
        <f t="shared" si="32"/>
        <v>15</v>
      </c>
      <c r="K151" s="10">
        <f t="shared" si="33"/>
        <v>288.60000000000002</v>
      </c>
      <c r="L151" s="10" cm="1">
        <f t="array" ref="L151">ROUND(1/12*MAX(MTSum-R151-K151,MRSum)*Act_qx(x+C151,Geschlecht,getParm(Tarifart,"Tafel"),YEAR(GebDat),x+Dauer,1),2)</f>
        <v>0.93</v>
      </c>
      <c r="M151" s="10" cm="1">
        <f t="array" ref="M151">ROUND(L151*get_Üb(YEAR(A151),$M$8),2)</f>
        <v>0.05</v>
      </c>
      <c r="N151" s="10" cm="1">
        <f t="array" ref="N151">ROUND(R151*getParm(Tarifart,IF(C151&lt;BZDauer,"gamma1","gamma2")),2)</f>
        <v>16.91</v>
      </c>
      <c r="O151" s="10" cm="1">
        <f t="array" ref="O151">ROUND(R151*get_Üb(YEAR(A151),$O$8),2)</f>
        <v>4.2300000000000004</v>
      </c>
      <c r="P151" s="19">
        <f t="shared" si="34"/>
        <v>7.2466459714999996</v>
      </c>
      <c r="Q151" s="19" cm="1">
        <f t="array" ref="Q151">ROUND(P151+1/getKurs(EDATE(A151,-1))*(K151-L151-N151-getParm(Tarifart,"StK")+M151+O151),10)*(C151&lt;Dauer)</f>
        <v>7.2976140373999998</v>
      </c>
      <c r="R151" s="10" cm="1">
        <f t="array" ref="R151">ROUND(P151*getKurs($A151),2)</f>
        <v>42280.63</v>
      </c>
      <c r="S151" s="10" cm="1">
        <f t="array" ref="S151">ROUND(Q151*getKurs($A151),2)</f>
        <v>42578</v>
      </c>
      <c r="T151" s="10">
        <f t="shared" si="30"/>
        <v>45880.63</v>
      </c>
      <c r="U151" s="10" cm="1">
        <f t="array" ref="U151">getParm(Tarifart,"StoSatz")*(Dauer-C151)*Beitrag*Zahlweise*(C151&lt;BZDauer)</f>
        <v>1368</v>
      </c>
      <c r="V151" s="10">
        <f t="shared" si="35"/>
        <v>41210</v>
      </c>
    </row>
    <row r="152" spans="1:22" x14ac:dyDescent="0.45">
      <c r="A152" s="15">
        <f t="shared" si="36"/>
        <v>40878</v>
      </c>
      <c r="B152">
        <f t="shared" si="26"/>
        <v>143</v>
      </c>
      <c r="C152">
        <f t="shared" si="31"/>
        <v>11</v>
      </c>
      <c r="D152">
        <f t="shared" si="27"/>
        <v>11</v>
      </c>
      <c r="E152">
        <f t="shared" si="28"/>
        <v>1</v>
      </c>
      <c r="F152" s="10">
        <f t="shared" si="29"/>
        <v>300</v>
      </c>
      <c r="G152" s="10" cm="1">
        <f t="array" ref="G152">ROUND(getParm(Tarifart,"alpha")/(2*Zahlweise)*BeiSum*(C152&lt;2)*E152,2)</f>
        <v>0</v>
      </c>
      <c r="H152" s="10" cm="1">
        <f t="array" ref="H152">ROUND(F152*getParm(Tarifart,"beta")*E152,2)</f>
        <v>15</v>
      </c>
      <c r="I152" s="10" cm="1">
        <f t="array" ref="I152">ROUND(F152*get_Üb(YEAR(A152),$I$8)*E152,2)</f>
        <v>3.6</v>
      </c>
      <c r="J152" s="10">
        <f t="shared" si="32"/>
        <v>15</v>
      </c>
      <c r="K152" s="10">
        <f t="shared" si="33"/>
        <v>288.60000000000002</v>
      </c>
      <c r="L152" s="10" cm="1">
        <f t="array" ref="L152">ROUND(1/12*MAX(MTSum-R152-K152,MRSum)*Act_qx(x+C152,Geschlecht,getParm(Tarifart,"Tafel"),YEAR(GebDat),x+Dauer,1),2)</f>
        <v>0.93</v>
      </c>
      <c r="M152" s="10" cm="1">
        <f t="array" ref="M152">ROUND(L152*get_Üb(YEAR(A152),$M$8),2)</f>
        <v>0.05</v>
      </c>
      <c r="N152" s="10" cm="1">
        <f t="array" ref="N152">ROUND(R152*getParm(Tarifart,IF(C152&lt;BZDauer,"gamma1","gamma2")),2)</f>
        <v>17.62</v>
      </c>
      <c r="O152" s="10" cm="1">
        <f t="array" ref="O152">ROUND(R152*get_Üb(YEAR(A152),$O$8),2)</f>
        <v>4.4000000000000004</v>
      </c>
      <c r="P152" s="19">
        <f t="shared" si="34"/>
        <v>7.2976140373999998</v>
      </c>
      <c r="Q152" s="19" cm="1">
        <f t="array" ref="Q152">ROUND(P152+1/getKurs(EDATE(A152,-1))*(K152-L152-N152-getParm(Tarifart,"StK")+M152+O152),10)*(C152&lt;Dauer)</f>
        <v>7.3444902961</v>
      </c>
      <c r="R152" s="10" cm="1">
        <f t="array" ref="R152">ROUND(P152*getKurs($A152),2)</f>
        <v>44047.519999999997</v>
      </c>
      <c r="S152" s="10" cm="1">
        <f t="array" ref="S152">ROUND(Q152*getKurs($A152),2)</f>
        <v>44330.46</v>
      </c>
      <c r="T152" s="10">
        <f t="shared" si="30"/>
        <v>47647.519999999997</v>
      </c>
      <c r="U152" s="10" cm="1">
        <f t="array" ref="U152">getParm(Tarifart,"StoSatz")*(Dauer-C152)*Beitrag*Zahlweise*(C152&lt;BZDauer)</f>
        <v>1368</v>
      </c>
      <c r="V152" s="10">
        <f t="shared" si="35"/>
        <v>42962.46</v>
      </c>
    </row>
    <row r="153" spans="1:22" x14ac:dyDescent="0.45">
      <c r="A153" s="15">
        <f t="shared" si="36"/>
        <v>40909</v>
      </c>
      <c r="B153">
        <f t="shared" si="26"/>
        <v>144</v>
      </c>
      <c r="C153">
        <f t="shared" si="31"/>
        <v>12</v>
      </c>
      <c r="D153">
        <f t="shared" si="27"/>
        <v>0</v>
      </c>
      <c r="E153">
        <f t="shared" si="28"/>
        <v>1</v>
      </c>
      <c r="F153" s="10">
        <f t="shared" si="29"/>
        <v>300</v>
      </c>
      <c r="G153" s="10" cm="1">
        <f t="array" ref="G153">ROUND(getParm(Tarifart,"alpha")/(2*Zahlweise)*BeiSum*(C153&lt;2)*E153,2)</f>
        <v>0</v>
      </c>
      <c r="H153" s="10" cm="1">
        <f t="array" ref="H153">ROUND(F153*getParm(Tarifart,"beta")*E153,2)</f>
        <v>15</v>
      </c>
      <c r="I153" s="10" cm="1">
        <f t="array" ref="I153">ROUND(F153*get_Üb(YEAR(A153),$I$8)*E153,2)</f>
        <v>3.6</v>
      </c>
      <c r="J153" s="10">
        <f t="shared" si="32"/>
        <v>15</v>
      </c>
      <c r="K153" s="10">
        <f t="shared" si="33"/>
        <v>288.60000000000002</v>
      </c>
      <c r="L153" s="10" cm="1">
        <f t="array" ref="L153">ROUND(1/12*MAX(MTSum-R153-K153,MRSum)*Act_qx(x+C153,Geschlecht,getParm(Tarifart,"Tafel"),YEAR(GebDat),x+Dauer,1),2)</f>
        <v>1.02</v>
      </c>
      <c r="M153" s="10" cm="1">
        <f t="array" ref="M153">ROUND(L153*get_Üb(YEAR(A153),$M$8),2)</f>
        <v>0.05</v>
      </c>
      <c r="N153" s="10" cm="1">
        <f t="array" ref="N153">ROUND(R153*getParm(Tarifart,IF(C153&lt;BZDauer,"gamma1","gamma2")),2)</f>
        <v>17.850000000000001</v>
      </c>
      <c r="O153" s="10" cm="1">
        <f t="array" ref="O153">ROUND(R153*get_Üb(YEAR(A153),$O$8),2)</f>
        <v>4.46</v>
      </c>
      <c r="P153" s="19">
        <f t="shared" si="34"/>
        <v>7.3444902961</v>
      </c>
      <c r="Q153" s="19" cm="1">
        <f t="array" ref="Q153">ROUND(P153+1/getKurs(EDATE(A153,-1))*(K153-L153-N153-getParm(Tarifart,"StK")+M153+O153),10)*(C153&lt;Dauer)</f>
        <v>7.3897595857000002</v>
      </c>
      <c r="R153" s="10" cm="1">
        <f t="array" ref="R153">ROUND(P153*getKurs($A153),2)</f>
        <v>44621.599999999999</v>
      </c>
      <c r="S153" s="10" cm="1">
        <f t="array" ref="S153">ROUND(Q153*getKurs($A153),2)</f>
        <v>44896.63</v>
      </c>
      <c r="T153" s="10">
        <f t="shared" si="30"/>
        <v>48221.599999999999</v>
      </c>
      <c r="U153" s="10" cm="1">
        <f t="array" ref="U153">getParm(Tarifart,"StoSatz")*(Dauer-C153)*Beitrag*Zahlweise*(C153&lt;BZDauer)</f>
        <v>1296</v>
      </c>
      <c r="V153" s="10">
        <f t="shared" si="35"/>
        <v>43600.63</v>
      </c>
    </row>
    <row r="154" spans="1:22" x14ac:dyDescent="0.45">
      <c r="A154" s="15">
        <f t="shared" si="36"/>
        <v>40940</v>
      </c>
      <c r="B154">
        <f t="shared" si="26"/>
        <v>145</v>
      </c>
      <c r="C154">
        <f t="shared" si="31"/>
        <v>12</v>
      </c>
      <c r="D154">
        <f t="shared" si="27"/>
        <v>1</v>
      </c>
      <c r="E154">
        <f t="shared" si="28"/>
        <v>1</v>
      </c>
      <c r="F154" s="10">
        <f t="shared" si="29"/>
        <v>300</v>
      </c>
      <c r="G154" s="10" cm="1">
        <f t="array" ref="G154">ROUND(getParm(Tarifart,"alpha")/(2*Zahlweise)*BeiSum*(C154&lt;2)*E154,2)</f>
        <v>0</v>
      </c>
      <c r="H154" s="10" cm="1">
        <f t="array" ref="H154">ROUND(F154*getParm(Tarifart,"beta")*E154,2)</f>
        <v>15</v>
      </c>
      <c r="I154" s="10" cm="1">
        <f t="array" ref="I154">ROUND(F154*get_Üb(YEAR(A154),$I$8)*E154,2)</f>
        <v>3.6</v>
      </c>
      <c r="J154" s="10">
        <f t="shared" si="32"/>
        <v>15</v>
      </c>
      <c r="K154" s="10">
        <f t="shared" si="33"/>
        <v>288.60000000000002</v>
      </c>
      <c r="L154" s="10" cm="1">
        <f t="array" ref="L154">ROUND(1/12*MAX(MTSum-R154-K154,MRSum)*Act_qx(x+C154,Geschlecht,getParm(Tarifart,"Tafel"),YEAR(GebDat),x+Dauer,1),2)</f>
        <v>1.02</v>
      </c>
      <c r="M154" s="10" cm="1">
        <f t="array" ref="M154">ROUND(L154*get_Üb(YEAR(A154),$M$8),2)</f>
        <v>0.05</v>
      </c>
      <c r="N154" s="10" cm="1">
        <f t="array" ref="N154">ROUND(R154*getParm(Tarifart,IF(C154&lt;BZDauer,"gamma1","gamma2")),2)</f>
        <v>19.559999999999999</v>
      </c>
      <c r="O154" s="10" cm="1">
        <f t="array" ref="O154">ROUND(R154*get_Üb(YEAR(A154),$O$8),2)</f>
        <v>4.8899999999999997</v>
      </c>
      <c r="P154" s="19">
        <f t="shared" si="34"/>
        <v>7.3897595857000002</v>
      </c>
      <c r="Q154" s="19" cm="1">
        <f t="array" ref="Q154">ROUND(P154+1/getKurs(EDATE(A154,-1))*(K154-L154-N154-getParm(Tarifart,"StK")+M154+O154),10)*(C154&lt;Dauer)</f>
        <v>7.4345228322999999</v>
      </c>
      <c r="R154" s="10" cm="1">
        <f t="array" ref="R154">ROUND(P154*getKurs($A154),2)</f>
        <v>48895.38</v>
      </c>
      <c r="S154" s="10" cm="1">
        <f t="array" ref="S154">ROUND(Q154*getKurs($A154),2)</f>
        <v>49191.56</v>
      </c>
      <c r="T154" s="10">
        <f t="shared" si="30"/>
        <v>52495.38</v>
      </c>
      <c r="U154" s="10" cm="1">
        <f t="array" ref="U154">getParm(Tarifart,"StoSatz")*(Dauer-C154)*Beitrag*Zahlweise*(C154&lt;BZDauer)</f>
        <v>1296</v>
      </c>
      <c r="V154" s="10">
        <f t="shared" si="35"/>
        <v>47895.56</v>
      </c>
    </row>
    <row r="155" spans="1:22" x14ac:dyDescent="0.45">
      <c r="A155" s="15">
        <f t="shared" si="36"/>
        <v>40969</v>
      </c>
      <c r="B155">
        <f t="shared" si="26"/>
        <v>146</v>
      </c>
      <c r="C155">
        <f t="shared" si="31"/>
        <v>12</v>
      </c>
      <c r="D155">
        <f t="shared" si="27"/>
        <v>2</v>
      </c>
      <c r="E155">
        <f t="shared" si="28"/>
        <v>1</v>
      </c>
      <c r="F155" s="10">
        <f t="shared" si="29"/>
        <v>300</v>
      </c>
      <c r="G155" s="10" cm="1">
        <f t="array" ref="G155">ROUND(getParm(Tarifart,"alpha")/(2*Zahlweise)*BeiSum*(C155&lt;2)*E155,2)</f>
        <v>0</v>
      </c>
      <c r="H155" s="10" cm="1">
        <f t="array" ref="H155">ROUND(F155*getParm(Tarifart,"beta")*E155,2)</f>
        <v>15</v>
      </c>
      <c r="I155" s="10" cm="1">
        <f t="array" ref="I155">ROUND(F155*get_Üb(YEAR(A155),$I$8)*E155,2)</f>
        <v>3.6</v>
      </c>
      <c r="J155" s="10">
        <f t="shared" si="32"/>
        <v>15</v>
      </c>
      <c r="K155" s="10">
        <f t="shared" si="33"/>
        <v>288.60000000000002</v>
      </c>
      <c r="L155" s="10" cm="1">
        <f t="array" ref="L155">ROUND(1/12*MAX(MTSum-R155-K155,MRSum)*Act_qx(x+C155,Geschlecht,getParm(Tarifart,"Tafel"),YEAR(GebDat),x+Dauer,1),2)</f>
        <v>1.02</v>
      </c>
      <c r="M155" s="10" cm="1">
        <f t="array" ref="M155">ROUND(L155*get_Üb(YEAR(A155),$M$8),2)</f>
        <v>0.05</v>
      </c>
      <c r="N155" s="10" cm="1">
        <f t="array" ref="N155">ROUND(R155*getParm(Tarifart,IF(C155&lt;BZDauer,"gamma1","gamma2")),2)</f>
        <v>20.64</v>
      </c>
      <c r="O155" s="10" cm="1">
        <f t="array" ref="O155">ROUND(R155*get_Üb(YEAR(A155),$O$8),2)</f>
        <v>5.16</v>
      </c>
      <c r="P155" s="19">
        <f t="shared" si="34"/>
        <v>7.4345228322999999</v>
      </c>
      <c r="Q155" s="19" cm="1">
        <f t="array" ref="Q155">ROUND(P155+1/getKurs(EDATE(A155,-1))*(K155-L155-N155-getParm(Tarifart,"StK")+M155+O155),10)*(C155&lt;Dauer)</f>
        <v>7.4755028463000004</v>
      </c>
      <c r="R155" s="10" cm="1">
        <f t="array" ref="R155">ROUND(P155*getKurs($A155),2)</f>
        <v>51608.75</v>
      </c>
      <c r="S155" s="10" cm="1">
        <f t="array" ref="S155">ROUND(Q155*getKurs($A155),2)</f>
        <v>51893.22</v>
      </c>
      <c r="T155" s="10">
        <f t="shared" si="30"/>
        <v>55208.75</v>
      </c>
      <c r="U155" s="10" cm="1">
        <f t="array" ref="U155">getParm(Tarifart,"StoSatz")*(Dauer-C155)*Beitrag*Zahlweise*(C155&lt;BZDauer)</f>
        <v>1296</v>
      </c>
      <c r="V155" s="10">
        <f t="shared" si="35"/>
        <v>50597.22</v>
      </c>
    </row>
    <row r="156" spans="1:22" x14ac:dyDescent="0.45">
      <c r="A156" s="15">
        <f t="shared" si="36"/>
        <v>41000</v>
      </c>
      <c r="B156">
        <f t="shared" si="26"/>
        <v>147</v>
      </c>
      <c r="C156">
        <f t="shared" si="31"/>
        <v>12</v>
      </c>
      <c r="D156">
        <f t="shared" si="27"/>
        <v>3</v>
      </c>
      <c r="E156">
        <f t="shared" si="28"/>
        <v>1</v>
      </c>
      <c r="F156" s="10">
        <f t="shared" si="29"/>
        <v>300</v>
      </c>
      <c r="G156" s="10" cm="1">
        <f t="array" ref="G156">ROUND(getParm(Tarifart,"alpha")/(2*Zahlweise)*BeiSum*(C156&lt;2)*E156,2)</f>
        <v>0</v>
      </c>
      <c r="H156" s="10" cm="1">
        <f t="array" ref="H156">ROUND(F156*getParm(Tarifart,"beta")*E156,2)</f>
        <v>15</v>
      </c>
      <c r="I156" s="10" cm="1">
        <f t="array" ref="I156">ROUND(F156*get_Üb(YEAR(A156),$I$8)*E156,2)</f>
        <v>3.6</v>
      </c>
      <c r="J156" s="10">
        <f t="shared" si="32"/>
        <v>15</v>
      </c>
      <c r="K156" s="10">
        <f t="shared" si="33"/>
        <v>288.60000000000002</v>
      </c>
      <c r="L156" s="10" cm="1">
        <f t="array" ref="L156">ROUND(1/12*MAX(MTSum-R156-K156,MRSum)*Act_qx(x+C156,Geschlecht,getParm(Tarifart,"Tafel"),YEAR(GebDat),x+Dauer,1),2)</f>
        <v>1.02</v>
      </c>
      <c r="M156" s="10" cm="1">
        <f t="array" ref="M156">ROUND(L156*get_Üb(YEAR(A156),$M$8),2)</f>
        <v>0.05</v>
      </c>
      <c r="N156" s="10" cm="1">
        <f t="array" ref="N156">ROUND(R156*getParm(Tarifart,IF(C156&lt;BZDauer,"gamma1","gamma2")),2)</f>
        <v>21.1</v>
      </c>
      <c r="O156" s="10" cm="1">
        <f t="array" ref="O156">ROUND(R156*get_Üb(YEAR(A156),$O$8),2)</f>
        <v>5.28</v>
      </c>
      <c r="P156" s="19">
        <f t="shared" si="34"/>
        <v>7.4755028463000004</v>
      </c>
      <c r="Q156" s="19" cm="1">
        <f t="array" ref="Q156">ROUND(P156+1/getKurs(EDATE(A156,-1))*(K156-L156-N156-getParm(Tarifart,"StK")+M156+O156),10)*(C156&lt;Dauer)</f>
        <v>7.5145145104999997</v>
      </c>
      <c r="R156" s="10" cm="1">
        <f t="array" ref="R156">ROUND(P156*getKurs($A156),2)</f>
        <v>52752.01</v>
      </c>
      <c r="S156" s="10" cm="1">
        <f t="array" ref="S156">ROUND(Q156*getKurs($A156),2)</f>
        <v>53027.3</v>
      </c>
      <c r="T156" s="10">
        <f t="shared" si="30"/>
        <v>56352.01</v>
      </c>
      <c r="U156" s="10" cm="1">
        <f t="array" ref="U156">getParm(Tarifart,"StoSatz")*(Dauer-C156)*Beitrag*Zahlweise*(C156&lt;BZDauer)</f>
        <v>1296</v>
      </c>
      <c r="V156" s="10">
        <f t="shared" si="35"/>
        <v>51731.3</v>
      </c>
    </row>
    <row r="157" spans="1:22" x14ac:dyDescent="0.45">
      <c r="A157" s="15">
        <f t="shared" si="36"/>
        <v>41030</v>
      </c>
      <c r="B157">
        <f t="shared" si="26"/>
        <v>148</v>
      </c>
      <c r="C157">
        <f t="shared" si="31"/>
        <v>12</v>
      </c>
      <c r="D157">
        <f t="shared" si="27"/>
        <v>4</v>
      </c>
      <c r="E157">
        <f t="shared" si="28"/>
        <v>1</v>
      </c>
      <c r="F157" s="10">
        <f t="shared" si="29"/>
        <v>300</v>
      </c>
      <c r="G157" s="10" cm="1">
        <f t="array" ref="G157">ROUND(getParm(Tarifart,"alpha")/(2*Zahlweise)*BeiSum*(C157&lt;2)*E157,2)</f>
        <v>0</v>
      </c>
      <c r="H157" s="10" cm="1">
        <f t="array" ref="H157">ROUND(F157*getParm(Tarifart,"beta")*E157,2)</f>
        <v>15</v>
      </c>
      <c r="I157" s="10" cm="1">
        <f t="array" ref="I157">ROUND(F157*get_Üb(YEAR(A157),$I$8)*E157,2)</f>
        <v>3.6</v>
      </c>
      <c r="J157" s="10">
        <f t="shared" si="32"/>
        <v>15</v>
      </c>
      <c r="K157" s="10">
        <f t="shared" si="33"/>
        <v>288.60000000000002</v>
      </c>
      <c r="L157" s="10" cm="1">
        <f t="array" ref="L157">ROUND(1/12*MAX(MTSum-R157-K157,MRSum)*Act_qx(x+C157,Geschlecht,getParm(Tarifart,"Tafel"),YEAR(GebDat),x+Dauer,1),2)</f>
        <v>1.02</v>
      </c>
      <c r="M157" s="10" cm="1">
        <f t="array" ref="M157">ROUND(L157*get_Üb(YEAR(A157),$M$8),2)</f>
        <v>0.05</v>
      </c>
      <c r="N157" s="10" cm="1">
        <f t="array" ref="N157">ROUND(R157*getParm(Tarifart,IF(C157&lt;BZDauer,"gamma1","gamma2")),2)</f>
        <v>20.170000000000002</v>
      </c>
      <c r="O157" s="10" cm="1">
        <f t="array" ref="O157">ROUND(R157*get_Üb(YEAR(A157),$O$8),2)</f>
        <v>5.04</v>
      </c>
      <c r="P157" s="19">
        <f t="shared" si="34"/>
        <v>7.5145145104999997</v>
      </c>
      <c r="Q157" s="19" cm="1">
        <f t="array" ref="Q157">ROUND(P157+1/getKurs(EDATE(A157,-1))*(K157-L157-N157-getParm(Tarifart,"StK")+M157+O157),10)*(C157&lt;Dauer)</f>
        <v>7.5529888573999999</v>
      </c>
      <c r="R157" s="10" cm="1">
        <f t="array" ref="R157">ROUND(P157*getKurs($A157),2)</f>
        <v>50428.18</v>
      </c>
      <c r="S157" s="10" cm="1">
        <f t="array" ref="S157">ROUND(Q157*getKurs($A157),2)</f>
        <v>50686.37</v>
      </c>
      <c r="T157" s="10">
        <f t="shared" si="30"/>
        <v>54028.18</v>
      </c>
      <c r="U157" s="10" cm="1">
        <f t="array" ref="U157">getParm(Tarifart,"StoSatz")*(Dauer-C157)*Beitrag*Zahlweise*(C157&lt;BZDauer)</f>
        <v>1296</v>
      </c>
      <c r="V157" s="10">
        <f t="shared" si="35"/>
        <v>49390.37</v>
      </c>
    </row>
    <row r="158" spans="1:22" x14ac:dyDescent="0.45">
      <c r="A158" s="15">
        <f t="shared" si="36"/>
        <v>41061</v>
      </c>
      <c r="B158">
        <f t="shared" si="26"/>
        <v>149</v>
      </c>
      <c r="C158">
        <f t="shared" si="31"/>
        <v>12</v>
      </c>
      <c r="D158">
        <f t="shared" si="27"/>
        <v>5</v>
      </c>
      <c r="E158">
        <f t="shared" si="28"/>
        <v>1</v>
      </c>
      <c r="F158" s="10">
        <f t="shared" si="29"/>
        <v>300</v>
      </c>
      <c r="G158" s="10" cm="1">
        <f t="array" ref="G158">ROUND(getParm(Tarifart,"alpha")/(2*Zahlweise)*BeiSum*(C158&lt;2)*E158,2)</f>
        <v>0</v>
      </c>
      <c r="H158" s="10" cm="1">
        <f t="array" ref="H158">ROUND(F158*getParm(Tarifart,"beta")*E158,2)</f>
        <v>15</v>
      </c>
      <c r="I158" s="10" cm="1">
        <f t="array" ref="I158">ROUND(F158*get_Üb(YEAR(A158),$I$8)*E158,2)</f>
        <v>3.6</v>
      </c>
      <c r="J158" s="10">
        <f t="shared" si="32"/>
        <v>15</v>
      </c>
      <c r="K158" s="10">
        <f t="shared" si="33"/>
        <v>288.60000000000002</v>
      </c>
      <c r="L158" s="10" cm="1">
        <f t="array" ref="L158">ROUND(1/12*MAX(MTSum-R158-K158,MRSum)*Act_qx(x+C158,Geschlecht,getParm(Tarifart,"Tafel"),YEAR(GebDat),x+Dauer,1),2)</f>
        <v>1.02</v>
      </c>
      <c r="M158" s="10" cm="1">
        <f t="array" ref="M158">ROUND(L158*get_Üb(YEAR(A158),$M$8),2)</f>
        <v>0.05</v>
      </c>
      <c r="N158" s="10" cm="1">
        <f t="array" ref="N158">ROUND(R158*getParm(Tarifart,IF(C158&lt;BZDauer,"gamma1","gamma2")),2)</f>
        <v>18.28</v>
      </c>
      <c r="O158" s="10" cm="1">
        <f t="array" ref="O158">ROUND(R158*get_Üb(YEAR(A158),$O$8),2)</f>
        <v>4.57</v>
      </c>
      <c r="P158" s="19">
        <f t="shared" si="34"/>
        <v>7.5529888573999999</v>
      </c>
      <c r="Q158" s="19" cm="1">
        <f t="array" ref="Q158">ROUND(P158+1/getKurs(EDATE(A158,-1))*(K158-L158-N158-getParm(Tarifart,"StK")+M158+O158),10)*(C158&lt;Dauer)</f>
        <v>7.5936578119</v>
      </c>
      <c r="R158" s="10" cm="1">
        <f t="array" ref="R158">ROUND(P158*getKurs($A158),2)</f>
        <v>45697.77</v>
      </c>
      <c r="S158" s="10" cm="1">
        <f t="array" ref="S158">ROUND(Q158*getKurs($A158),2)</f>
        <v>45943.83</v>
      </c>
      <c r="T158" s="10">
        <f t="shared" si="30"/>
        <v>49297.77</v>
      </c>
      <c r="U158" s="10" cm="1">
        <f t="array" ref="U158">getParm(Tarifart,"StoSatz")*(Dauer-C158)*Beitrag*Zahlweise*(C158&lt;BZDauer)</f>
        <v>1296</v>
      </c>
      <c r="V158" s="10">
        <f t="shared" si="35"/>
        <v>44647.83</v>
      </c>
    </row>
    <row r="159" spans="1:22" x14ac:dyDescent="0.45">
      <c r="A159" s="15">
        <f t="shared" si="36"/>
        <v>41091</v>
      </c>
      <c r="B159">
        <f t="shared" si="26"/>
        <v>150</v>
      </c>
      <c r="C159">
        <f t="shared" si="31"/>
        <v>12</v>
      </c>
      <c r="D159">
        <f t="shared" si="27"/>
        <v>6</v>
      </c>
      <c r="E159">
        <f t="shared" si="28"/>
        <v>1</v>
      </c>
      <c r="F159" s="10">
        <f t="shared" si="29"/>
        <v>300</v>
      </c>
      <c r="G159" s="10" cm="1">
        <f t="array" ref="G159">ROUND(getParm(Tarifart,"alpha")/(2*Zahlweise)*BeiSum*(C159&lt;2)*E159,2)</f>
        <v>0</v>
      </c>
      <c r="H159" s="10" cm="1">
        <f t="array" ref="H159">ROUND(F159*getParm(Tarifart,"beta")*E159,2)</f>
        <v>15</v>
      </c>
      <c r="I159" s="10" cm="1">
        <f t="array" ref="I159">ROUND(F159*get_Üb(YEAR(A159),$I$8)*E159,2)</f>
        <v>3.6</v>
      </c>
      <c r="J159" s="10">
        <f t="shared" si="32"/>
        <v>15</v>
      </c>
      <c r="K159" s="10">
        <f t="shared" si="33"/>
        <v>288.60000000000002</v>
      </c>
      <c r="L159" s="10" cm="1">
        <f t="array" ref="L159">ROUND(1/12*MAX(MTSum-R159-K159,MRSum)*Act_qx(x+C159,Geschlecht,getParm(Tarifart,"Tafel"),YEAR(GebDat),x+Dauer,1),2)</f>
        <v>1.02</v>
      </c>
      <c r="M159" s="10" cm="1">
        <f t="array" ref="M159">ROUND(L159*get_Üb(YEAR(A159),$M$8),2)</f>
        <v>0.05</v>
      </c>
      <c r="N159" s="10" cm="1">
        <f t="array" ref="N159">ROUND(R159*getParm(Tarifart,IF(C159&lt;BZDauer,"gamma1","gamma2")),2)</f>
        <v>19.73</v>
      </c>
      <c r="O159" s="10" cm="1">
        <f t="array" ref="O159">ROUND(R159*get_Üb(YEAR(A159),$O$8),2)</f>
        <v>4.93</v>
      </c>
      <c r="P159" s="19">
        <f t="shared" si="34"/>
        <v>7.5936578119</v>
      </c>
      <c r="Q159" s="19" cm="1">
        <f t="array" ref="Q159">ROUND(P159+1/getKurs(EDATE(A159,-1))*(K159-L159-N159-getParm(Tarifart,"StK")+M159+O159),10)*(C159&lt;Dauer)</f>
        <v>7.6385862368000002</v>
      </c>
      <c r="R159" s="10" cm="1">
        <f t="array" ref="R159">ROUND(P159*getKurs($A159),2)</f>
        <v>49329.01</v>
      </c>
      <c r="S159" s="10" cm="1">
        <f t="array" ref="S159">ROUND(Q159*getKurs($A159),2)</f>
        <v>49620.87</v>
      </c>
      <c r="T159" s="10">
        <f t="shared" si="30"/>
        <v>52929.01</v>
      </c>
      <c r="U159" s="10" cm="1">
        <f t="array" ref="U159">getParm(Tarifart,"StoSatz")*(Dauer-C159)*Beitrag*Zahlweise*(C159&lt;BZDauer)</f>
        <v>1296</v>
      </c>
      <c r="V159" s="10">
        <f t="shared" si="35"/>
        <v>48324.87</v>
      </c>
    </row>
    <row r="160" spans="1:22" x14ac:dyDescent="0.45">
      <c r="A160" s="15">
        <f t="shared" si="36"/>
        <v>41122</v>
      </c>
      <c r="B160">
        <f t="shared" si="26"/>
        <v>151</v>
      </c>
      <c r="C160">
        <f t="shared" si="31"/>
        <v>12</v>
      </c>
      <c r="D160">
        <f t="shared" si="27"/>
        <v>7</v>
      </c>
      <c r="E160">
        <f t="shared" si="28"/>
        <v>1</v>
      </c>
      <c r="F160" s="10">
        <f t="shared" si="29"/>
        <v>300</v>
      </c>
      <c r="G160" s="10" cm="1">
        <f t="array" ref="G160">ROUND(getParm(Tarifart,"alpha")/(2*Zahlweise)*BeiSum*(C160&lt;2)*E160,2)</f>
        <v>0</v>
      </c>
      <c r="H160" s="10" cm="1">
        <f t="array" ref="H160">ROUND(F160*getParm(Tarifart,"beta")*E160,2)</f>
        <v>15</v>
      </c>
      <c r="I160" s="10" cm="1">
        <f t="array" ref="I160">ROUND(F160*get_Üb(YEAR(A160),$I$8)*E160,2)</f>
        <v>3.6</v>
      </c>
      <c r="J160" s="10">
        <f t="shared" si="32"/>
        <v>15</v>
      </c>
      <c r="K160" s="10">
        <f t="shared" si="33"/>
        <v>288.60000000000002</v>
      </c>
      <c r="L160" s="10" cm="1">
        <f t="array" ref="L160">ROUND(1/12*MAX(MTSum-R160-K160,MRSum)*Act_qx(x+C160,Geschlecht,getParm(Tarifart,"Tafel"),YEAR(GebDat),x+Dauer,1),2)</f>
        <v>1.02</v>
      </c>
      <c r="M160" s="10" cm="1">
        <f t="array" ref="M160">ROUND(L160*get_Üb(YEAR(A160),$M$8),2)</f>
        <v>0.05</v>
      </c>
      <c r="N160" s="10" cm="1">
        <f t="array" ref="N160">ROUND(R160*getParm(Tarifart,IF(C160&lt;BZDauer,"gamma1","gamma2")),2)</f>
        <v>20.64</v>
      </c>
      <c r="O160" s="10" cm="1">
        <f t="array" ref="O160">ROUND(R160*get_Üb(YEAR(A160),$O$8),2)</f>
        <v>5.16</v>
      </c>
      <c r="P160" s="19">
        <f t="shared" si="34"/>
        <v>7.6385862368000002</v>
      </c>
      <c r="Q160" s="19" cm="1">
        <f t="array" ref="Q160">ROUND(P160+1/getKurs(EDATE(A160,-1))*(K160-L160-N160-getParm(Tarifart,"StK")+M160+O160),10)*(C160&lt;Dauer)</f>
        <v>7.6803267942</v>
      </c>
      <c r="R160" s="10" cm="1">
        <f t="array" ref="R160">ROUND(P160*getKurs($A160),2)</f>
        <v>51594.53</v>
      </c>
      <c r="S160" s="10" cm="1">
        <f t="array" ref="S160">ROUND(Q160*getKurs($A160),2)</f>
        <v>51876.46</v>
      </c>
      <c r="T160" s="10">
        <f t="shared" si="30"/>
        <v>55194.53</v>
      </c>
      <c r="U160" s="10" cm="1">
        <f t="array" ref="U160">getParm(Tarifart,"StoSatz")*(Dauer-C160)*Beitrag*Zahlweise*(C160&lt;BZDauer)</f>
        <v>1296</v>
      </c>
      <c r="V160" s="10">
        <f t="shared" si="35"/>
        <v>50580.46</v>
      </c>
    </row>
    <row r="161" spans="1:22" x14ac:dyDescent="0.45">
      <c r="A161" s="15">
        <f t="shared" si="36"/>
        <v>41153</v>
      </c>
      <c r="B161">
        <f t="shared" si="26"/>
        <v>152</v>
      </c>
      <c r="C161">
        <f t="shared" si="31"/>
        <v>12</v>
      </c>
      <c r="D161">
        <f t="shared" si="27"/>
        <v>8</v>
      </c>
      <c r="E161">
        <f t="shared" si="28"/>
        <v>1</v>
      </c>
      <c r="F161" s="10">
        <f t="shared" si="29"/>
        <v>300</v>
      </c>
      <c r="G161" s="10" cm="1">
        <f t="array" ref="G161">ROUND(getParm(Tarifart,"alpha")/(2*Zahlweise)*BeiSum*(C161&lt;2)*E161,2)</f>
        <v>0</v>
      </c>
      <c r="H161" s="10" cm="1">
        <f t="array" ref="H161">ROUND(F161*getParm(Tarifart,"beta")*E161,2)</f>
        <v>15</v>
      </c>
      <c r="I161" s="10" cm="1">
        <f t="array" ref="I161">ROUND(F161*get_Üb(YEAR(A161),$I$8)*E161,2)</f>
        <v>3.6</v>
      </c>
      <c r="J161" s="10">
        <f t="shared" si="32"/>
        <v>15</v>
      </c>
      <c r="K161" s="10">
        <f t="shared" si="33"/>
        <v>288.60000000000002</v>
      </c>
      <c r="L161" s="10" cm="1">
        <f t="array" ref="L161">ROUND(1/12*MAX(MTSum-R161-K161,MRSum)*Act_qx(x+C161,Geschlecht,getParm(Tarifart,"Tafel"),YEAR(GebDat),x+Dauer,1),2)</f>
        <v>1.02</v>
      </c>
      <c r="M161" s="10" cm="1">
        <f t="array" ref="M161">ROUND(L161*get_Üb(YEAR(A161),$M$8),2)</f>
        <v>0.05</v>
      </c>
      <c r="N161" s="10" cm="1">
        <f t="array" ref="N161">ROUND(R161*getParm(Tarifart,IF(C161&lt;BZDauer,"gamma1","gamma2")),2)</f>
        <v>21.55</v>
      </c>
      <c r="O161" s="10" cm="1">
        <f t="array" ref="O161">ROUND(R161*get_Üb(YEAR(A161),$O$8),2)</f>
        <v>5.39</v>
      </c>
      <c r="P161" s="19">
        <f t="shared" si="34"/>
        <v>7.6803267942</v>
      </c>
      <c r="Q161" s="19" cm="1">
        <f t="array" ref="Q161">ROUND(P161+1/getKurs(EDATE(A161,-1))*(K161-L161-N161-getParm(Tarifart,"StK")+M161+O161),10)*(C161&lt;Dauer)</f>
        <v>7.7203699656999998</v>
      </c>
      <c r="R161" s="10" cm="1">
        <f t="array" ref="R161">ROUND(P161*getKurs($A161),2)</f>
        <v>53876.19</v>
      </c>
      <c r="S161" s="10" cm="1">
        <f t="array" ref="S161">ROUND(Q161*getKurs($A161),2)</f>
        <v>54157.08</v>
      </c>
      <c r="T161" s="10">
        <f t="shared" si="30"/>
        <v>57476.19</v>
      </c>
      <c r="U161" s="10" cm="1">
        <f t="array" ref="U161">getParm(Tarifart,"StoSatz")*(Dauer-C161)*Beitrag*Zahlweise*(C161&lt;BZDauer)</f>
        <v>1296</v>
      </c>
      <c r="V161" s="10">
        <f t="shared" si="35"/>
        <v>52861.08</v>
      </c>
    </row>
    <row r="162" spans="1:22" x14ac:dyDescent="0.45">
      <c r="A162" s="15">
        <f t="shared" si="36"/>
        <v>41183</v>
      </c>
      <c r="B162">
        <f t="shared" si="26"/>
        <v>153</v>
      </c>
      <c r="C162">
        <f t="shared" si="31"/>
        <v>12</v>
      </c>
      <c r="D162">
        <f t="shared" si="27"/>
        <v>9</v>
      </c>
      <c r="E162">
        <f t="shared" si="28"/>
        <v>1</v>
      </c>
      <c r="F162" s="10">
        <f t="shared" si="29"/>
        <v>300</v>
      </c>
      <c r="G162" s="10" cm="1">
        <f t="array" ref="G162">ROUND(getParm(Tarifart,"alpha")/(2*Zahlweise)*BeiSum*(C162&lt;2)*E162,2)</f>
        <v>0</v>
      </c>
      <c r="H162" s="10" cm="1">
        <f t="array" ref="H162">ROUND(F162*getParm(Tarifart,"beta")*E162,2)</f>
        <v>15</v>
      </c>
      <c r="I162" s="10" cm="1">
        <f t="array" ref="I162">ROUND(F162*get_Üb(YEAR(A162),$I$8)*E162,2)</f>
        <v>3.6</v>
      </c>
      <c r="J162" s="10">
        <f t="shared" si="32"/>
        <v>15</v>
      </c>
      <c r="K162" s="10">
        <f t="shared" si="33"/>
        <v>288.60000000000002</v>
      </c>
      <c r="L162" s="10" cm="1">
        <f t="array" ref="L162">ROUND(1/12*MAX(MTSum-R162-K162,MRSum)*Act_qx(x+C162,Geschlecht,getParm(Tarifart,"Tafel"),YEAR(GebDat),x+Dauer,1),2)</f>
        <v>1.02</v>
      </c>
      <c r="M162" s="10" cm="1">
        <f t="array" ref="M162">ROUND(L162*get_Üb(YEAR(A162),$M$8),2)</f>
        <v>0.05</v>
      </c>
      <c r="N162" s="10" cm="1">
        <f t="array" ref="N162">ROUND(R162*getParm(Tarifart,IF(C162&lt;BZDauer,"gamma1","gamma2")),2)</f>
        <v>22.63</v>
      </c>
      <c r="O162" s="10" cm="1">
        <f t="array" ref="O162">ROUND(R162*get_Üb(YEAR(A162),$O$8),2)</f>
        <v>5.66</v>
      </c>
      <c r="P162" s="19">
        <f t="shared" si="34"/>
        <v>7.7203699656999998</v>
      </c>
      <c r="Q162" s="19" cm="1">
        <f t="array" ref="Q162">ROUND(P162+1/getKurs(EDATE(A162,-1))*(K162-L162-N162-getParm(Tarifart,"StK")+M162+O162),10)*(C162&lt;Dauer)</f>
        <v>7.7588113820000002</v>
      </c>
      <c r="R162" s="10" cm="1">
        <f t="array" ref="R162">ROUND(P162*getKurs($A162),2)</f>
        <v>56565.07</v>
      </c>
      <c r="S162" s="10" cm="1">
        <f t="array" ref="S162">ROUND(Q162*getKurs($A162),2)</f>
        <v>56846.720000000001</v>
      </c>
      <c r="T162" s="10">
        <f t="shared" si="30"/>
        <v>60165.07</v>
      </c>
      <c r="U162" s="10" cm="1">
        <f t="array" ref="U162">getParm(Tarifart,"StoSatz")*(Dauer-C162)*Beitrag*Zahlweise*(C162&lt;BZDauer)</f>
        <v>1296</v>
      </c>
      <c r="V162" s="10">
        <f t="shared" si="35"/>
        <v>55550.720000000001</v>
      </c>
    </row>
    <row r="163" spans="1:22" x14ac:dyDescent="0.45">
      <c r="A163" s="15">
        <f t="shared" si="36"/>
        <v>41214</v>
      </c>
      <c r="B163">
        <f t="shared" si="26"/>
        <v>154</v>
      </c>
      <c r="C163">
        <f t="shared" si="31"/>
        <v>12</v>
      </c>
      <c r="D163">
        <f t="shared" si="27"/>
        <v>10</v>
      </c>
      <c r="E163">
        <f t="shared" si="28"/>
        <v>1</v>
      </c>
      <c r="F163" s="10">
        <f t="shared" si="29"/>
        <v>300</v>
      </c>
      <c r="G163" s="10" cm="1">
        <f t="array" ref="G163">ROUND(getParm(Tarifart,"alpha")/(2*Zahlweise)*BeiSum*(C163&lt;2)*E163,2)</f>
        <v>0</v>
      </c>
      <c r="H163" s="10" cm="1">
        <f t="array" ref="H163">ROUND(F163*getParm(Tarifart,"beta")*E163,2)</f>
        <v>15</v>
      </c>
      <c r="I163" s="10" cm="1">
        <f t="array" ref="I163">ROUND(F163*get_Üb(YEAR(A163),$I$8)*E163,2)</f>
        <v>3.6</v>
      </c>
      <c r="J163" s="10">
        <f t="shared" si="32"/>
        <v>15</v>
      </c>
      <c r="K163" s="10">
        <f t="shared" si="33"/>
        <v>288.60000000000002</v>
      </c>
      <c r="L163" s="10" cm="1">
        <f t="array" ref="L163">ROUND(1/12*MAX(MTSum-R163-K163,MRSum)*Act_qx(x+C163,Geschlecht,getParm(Tarifart,"Tafel"),YEAR(GebDat),x+Dauer,1),2)</f>
        <v>1.02</v>
      </c>
      <c r="M163" s="10" cm="1">
        <f t="array" ref="M163">ROUND(L163*get_Üb(YEAR(A163),$M$8),2)</f>
        <v>0.05</v>
      </c>
      <c r="N163" s="10" cm="1">
        <f t="array" ref="N163">ROUND(R163*getParm(Tarifart,IF(C163&lt;BZDauer,"gamma1","gamma2")),2)</f>
        <v>22.77</v>
      </c>
      <c r="O163" s="10" cm="1">
        <f t="array" ref="O163">ROUND(R163*get_Üb(YEAR(A163),$O$8),2)</f>
        <v>5.69</v>
      </c>
      <c r="P163" s="19">
        <f t="shared" si="34"/>
        <v>7.7588113820000002</v>
      </c>
      <c r="Q163" s="19" cm="1">
        <f t="array" ref="Q163">ROUND(P163+1/getKurs(EDATE(A163,-1))*(K163-L163-N163-getParm(Tarifart,"StK")+M163+O163),10)*(C163&lt;Dauer)</f>
        <v>7.7956013279</v>
      </c>
      <c r="R163" s="10" cm="1">
        <f t="array" ref="R163">ROUND(P163*getKurs($A163),2)</f>
        <v>56916.08</v>
      </c>
      <c r="S163" s="10" cm="1">
        <f t="array" ref="S163">ROUND(Q163*getKurs($A163),2)</f>
        <v>57185.96</v>
      </c>
      <c r="T163" s="10">
        <f t="shared" si="30"/>
        <v>60516.08</v>
      </c>
      <c r="U163" s="10" cm="1">
        <f t="array" ref="U163">getParm(Tarifart,"StoSatz")*(Dauer-C163)*Beitrag*Zahlweise*(C163&lt;BZDauer)</f>
        <v>1296</v>
      </c>
      <c r="V163" s="10">
        <f t="shared" si="35"/>
        <v>55889.96</v>
      </c>
    </row>
    <row r="164" spans="1:22" x14ac:dyDescent="0.45">
      <c r="A164" s="15">
        <f t="shared" si="36"/>
        <v>41244</v>
      </c>
      <c r="B164">
        <f t="shared" si="26"/>
        <v>155</v>
      </c>
      <c r="C164">
        <f t="shared" si="31"/>
        <v>12</v>
      </c>
      <c r="D164">
        <f t="shared" si="27"/>
        <v>11</v>
      </c>
      <c r="E164">
        <f t="shared" si="28"/>
        <v>1</v>
      </c>
      <c r="F164" s="10">
        <f t="shared" si="29"/>
        <v>300</v>
      </c>
      <c r="G164" s="10" cm="1">
        <f t="array" ref="G164">ROUND(getParm(Tarifart,"alpha")/(2*Zahlweise)*BeiSum*(C164&lt;2)*E164,2)</f>
        <v>0</v>
      </c>
      <c r="H164" s="10" cm="1">
        <f t="array" ref="H164">ROUND(F164*getParm(Tarifart,"beta")*E164,2)</f>
        <v>15</v>
      </c>
      <c r="I164" s="10" cm="1">
        <f t="array" ref="I164">ROUND(F164*get_Üb(YEAR(A164),$I$8)*E164,2)</f>
        <v>3.6</v>
      </c>
      <c r="J164" s="10">
        <f t="shared" si="32"/>
        <v>15</v>
      </c>
      <c r="K164" s="10">
        <f t="shared" si="33"/>
        <v>288.60000000000002</v>
      </c>
      <c r="L164" s="10" cm="1">
        <f t="array" ref="L164">ROUND(1/12*MAX(MTSum-R164-K164,MRSum)*Act_qx(x+C164,Geschlecht,getParm(Tarifart,"Tafel"),YEAR(GebDat),x+Dauer,1),2)</f>
        <v>1.02</v>
      </c>
      <c r="M164" s="10" cm="1">
        <f t="array" ref="M164">ROUND(L164*get_Üb(YEAR(A164),$M$8),2)</f>
        <v>0.05</v>
      </c>
      <c r="N164" s="10" cm="1">
        <f t="array" ref="N164">ROUND(R164*getParm(Tarifart,IF(C164&lt;BZDauer,"gamma1","gamma2")),2)</f>
        <v>23.18</v>
      </c>
      <c r="O164" s="10" cm="1">
        <f t="array" ref="O164">ROUND(R164*get_Üb(YEAR(A164),$O$8),2)</f>
        <v>5.8</v>
      </c>
      <c r="P164" s="19">
        <f t="shared" si="34"/>
        <v>7.7956013279</v>
      </c>
      <c r="Q164" s="19" cm="1">
        <f t="array" ref="Q164">ROUND(P164+1/getKurs(EDATE(A164,-1))*(K164-L164-N164-getParm(Tarifart,"StK")+M164+O164),10)*(C164&lt;Dauer)</f>
        <v>7.8323055417000003</v>
      </c>
      <c r="R164" s="10" cm="1">
        <f t="array" ref="R164">ROUND(P164*getKurs($A164),2)</f>
        <v>57961.93</v>
      </c>
      <c r="S164" s="10" cm="1">
        <f t="array" ref="S164">ROUND(Q164*getKurs($A164),2)</f>
        <v>58234.84</v>
      </c>
      <c r="T164" s="10">
        <f t="shared" si="30"/>
        <v>61561.93</v>
      </c>
      <c r="U164" s="10" cm="1">
        <f t="array" ref="U164">getParm(Tarifart,"StoSatz")*(Dauer-C164)*Beitrag*Zahlweise*(C164&lt;BZDauer)</f>
        <v>1296</v>
      </c>
      <c r="V164" s="10">
        <f t="shared" si="35"/>
        <v>56938.84</v>
      </c>
    </row>
    <row r="165" spans="1:22" x14ac:dyDescent="0.45">
      <c r="A165" s="15">
        <f t="shared" si="36"/>
        <v>41275</v>
      </c>
      <c r="B165">
        <f t="shared" si="26"/>
        <v>156</v>
      </c>
      <c r="C165">
        <f t="shared" si="31"/>
        <v>13</v>
      </c>
      <c r="D165">
        <f t="shared" si="27"/>
        <v>0</v>
      </c>
      <c r="E165">
        <f t="shared" si="28"/>
        <v>1</v>
      </c>
      <c r="F165" s="10">
        <f t="shared" si="29"/>
        <v>300</v>
      </c>
      <c r="G165" s="10" cm="1">
        <f t="array" ref="G165">ROUND(getParm(Tarifart,"alpha")/(2*Zahlweise)*BeiSum*(C165&lt;2)*E165,2)</f>
        <v>0</v>
      </c>
      <c r="H165" s="10" cm="1">
        <f t="array" ref="H165">ROUND(F165*getParm(Tarifart,"beta")*E165,2)</f>
        <v>15</v>
      </c>
      <c r="I165" s="10" cm="1">
        <f t="array" ref="I165">ROUND(F165*get_Üb(YEAR(A165),$I$8)*E165,2)</f>
        <v>3.6</v>
      </c>
      <c r="J165" s="10">
        <f t="shared" si="32"/>
        <v>15</v>
      </c>
      <c r="K165" s="10">
        <f t="shared" si="33"/>
        <v>288.60000000000002</v>
      </c>
      <c r="L165" s="10" cm="1">
        <f t="array" ref="L165">ROUND(1/12*MAX(MTSum-R165-K165,MRSum)*Act_qx(x+C165,Geschlecht,getParm(Tarifart,"Tafel"),YEAR(GebDat),x+Dauer,1),2)</f>
        <v>1.1200000000000001</v>
      </c>
      <c r="M165" s="10" cm="1">
        <f t="array" ref="M165">ROUND(L165*get_Üb(YEAR(A165),$M$8),2)</f>
        <v>0.06</v>
      </c>
      <c r="N165" s="10" cm="1">
        <f t="array" ref="N165">ROUND(R165*getParm(Tarifart,IF(C165&lt;BZDauer,"gamma1","gamma2")),2)</f>
        <v>24.37</v>
      </c>
      <c r="O165" s="10" cm="1">
        <f t="array" ref="O165">ROUND(R165*get_Üb(YEAR(A165),$O$8),2)</f>
        <v>6.09</v>
      </c>
      <c r="P165" s="19">
        <f t="shared" si="34"/>
        <v>7.8323055417000003</v>
      </c>
      <c r="Q165" s="19" cm="1">
        <f t="array" ref="Q165">ROUND(P165+1/getKurs(EDATE(A165,-1))*(K165-L165-N165-getParm(Tarifart,"StK")+M165+O165),10)*(C165&lt;Dauer)</f>
        <v>7.8683852219999997</v>
      </c>
      <c r="R165" s="10" cm="1">
        <f t="array" ref="R165">ROUND(P165*getKurs($A165),2)</f>
        <v>60925.78</v>
      </c>
      <c r="S165" s="10" cm="1">
        <f t="array" ref="S165">ROUND(Q165*getKurs($A165),2)</f>
        <v>61206.44</v>
      </c>
      <c r="T165" s="10">
        <f t="shared" si="30"/>
        <v>64525.78</v>
      </c>
      <c r="U165" s="10" cm="1">
        <f t="array" ref="U165">getParm(Tarifart,"StoSatz")*(Dauer-C165)*Beitrag*Zahlweise*(C165&lt;BZDauer)</f>
        <v>1224.0000000000002</v>
      </c>
      <c r="V165" s="10">
        <f t="shared" si="35"/>
        <v>59982.44</v>
      </c>
    </row>
    <row r="166" spans="1:22" x14ac:dyDescent="0.45">
      <c r="A166" s="15">
        <f t="shared" si="36"/>
        <v>41306</v>
      </c>
      <c r="B166">
        <f t="shared" si="26"/>
        <v>157</v>
      </c>
      <c r="C166">
        <f t="shared" si="31"/>
        <v>13</v>
      </c>
      <c r="D166">
        <f t="shared" si="27"/>
        <v>1</v>
      </c>
      <c r="E166">
        <f t="shared" si="28"/>
        <v>1</v>
      </c>
      <c r="F166" s="10">
        <f t="shared" si="29"/>
        <v>300</v>
      </c>
      <c r="G166" s="10" cm="1">
        <f t="array" ref="G166">ROUND(getParm(Tarifart,"alpha")/(2*Zahlweise)*BeiSum*(C166&lt;2)*E166,2)</f>
        <v>0</v>
      </c>
      <c r="H166" s="10" cm="1">
        <f t="array" ref="H166">ROUND(F166*getParm(Tarifart,"beta")*E166,2)</f>
        <v>15</v>
      </c>
      <c r="I166" s="10" cm="1">
        <f t="array" ref="I166">ROUND(F166*get_Üb(YEAR(A166),$I$8)*E166,2)</f>
        <v>3.6</v>
      </c>
      <c r="J166" s="10">
        <f t="shared" si="32"/>
        <v>15</v>
      </c>
      <c r="K166" s="10">
        <f t="shared" si="33"/>
        <v>288.60000000000002</v>
      </c>
      <c r="L166" s="10" cm="1">
        <f t="array" ref="L166">ROUND(1/12*MAX(MTSum-R166-K166,MRSum)*Act_qx(x+C166,Geschlecht,getParm(Tarifart,"Tafel"),YEAR(GebDat),x+Dauer,1),2)</f>
        <v>1.1200000000000001</v>
      </c>
      <c r="M166" s="10" cm="1">
        <f t="array" ref="M166">ROUND(L166*get_Üb(YEAR(A166),$M$8),2)</f>
        <v>0.06</v>
      </c>
      <c r="N166" s="10" cm="1">
        <f t="array" ref="N166">ROUND(R166*getParm(Tarifart,IF(C166&lt;BZDauer,"gamma1","gamma2")),2)</f>
        <v>24.65</v>
      </c>
      <c r="O166" s="10" cm="1">
        <f t="array" ref="O166">ROUND(R166*get_Üb(YEAR(A166),$O$8),2)</f>
        <v>6.16</v>
      </c>
      <c r="P166" s="19">
        <f t="shared" si="34"/>
        <v>7.8683852219999997</v>
      </c>
      <c r="Q166" s="19" cm="1">
        <f t="array" ref="Q166">ROUND(P166+1/getKurs(EDATE(A166,-1))*(K166-L166-N166-getParm(Tarifart,"StK")+M166+O166),10)*(C166&lt;Dauer)</f>
        <v>7.9028443530999999</v>
      </c>
      <c r="R166" s="10" cm="1">
        <f t="array" ref="R166">ROUND(P166*getKurs($A166),2)</f>
        <v>61636.13</v>
      </c>
      <c r="S166" s="10" cm="1">
        <f t="array" ref="S166">ROUND(Q166*getKurs($A166),2)</f>
        <v>61906.06</v>
      </c>
      <c r="T166" s="10">
        <f t="shared" si="30"/>
        <v>65236.13</v>
      </c>
      <c r="U166" s="10" cm="1">
        <f t="array" ref="U166">getParm(Tarifart,"StoSatz")*(Dauer-C166)*Beitrag*Zahlweise*(C166&lt;BZDauer)</f>
        <v>1224.0000000000002</v>
      </c>
      <c r="V166" s="10">
        <f t="shared" si="35"/>
        <v>60682.06</v>
      </c>
    </row>
    <row r="167" spans="1:22" x14ac:dyDescent="0.45">
      <c r="A167" s="15">
        <f t="shared" si="36"/>
        <v>41334</v>
      </c>
      <c r="B167">
        <f t="shared" si="26"/>
        <v>158</v>
      </c>
      <c r="C167">
        <f t="shared" si="31"/>
        <v>13</v>
      </c>
      <c r="D167">
        <f t="shared" si="27"/>
        <v>2</v>
      </c>
      <c r="E167">
        <f t="shared" si="28"/>
        <v>1</v>
      </c>
      <c r="F167" s="10">
        <f t="shared" si="29"/>
        <v>300</v>
      </c>
      <c r="G167" s="10" cm="1">
        <f t="array" ref="G167">ROUND(getParm(Tarifart,"alpha")/(2*Zahlweise)*BeiSum*(C167&lt;2)*E167,2)</f>
        <v>0</v>
      </c>
      <c r="H167" s="10" cm="1">
        <f t="array" ref="H167">ROUND(F167*getParm(Tarifart,"beta")*E167,2)</f>
        <v>15</v>
      </c>
      <c r="I167" s="10" cm="1">
        <f t="array" ref="I167">ROUND(F167*get_Üb(YEAR(A167),$I$8)*E167,2)</f>
        <v>3.6</v>
      </c>
      <c r="J167" s="10">
        <f t="shared" si="32"/>
        <v>15</v>
      </c>
      <c r="K167" s="10">
        <f t="shared" si="33"/>
        <v>288.60000000000002</v>
      </c>
      <c r="L167" s="10" cm="1">
        <f t="array" ref="L167">ROUND(1/12*MAX(MTSum-R167-K167,MRSum)*Act_qx(x+C167,Geschlecht,getParm(Tarifart,"Tafel"),YEAR(GebDat),x+Dauer,1),2)</f>
        <v>1.1200000000000001</v>
      </c>
      <c r="M167" s="10" cm="1">
        <f t="array" ref="M167">ROUND(L167*get_Üb(YEAR(A167),$M$8),2)</f>
        <v>0.06</v>
      </c>
      <c r="N167" s="10" cm="1">
        <f t="array" ref="N167">ROUND(R167*getParm(Tarifart,IF(C167&lt;BZDauer,"gamma1","gamma2")),2)</f>
        <v>24.37</v>
      </c>
      <c r="O167" s="10" cm="1">
        <f t="array" ref="O167">ROUND(R167*get_Üb(YEAR(A167),$O$8),2)</f>
        <v>6.09</v>
      </c>
      <c r="P167" s="19">
        <f t="shared" si="34"/>
        <v>7.9028443530999999</v>
      </c>
      <c r="Q167" s="19" cm="1">
        <f t="array" ref="Q167">ROUND(P167+1/getKurs(EDATE(A167,-1))*(K167-L167-N167-getParm(Tarifart,"StK")+M167+O167),10)*(C167&lt;Dauer)</f>
        <v>7.9370900628000003</v>
      </c>
      <c r="R167" s="10" cm="1">
        <f t="array" ref="R167">ROUND(P167*getKurs($A167),2)</f>
        <v>60916.39</v>
      </c>
      <c r="S167" s="10" cm="1">
        <f t="array" ref="S167">ROUND(Q167*getKurs($A167),2)</f>
        <v>61180.36</v>
      </c>
      <c r="T167" s="10">
        <f t="shared" si="30"/>
        <v>64516.39</v>
      </c>
      <c r="U167" s="10" cm="1">
        <f t="array" ref="U167">getParm(Tarifart,"StoSatz")*(Dauer-C167)*Beitrag*Zahlweise*(C167&lt;BZDauer)</f>
        <v>1224.0000000000002</v>
      </c>
      <c r="V167" s="10">
        <f t="shared" si="35"/>
        <v>59956.36</v>
      </c>
    </row>
    <row r="168" spans="1:22" x14ac:dyDescent="0.45">
      <c r="A168" s="15">
        <f t="shared" si="36"/>
        <v>41365</v>
      </c>
      <c r="B168">
        <f t="shared" si="26"/>
        <v>159</v>
      </c>
      <c r="C168">
        <f t="shared" si="31"/>
        <v>13</v>
      </c>
      <c r="D168">
        <f t="shared" si="27"/>
        <v>3</v>
      </c>
      <c r="E168">
        <f t="shared" si="28"/>
        <v>1</v>
      </c>
      <c r="F168" s="10">
        <f t="shared" si="29"/>
        <v>300</v>
      </c>
      <c r="G168" s="10" cm="1">
        <f t="array" ref="G168">ROUND(getParm(Tarifart,"alpha")/(2*Zahlweise)*BeiSum*(C168&lt;2)*E168,2)</f>
        <v>0</v>
      </c>
      <c r="H168" s="10" cm="1">
        <f t="array" ref="H168">ROUND(F168*getParm(Tarifart,"beta")*E168,2)</f>
        <v>15</v>
      </c>
      <c r="I168" s="10" cm="1">
        <f t="array" ref="I168">ROUND(F168*get_Üb(YEAR(A168),$I$8)*E168,2)</f>
        <v>3.6</v>
      </c>
      <c r="J168" s="10">
        <f t="shared" si="32"/>
        <v>15</v>
      </c>
      <c r="K168" s="10">
        <f t="shared" si="33"/>
        <v>288.60000000000002</v>
      </c>
      <c r="L168" s="10" cm="1">
        <f t="array" ref="L168">ROUND(1/12*MAX(MTSum-R168-K168,MRSum)*Act_qx(x+C168,Geschlecht,getParm(Tarifart,"Tafel"),YEAR(GebDat),x+Dauer,1),2)</f>
        <v>1.1200000000000001</v>
      </c>
      <c r="M168" s="10" cm="1">
        <f t="array" ref="M168">ROUND(L168*get_Üb(YEAR(A168),$M$8),2)</f>
        <v>0.06</v>
      </c>
      <c r="N168" s="10" cm="1">
        <f t="array" ref="N168">ROUND(R168*getParm(Tarifart,IF(C168&lt;BZDauer,"gamma1","gamma2")),2)</f>
        <v>25.22</v>
      </c>
      <c r="O168" s="10" cm="1">
        <f t="array" ref="O168">ROUND(R168*get_Üb(YEAR(A168),$O$8),2)</f>
        <v>6.31</v>
      </c>
      <c r="P168" s="19">
        <f t="shared" si="34"/>
        <v>7.9370900628000003</v>
      </c>
      <c r="Q168" s="19" cm="1">
        <f t="array" ref="Q168">ROUND(P168+1/getKurs(EDATE(A168,-1))*(K168-L168-N168-getParm(Tarifart,"StK")+M168+O168),10)*(C168&lt;Dauer)</f>
        <v>7.9718104110999999</v>
      </c>
      <c r="R168" s="10" cm="1">
        <f t="array" ref="R168">ROUND(P168*getKurs($A168),2)</f>
        <v>63051.21</v>
      </c>
      <c r="S168" s="10" cm="1">
        <f t="array" ref="S168">ROUND(Q168*getKurs($A168),2)</f>
        <v>63327.03</v>
      </c>
      <c r="T168" s="10">
        <f t="shared" si="30"/>
        <v>66651.210000000006</v>
      </c>
      <c r="U168" s="10" cm="1">
        <f t="array" ref="U168">getParm(Tarifart,"StoSatz")*(Dauer-C168)*Beitrag*Zahlweise*(C168&lt;BZDauer)</f>
        <v>1224.0000000000002</v>
      </c>
      <c r="V168" s="10">
        <f t="shared" si="35"/>
        <v>62103.03</v>
      </c>
    </row>
    <row r="169" spans="1:22" x14ac:dyDescent="0.45">
      <c r="A169" s="15">
        <f t="shared" si="36"/>
        <v>41395</v>
      </c>
      <c r="B169">
        <f t="shared" si="26"/>
        <v>160</v>
      </c>
      <c r="C169">
        <f t="shared" si="31"/>
        <v>13</v>
      </c>
      <c r="D169">
        <f t="shared" si="27"/>
        <v>4</v>
      </c>
      <c r="E169">
        <f t="shared" si="28"/>
        <v>1</v>
      </c>
      <c r="F169" s="10">
        <f t="shared" si="29"/>
        <v>300</v>
      </c>
      <c r="G169" s="10" cm="1">
        <f t="array" ref="G169">ROUND(getParm(Tarifart,"alpha")/(2*Zahlweise)*BeiSum*(C169&lt;2)*E169,2)</f>
        <v>0</v>
      </c>
      <c r="H169" s="10" cm="1">
        <f t="array" ref="H169">ROUND(F169*getParm(Tarifart,"beta")*E169,2)</f>
        <v>15</v>
      </c>
      <c r="I169" s="10" cm="1">
        <f t="array" ref="I169">ROUND(F169*get_Üb(YEAR(A169),$I$8)*E169,2)</f>
        <v>3.6</v>
      </c>
      <c r="J169" s="10">
        <f t="shared" si="32"/>
        <v>15</v>
      </c>
      <c r="K169" s="10">
        <f t="shared" si="33"/>
        <v>288.60000000000002</v>
      </c>
      <c r="L169" s="10" cm="1">
        <f t="array" ref="L169">ROUND(1/12*MAX(MTSum-R169-K169,MRSum)*Act_qx(x+C169,Geschlecht,getParm(Tarifart,"Tafel"),YEAR(GebDat),x+Dauer,1),2)</f>
        <v>1.1200000000000001</v>
      </c>
      <c r="M169" s="10" cm="1">
        <f t="array" ref="M169">ROUND(L169*get_Üb(YEAR(A169),$M$8),2)</f>
        <v>0.06</v>
      </c>
      <c r="N169" s="10" cm="1">
        <f t="array" ref="N169">ROUND(R169*getParm(Tarifart,IF(C169&lt;BZDauer,"gamma1","gamma2")),2)</f>
        <v>25.39</v>
      </c>
      <c r="O169" s="10" cm="1">
        <f t="array" ref="O169">ROUND(R169*get_Üb(YEAR(A169),$O$8),2)</f>
        <v>6.35</v>
      </c>
      <c r="P169" s="19">
        <f t="shared" si="34"/>
        <v>7.9718104110999999</v>
      </c>
      <c r="Q169" s="19" cm="1">
        <f t="array" ref="Q169">ROUND(P169+1/getKurs(EDATE(A169,-1))*(K169-L169-N169-getParm(Tarifart,"StK")+M169+O169),10)*(C169&lt;Dauer)</f>
        <v>8.0054841745999994</v>
      </c>
      <c r="R169" s="10" cm="1">
        <f t="array" ref="R169">ROUND(P169*getKurs($A169),2)</f>
        <v>63469.24</v>
      </c>
      <c r="S169" s="10" cm="1">
        <f t="array" ref="S169">ROUND(Q169*getKurs($A169),2)</f>
        <v>63737.34</v>
      </c>
      <c r="T169" s="10">
        <f t="shared" si="30"/>
        <v>67069.240000000005</v>
      </c>
      <c r="U169" s="10" cm="1">
        <f t="array" ref="U169">getParm(Tarifart,"StoSatz")*(Dauer-C169)*Beitrag*Zahlweise*(C169&lt;BZDauer)</f>
        <v>1224.0000000000002</v>
      </c>
      <c r="V169" s="10">
        <f t="shared" si="35"/>
        <v>62513.34</v>
      </c>
    </row>
    <row r="170" spans="1:22" x14ac:dyDescent="0.45">
      <c r="A170" s="15">
        <f t="shared" si="36"/>
        <v>41426</v>
      </c>
      <c r="B170">
        <f t="shared" si="26"/>
        <v>161</v>
      </c>
      <c r="C170">
        <f t="shared" si="31"/>
        <v>13</v>
      </c>
      <c r="D170">
        <f t="shared" si="27"/>
        <v>5</v>
      </c>
      <c r="E170">
        <f t="shared" si="28"/>
        <v>1</v>
      </c>
      <c r="F170" s="10">
        <f t="shared" si="29"/>
        <v>300</v>
      </c>
      <c r="G170" s="10" cm="1">
        <f t="array" ref="G170">ROUND(getParm(Tarifart,"alpha")/(2*Zahlweise)*BeiSum*(C170&lt;2)*E170,2)</f>
        <v>0</v>
      </c>
      <c r="H170" s="10" cm="1">
        <f t="array" ref="H170">ROUND(F170*getParm(Tarifart,"beta")*E170,2)</f>
        <v>15</v>
      </c>
      <c r="I170" s="10" cm="1">
        <f t="array" ref="I170">ROUND(F170*get_Üb(YEAR(A170),$I$8)*E170,2)</f>
        <v>3.6</v>
      </c>
      <c r="J170" s="10">
        <f t="shared" si="32"/>
        <v>15</v>
      </c>
      <c r="K170" s="10">
        <f t="shared" si="33"/>
        <v>288.60000000000002</v>
      </c>
      <c r="L170" s="10" cm="1">
        <f t="array" ref="L170">ROUND(1/12*MAX(MTSum-R170-K170,MRSum)*Act_qx(x+C170,Geschlecht,getParm(Tarifart,"Tafel"),YEAR(GebDat),x+Dauer,1),2)</f>
        <v>1.1200000000000001</v>
      </c>
      <c r="M170" s="10" cm="1">
        <f t="array" ref="M170">ROUND(L170*get_Üb(YEAR(A170),$M$8),2)</f>
        <v>0.06</v>
      </c>
      <c r="N170" s="10" cm="1">
        <f t="array" ref="N170">ROUND(R170*getParm(Tarifart,IF(C170&lt;BZDauer,"gamma1","gamma2")),2)</f>
        <v>26.53</v>
      </c>
      <c r="O170" s="10" cm="1">
        <f t="array" ref="O170">ROUND(R170*get_Üb(YEAR(A170),$O$8),2)</f>
        <v>6.63</v>
      </c>
      <c r="P170" s="19">
        <f t="shared" si="34"/>
        <v>8.0054841745999994</v>
      </c>
      <c r="Q170" s="19" cm="1">
        <f t="array" ref="Q170">ROUND(P170+1/getKurs(EDATE(A170,-1))*(K170-L170-N170-getParm(Tarifart,"StK")+M170+O170),10)*(C170&lt;Dauer)</f>
        <v>8.0389744674999992</v>
      </c>
      <c r="R170" s="10" cm="1">
        <f t="array" ref="R170">ROUND(P170*getKurs($A170),2)</f>
        <v>66331.839999999997</v>
      </c>
      <c r="S170" s="10" cm="1">
        <f t="array" ref="S170">ROUND(Q170*getKurs($A170),2)</f>
        <v>66609.33</v>
      </c>
      <c r="T170" s="10">
        <f t="shared" si="30"/>
        <v>69931.839999999997</v>
      </c>
      <c r="U170" s="10" cm="1">
        <f t="array" ref="U170">getParm(Tarifart,"StoSatz")*(Dauer-C170)*Beitrag*Zahlweise*(C170&lt;BZDauer)</f>
        <v>1224.0000000000002</v>
      </c>
      <c r="V170" s="10">
        <f t="shared" si="35"/>
        <v>65385.33</v>
      </c>
    </row>
    <row r="171" spans="1:22" x14ac:dyDescent="0.45">
      <c r="A171" s="15">
        <f t="shared" si="36"/>
        <v>41456</v>
      </c>
      <c r="B171">
        <f t="shared" si="26"/>
        <v>162</v>
      </c>
      <c r="C171">
        <f t="shared" si="31"/>
        <v>13</v>
      </c>
      <c r="D171">
        <f t="shared" si="27"/>
        <v>6</v>
      </c>
      <c r="E171">
        <f t="shared" si="28"/>
        <v>1</v>
      </c>
      <c r="F171" s="10">
        <f t="shared" si="29"/>
        <v>300</v>
      </c>
      <c r="G171" s="10" cm="1">
        <f t="array" ref="G171">ROUND(getParm(Tarifart,"alpha")/(2*Zahlweise)*BeiSum*(C171&lt;2)*E171,2)</f>
        <v>0</v>
      </c>
      <c r="H171" s="10" cm="1">
        <f t="array" ref="H171">ROUND(F171*getParm(Tarifart,"beta")*E171,2)</f>
        <v>15</v>
      </c>
      <c r="I171" s="10" cm="1">
        <f t="array" ref="I171">ROUND(F171*get_Üb(YEAR(A171),$I$8)*E171,2)</f>
        <v>3.6</v>
      </c>
      <c r="J171" s="10">
        <f t="shared" si="32"/>
        <v>15</v>
      </c>
      <c r="K171" s="10">
        <f t="shared" si="33"/>
        <v>288.60000000000002</v>
      </c>
      <c r="L171" s="10" cm="1">
        <f t="array" ref="L171">ROUND(1/12*MAX(MTSum-R171-K171,MRSum)*Act_qx(x+C171,Geschlecht,getParm(Tarifart,"Tafel"),YEAR(GebDat),x+Dauer,1),2)</f>
        <v>1.1200000000000001</v>
      </c>
      <c r="M171" s="10" cm="1">
        <f t="array" ref="M171">ROUND(L171*get_Üb(YEAR(A171),$M$8),2)</f>
        <v>0.06</v>
      </c>
      <c r="N171" s="10" cm="1">
        <f t="array" ref="N171">ROUND(R171*getParm(Tarifart,IF(C171&lt;BZDauer,"gamma1","gamma2")),2)</f>
        <v>25.67</v>
      </c>
      <c r="O171" s="10" cm="1">
        <f t="array" ref="O171">ROUND(R171*get_Üb(YEAR(A171),$O$8),2)</f>
        <v>6.42</v>
      </c>
      <c r="P171" s="19">
        <f t="shared" si="34"/>
        <v>8.0389744674999992</v>
      </c>
      <c r="Q171" s="19" cm="1">
        <f t="array" ref="Q171">ROUND(P171+1/getKurs(EDATE(A171,-1))*(K171-L171-N171-getParm(Tarifart,"StK")+M171+O171),10)*(C171&lt;Dauer)</f>
        <v>8.0712332717000006</v>
      </c>
      <c r="R171" s="10" cm="1">
        <f t="array" ref="R171">ROUND(P171*getKurs($A171),2)</f>
        <v>64182.53</v>
      </c>
      <c r="S171" s="10" cm="1">
        <f t="array" ref="S171">ROUND(Q171*getKurs($A171),2)</f>
        <v>64440.08</v>
      </c>
      <c r="T171" s="10">
        <f t="shared" si="30"/>
        <v>67782.53</v>
      </c>
      <c r="U171" s="10" cm="1">
        <f t="array" ref="U171">getParm(Tarifart,"StoSatz")*(Dauer-C171)*Beitrag*Zahlweise*(C171&lt;BZDauer)</f>
        <v>1224.0000000000002</v>
      </c>
      <c r="V171" s="10">
        <f t="shared" si="35"/>
        <v>63216.08</v>
      </c>
    </row>
    <row r="172" spans="1:22" x14ac:dyDescent="0.45">
      <c r="A172" s="15">
        <f t="shared" si="36"/>
        <v>41487</v>
      </c>
      <c r="B172">
        <f t="shared" si="26"/>
        <v>163</v>
      </c>
      <c r="C172">
        <f t="shared" si="31"/>
        <v>13</v>
      </c>
      <c r="D172">
        <f t="shared" si="27"/>
        <v>7</v>
      </c>
      <c r="E172">
        <f t="shared" si="28"/>
        <v>1</v>
      </c>
      <c r="F172" s="10">
        <f t="shared" si="29"/>
        <v>300</v>
      </c>
      <c r="G172" s="10" cm="1">
        <f t="array" ref="G172">ROUND(getParm(Tarifart,"alpha")/(2*Zahlweise)*BeiSum*(C172&lt;2)*E172,2)</f>
        <v>0</v>
      </c>
      <c r="H172" s="10" cm="1">
        <f t="array" ref="H172">ROUND(F172*getParm(Tarifart,"beta")*E172,2)</f>
        <v>15</v>
      </c>
      <c r="I172" s="10" cm="1">
        <f t="array" ref="I172">ROUND(F172*get_Üb(YEAR(A172),$I$8)*E172,2)</f>
        <v>3.6</v>
      </c>
      <c r="J172" s="10">
        <f t="shared" si="32"/>
        <v>15</v>
      </c>
      <c r="K172" s="10">
        <f t="shared" si="33"/>
        <v>288.60000000000002</v>
      </c>
      <c r="L172" s="10" cm="1">
        <f t="array" ref="L172">ROUND(1/12*MAX(MTSum-R172-K172,MRSum)*Act_qx(x+C172,Geschlecht,getParm(Tarifart,"Tafel"),YEAR(GebDat),x+Dauer,1),2)</f>
        <v>1.1200000000000001</v>
      </c>
      <c r="M172" s="10" cm="1">
        <f t="array" ref="M172">ROUND(L172*get_Üb(YEAR(A172),$M$8),2)</f>
        <v>0.06</v>
      </c>
      <c r="N172" s="10" cm="1">
        <f t="array" ref="N172">ROUND(R172*getParm(Tarifart,IF(C172&lt;BZDauer,"gamma1","gamma2")),2)</f>
        <v>27.15</v>
      </c>
      <c r="O172" s="10" cm="1">
        <f t="array" ref="O172">ROUND(R172*get_Üb(YEAR(A172),$O$8),2)</f>
        <v>6.79</v>
      </c>
      <c r="P172" s="19">
        <f t="shared" si="34"/>
        <v>8.0712332717000006</v>
      </c>
      <c r="Q172" s="19" cm="1">
        <f t="array" ref="Q172">ROUND(P172+1/getKurs(EDATE(A172,-1))*(K172-L172-N172-getParm(Tarifart,"StK")+M172+O172),10)*(C172&lt;Dauer)</f>
        <v>8.1045727841000001</v>
      </c>
      <c r="R172" s="10" cm="1">
        <f t="array" ref="R172">ROUND(P172*getKurs($A172),2)</f>
        <v>67884.960000000006</v>
      </c>
      <c r="S172" s="10" cm="1">
        <f t="array" ref="S172">ROUND(Q172*getKurs($A172),2)</f>
        <v>68165.37</v>
      </c>
      <c r="T172" s="10">
        <f t="shared" si="30"/>
        <v>71484.960000000006</v>
      </c>
      <c r="U172" s="10" cm="1">
        <f t="array" ref="U172">getParm(Tarifart,"StoSatz")*(Dauer-C172)*Beitrag*Zahlweise*(C172&lt;BZDauer)</f>
        <v>1224.0000000000002</v>
      </c>
      <c r="V172" s="10">
        <f t="shared" si="35"/>
        <v>66941.37</v>
      </c>
    </row>
    <row r="173" spans="1:22" x14ac:dyDescent="0.45">
      <c r="A173" s="15">
        <f t="shared" si="36"/>
        <v>41518</v>
      </c>
      <c r="B173">
        <f t="shared" si="26"/>
        <v>164</v>
      </c>
      <c r="C173">
        <f t="shared" si="31"/>
        <v>13</v>
      </c>
      <c r="D173">
        <f t="shared" si="27"/>
        <v>8</v>
      </c>
      <c r="E173">
        <f t="shared" si="28"/>
        <v>1</v>
      </c>
      <c r="F173" s="10">
        <f t="shared" si="29"/>
        <v>300</v>
      </c>
      <c r="G173" s="10" cm="1">
        <f t="array" ref="G173">ROUND(getParm(Tarifart,"alpha")/(2*Zahlweise)*BeiSum*(C173&lt;2)*E173,2)</f>
        <v>0</v>
      </c>
      <c r="H173" s="10" cm="1">
        <f t="array" ref="H173">ROUND(F173*getParm(Tarifart,"beta")*E173,2)</f>
        <v>15</v>
      </c>
      <c r="I173" s="10" cm="1">
        <f t="array" ref="I173">ROUND(F173*get_Üb(YEAR(A173),$I$8)*E173,2)</f>
        <v>3.6</v>
      </c>
      <c r="J173" s="10">
        <f t="shared" si="32"/>
        <v>15</v>
      </c>
      <c r="K173" s="10">
        <f t="shared" si="33"/>
        <v>288.60000000000002</v>
      </c>
      <c r="L173" s="10" cm="1">
        <f t="array" ref="L173">ROUND(1/12*MAX(MTSum-R173-K173,MRSum)*Act_qx(x+C173,Geschlecht,getParm(Tarifart,"Tafel"),YEAR(GebDat),x+Dauer,1),2)</f>
        <v>1.1200000000000001</v>
      </c>
      <c r="M173" s="10" cm="1">
        <f t="array" ref="M173">ROUND(L173*get_Üb(YEAR(A173),$M$8),2)</f>
        <v>0.06</v>
      </c>
      <c r="N173" s="10" cm="1">
        <f t="array" ref="N173">ROUND(R173*getParm(Tarifart,IF(C173&lt;BZDauer,"gamma1","gamma2")),2)</f>
        <v>26.73</v>
      </c>
      <c r="O173" s="10" cm="1">
        <f t="array" ref="O173">ROUND(R173*get_Üb(YEAR(A173),$O$8),2)</f>
        <v>6.68</v>
      </c>
      <c r="P173" s="19">
        <f t="shared" si="34"/>
        <v>8.1045727841000001</v>
      </c>
      <c r="Q173" s="19" cm="1">
        <f t="array" ref="Q173">ROUND(P173+1/getKurs(EDATE(A173,-1))*(K173-L173-N173-getParm(Tarifart,"StK")+M173+O173),10)*(C173&lt;Dauer)</f>
        <v>8.1362573108999996</v>
      </c>
      <c r="R173" s="10" cm="1">
        <f t="array" ref="R173">ROUND(P173*getKurs($A173),2)</f>
        <v>66813.039999999994</v>
      </c>
      <c r="S173" s="10" cm="1">
        <f t="array" ref="S173">ROUND(Q173*getKurs($A173),2)</f>
        <v>67074.25</v>
      </c>
      <c r="T173" s="10">
        <f t="shared" si="30"/>
        <v>70413.039999999994</v>
      </c>
      <c r="U173" s="10" cm="1">
        <f t="array" ref="U173">getParm(Tarifart,"StoSatz")*(Dauer-C173)*Beitrag*Zahlweise*(C173&lt;BZDauer)</f>
        <v>1224.0000000000002</v>
      </c>
      <c r="V173" s="10">
        <f t="shared" si="35"/>
        <v>65850.25</v>
      </c>
    </row>
    <row r="174" spans="1:22" x14ac:dyDescent="0.45">
      <c r="A174" s="15">
        <f t="shared" si="36"/>
        <v>41548</v>
      </c>
      <c r="B174">
        <f t="shared" si="26"/>
        <v>165</v>
      </c>
      <c r="C174">
        <f t="shared" si="31"/>
        <v>13</v>
      </c>
      <c r="D174">
        <f t="shared" si="27"/>
        <v>9</v>
      </c>
      <c r="E174">
        <f t="shared" si="28"/>
        <v>1</v>
      </c>
      <c r="F174" s="10">
        <f t="shared" si="29"/>
        <v>300</v>
      </c>
      <c r="G174" s="10" cm="1">
        <f t="array" ref="G174">ROUND(getParm(Tarifart,"alpha")/(2*Zahlweise)*BeiSum*(C174&lt;2)*E174,2)</f>
        <v>0</v>
      </c>
      <c r="H174" s="10" cm="1">
        <f t="array" ref="H174">ROUND(F174*getParm(Tarifart,"beta")*E174,2)</f>
        <v>15</v>
      </c>
      <c r="I174" s="10" cm="1">
        <f t="array" ref="I174">ROUND(F174*get_Üb(YEAR(A174),$I$8)*E174,2)</f>
        <v>3.6</v>
      </c>
      <c r="J174" s="10">
        <f t="shared" si="32"/>
        <v>15</v>
      </c>
      <c r="K174" s="10">
        <f t="shared" si="33"/>
        <v>288.60000000000002</v>
      </c>
      <c r="L174" s="10" cm="1">
        <f t="array" ref="L174">ROUND(1/12*MAX(MTSum-R174-K174,MRSum)*Act_qx(x+C174,Geschlecht,getParm(Tarifart,"Tafel"),YEAR(GebDat),x+Dauer,1),2)</f>
        <v>1.1200000000000001</v>
      </c>
      <c r="M174" s="10" cm="1">
        <f t="array" ref="M174">ROUND(L174*get_Üb(YEAR(A174),$M$8),2)</f>
        <v>0.06</v>
      </c>
      <c r="N174" s="10" cm="1">
        <f t="array" ref="N174">ROUND(R174*getParm(Tarifart,IF(C174&lt;BZDauer,"gamma1","gamma2")),2)</f>
        <v>28.28</v>
      </c>
      <c r="O174" s="10" cm="1">
        <f t="array" ref="O174">ROUND(R174*get_Üb(YEAR(A174),$O$8),2)</f>
        <v>7.07</v>
      </c>
      <c r="P174" s="19">
        <f t="shared" si="34"/>
        <v>8.1362573108999996</v>
      </c>
      <c r="Q174" s="19" cm="1">
        <f t="array" ref="Q174">ROUND(P174+1/getKurs(EDATE(A174,-1))*(K174-L174-N174-getParm(Tarifart,"StK")+M174+O174),10)*(C174&lt;Dauer)</f>
        <v>8.1684424374999995</v>
      </c>
      <c r="R174" s="10" cm="1">
        <f t="array" ref="R174">ROUND(P174*getKurs($A174),2)</f>
        <v>70697.08</v>
      </c>
      <c r="S174" s="10" cm="1">
        <f t="array" ref="S174">ROUND(Q174*getKurs($A174),2)</f>
        <v>70976.740000000005</v>
      </c>
      <c r="T174" s="10">
        <f t="shared" si="30"/>
        <v>74297.08</v>
      </c>
      <c r="U174" s="10" cm="1">
        <f t="array" ref="U174">getParm(Tarifart,"StoSatz")*(Dauer-C174)*Beitrag*Zahlweise*(C174&lt;BZDauer)</f>
        <v>1224.0000000000002</v>
      </c>
      <c r="V174" s="10">
        <f t="shared" si="35"/>
        <v>69752.740000000005</v>
      </c>
    </row>
    <row r="175" spans="1:22" x14ac:dyDescent="0.45">
      <c r="A175" s="15">
        <f t="shared" si="36"/>
        <v>41579</v>
      </c>
      <c r="B175">
        <f t="shared" si="26"/>
        <v>166</v>
      </c>
      <c r="C175">
        <f t="shared" si="31"/>
        <v>13</v>
      </c>
      <c r="D175">
        <f t="shared" si="27"/>
        <v>10</v>
      </c>
      <c r="E175">
        <f t="shared" si="28"/>
        <v>1</v>
      </c>
      <c r="F175" s="10">
        <f t="shared" si="29"/>
        <v>300</v>
      </c>
      <c r="G175" s="10" cm="1">
        <f t="array" ref="G175">ROUND(getParm(Tarifart,"alpha")/(2*Zahlweise)*BeiSum*(C175&lt;2)*E175,2)</f>
        <v>0</v>
      </c>
      <c r="H175" s="10" cm="1">
        <f t="array" ref="H175">ROUND(F175*getParm(Tarifart,"beta")*E175,2)</f>
        <v>15</v>
      </c>
      <c r="I175" s="10" cm="1">
        <f t="array" ref="I175">ROUND(F175*get_Üb(YEAR(A175),$I$8)*E175,2)</f>
        <v>3.6</v>
      </c>
      <c r="J175" s="10">
        <f t="shared" si="32"/>
        <v>15</v>
      </c>
      <c r="K175" s="10">
        <f t="shared" si="33"/>
        <v>288.60000000000002</v>
      </c>
      <c r="L175" s="10" cm="1">
        <f t="array" ref="L175">ROUND(1/12*MAX(MTSum-R175-K175,MRSum)*Act_qx(x+C175,Geschlecht,getParm(Tarifart,"Tafel"),YEAR(GebDat),x+Dauer,1),2)</f>
        <v>1.1200000000000001</v>
      </c>
      <c r="M175" s="10" cm="1">
        <f t="array" ref="M175">ROUND(L175*get_Üb(YEAR(A175),$M$8),2)</f>
        <v>0.06</v>
      </c>
      <c r="N175" s="10" cm="1">
        <f t="array" ref="N175">ROUND(R175*getParm(Tarifart,IF(C175&lt;BZDauer,"gamma1","gamma2")),2)</f>
        <v>29.43</v>
      </c>
      <c r="O175" s="10" cm="1">
        <f t="array" ref="O175">ROUND(R175*get_Üb(YEAR(A175),$O$8),2)</f>
        <v>7.36</v>
      </c>
      <c r="P175" s="19">
        <f t="shared" si="34"/>
        <v>8.1684424374999995</v>
      </c>
      <c r="Q175" s="19" cm="1">
        <f t="array" ref="Q175">ROUND(P175+1/getKurs(EDATE(A175,-1))*(K175-L175-N175-getParm(Tarifart,"StK")+M175+O175),10)*(C175&lt;Dauer)</f>
        <v>8.1988792817</v>
      </c>
      <c r="R175" s="10" cm="1">
        <f t="array" ref="R175">ROUND(P175*getKurs($A175),2)</f>
        <v>73579.94</v>
      </c>
      <c r="S175" s="10" cm="1">
        <f t="array" ref="S175">ROUND(Q175*getKurs($A175),2)</f>
        <v>73854.11</v>
      </c>
      <c r="T175" s="10">
        <f t="shared" si="30"/>
        <v>77179.94</v>
      </c>
      <c r="U175" s="10" cm="1">
        <f t="array" ref="U175">getParm(Tarifart,"StoSatz")*(Dauer-C175)*Beitrag*Zahlweise*(C175&lt;BZDauer)</f>
        <v>1224.0000000000002</v>
      </c>
      <c r="V175" s="10">
        <f t="shared" si="35"/>
        <v>72630.11</v>
      </c>
    </row>
    <row r="176" spans="1:22" x14ac:dyDescent="0.45">
      <c r="A176" s="15">
        <f t="shared" si="36"/>
        <v>41609</v>
      </c>
      <c r="B176">
        <f t="shared" si="26"/>
        <v>167</v>
      </c>
      <c r="C176">
        <f t="shared" si="31"/>
        <v>13</v>
      </c>
      <c r="D176">
        <f t="shared" si="27"/>
        <v>11</v>
      </c>
      <c r="E176">
        <f t="shared" si="28"/>
        <v>1</v>
      </c>
      <c r="F176" s="10">
        <f t="shared" si="29"/>
        <v>300</v>
      </c>
      <c r="G176" s="10" cm="1">
        <f t="array" ref="G176">ROUND(getParm(Tarifart,"alpha")/(2*Zahlweise)*BeiSum*(C176&lt;2)*E176,2)</f>
        <v>0</v>
      </c>
      <c r="H176" s="10" cm="1">
        <f t="array" ref="H176">ROUND(F176*getParm(Tarifart,"beta")*E176,2)</f>
        <v>15</v>
      </c>
      <c r="I176" s="10" cm="1">
        <f t="array" ref="I176">ROUND(F176*get_Üb(YEAR(A176),$I$8)*E176,2)</f>
        <v>3.6</v>
      </c>
      <c r="J176" s="10">
        <f t="shared" si="32"/>
        <v>15</v>
      </c>
      <c r="K176" s="10">
        <f t="shared" si="33"/>
        <v>288.60000000000002</v>
      </c>
      <c r="L176" s="10" cm="1">
        <f t="array" ref="L176">ROUND(1/12*MAX(MTSum-R176-K176,MRSum)*Act_qx(x+C176,Geschlecht,getParm(Tarifart,"Tafel"),YEAR(GebDat),x+Dauer,1),2)</f>
        <v>1.1200000000000001</v>
      </c>
      <c r="M176" s="10" cm="1">
        <f t="array" ref="M176">ROUND(L176*get_Üb(YEAR(A176),$M$8),2)</f>
        <v>0.06</v>
      </c>
      <c r="N176" s="10" cm="1">
        <f t="array" ref="N176">ROUND(R176*getParm(Tarifart,IF(C176&lt;BZDauer,"gamma1","gamma2")),2)</f>
        <v>30.83</v>
      </c>
      <c r="O176" s="10" cm="1">
        <f t="array" ref="O176">ROUND(R176*get_Üb(YEAR(A176),$O$8),2)</f>
        <v>7.71</v>
      </c>
      <c r="P176" s="19">
        <f t="shared" si="34"/>
        <v>8.1988792817</v>
      </c>
      <c r="Q176" s="19" cm="1">
        <f t="array" ref="Q176">ROUND(P176+1/getKurs(EDATE(A176,-1))*(K176-L176-N176-getParm(Tarifart,"StK")+M176+O176),10)*(C176&lt;Dauer)</f>
        <v>8.2281227288000007</v>
      </c>
      <c r="R176" s="10" cm="1">
        <f t="array" ref="R176">ROUND(P176*getKurs($A176),2)</f>
        <v>77085.539999999994</v>
      </c>
      <c r="S176" s="10" cm="1">
        <f t="array" ref="S176">ROUND(Q176*getKurs($A176),2)</f>
        <v>77360.479999999996</v>
      </c>
      <c r="T176" s="10">
        <f t="shared" si="30"/>
        <v>80685.539999999994</v>
      </c>
      <c r="U176" s="10" cm="1">
        <f t="array" ref="U176">getParm(Tarifart,"StoSatz")*(Dauer-C176)*Beitrag*Zahlweise*(C176&lt;BZDauer)</f>
        <v>1224.0000000000002</v>
      </c>
      <c r="V176" s="10">
        <f t="shared" si="35"/>
        <v>76136.479999999996</v>
      </c>
    </row>
    <row r="177" spans="1:22" x14ac:dyDescent="0.45">
      <c r="A177" s="15">
        <f t="shared" si="36"/>
        <v>41640</v>
      </c>
      <c r="B177">
        <f t="shared" si="26"/>
        <v>168</v>
      </c>
      <c r="C177">
        <f t="shared" si="31"/>
        <v>14</v>
      </c>
      <c r="D177">
        <f t="shared" si="27"/>
        <v>0</v>
      </c>
      <c r="E177">
        <f t="shared" si="28"/>
        <v>1</v>
      </c>
      <c r="F177" s="10">
        <f t="shared" si="29"/>
        <v>300</v>
      </c>
      <c r="G177" s="10" cm="1">
        <f t="array" ref="G177">ROUND(getParm(Tarifart,"alpha")/(2*Zahlweise)*BeiSum*(C177&lt;2)*E177,2)</f>
        <v>0</v>
      </c>
      <c r="H177" s="10" cm="1">
        <f t="array" ref="H177">ROUND(F177*getParm(Tarifart,"beta")*E177,2)</f>
        <v>15</v>
      </c>
      <c r="I177" s="10" cm="1">
        <f t="array" ref="I177">ROUND(F177*get_Üb(YEAR(A177),$I$8)*E177,2)</f>
        <v>3.6</v>
      </c>
      <c r="J177" s="10">
        <f t="shared" si="32"/>
        <v>15</v>
      </c>
      <c r="K177" s="10">
        <f t="shared" si="33"/>
        <v>288.60000000000002</v>
      </c>
      <c r="L177" s="10" cm="1">
        <f t="array" ref="L177">ROUND(1/12*MAX(MTSum-R177-K177,MRSum)*Act_qx(x+C177,Geschlecht,getParm(Tarifart,"Tafel"),YEAR(GebDat),x+Dauer,1),2)</f>
        <v>1.23</v>
      </c>
      <c r="M177" s="10" cm="1">
        <f t="array" ref="M177">ROUND(L177*get_Üb(YEAR(A177),$M$8),2)</f>
        <v>0.06</v>
      </c>
      <c r="N177" s="10" cm="1">
        <f t="array" ref="N177">ROUND(R177*getParm(Tarifart,IF(C177&lt;BZDauer,"gamma1","gamma2")),2)</f>
        <v>30.94</v>
      </c>
      <c r="O177" s="10" cm="1">
        <f t="array" ref="O177">ROUND(R177*get_Üb(YEAR(A177),$O$8),2)</f>
        <v>7.73</v>
      </c>
      <c r="P177" s="19">
        <f t="shared" si="34"/>
        <v>8.2281227288000007</v>
      </c>
      <c r="Q177" s="19" cm="1">
        <f t="array" ref="Q177">ROUND(P177+1/getKurs(EDATE(A177,-1))*(K177-L177-N177-getParm(Tarifart,"StK")+M177+O177),10)*(C177&lt;Dauer)</f>
        <v>8.2561190188999998</v>
      </c>
      <c r="R177" s="10" cm="1">
        <f t="array" ref="R177">ROUND(P177*getKurs($A177),2)</f>
        <v>77344.679999999993</v>
      </c>
      <c r="S177" s="10" cm="1">
        <f t="array" ref="S177">ROUND(Q177*getKurs($A177),2)</f>
        <v>77607.850000000006</v>
      </c>
      <c r="T177" s="10">
        <f t="shared" si="30"/>
        <v>80944.679999999993</v>
      </c>
      <c r="U177" s="10" cm="1">
        <f t="array" ref="U177">getParm(Tarifart,"StoSatz")*(Dauer-C177)*Beitrag*Zahlweise*(C177&lt;BZDauer)</f>
        <v>1152</v>
      </c>
      <c r="V177" s="10">
        <f t="shared" si="35"/>
        <v>76455.850000000006</v>
      </c>
    </row>
    <row r="178" spans="1:22" x14ac:dyDescent="0.45">
      <c r="A178" s="15">
        <f t="shared" si="36"/>
        <v>41671</v>
      </c>
      <c r="B178">
        <f t="shared" si="26"/>
        <v>169</v>
      </c>
      <c r="C178">
        <f t="shared" si="31"/>
        <v>14</v>
      </c>
      <c r="D178">
        <f t="shared" si="27"/>
        <v>1</v>
      </c>
      <c r="E178">
        <f t="shared" si="28"/>
        <v>1</v>
      </c>
      <c r="F178" s="10">
        <f t="shared" si="29"/>
        <v>300</v>
      </c>
      <c r="G178" s="10" cm="1">
        <f t="array" ref="G178">ROUND(getParm(Tarifart,"alpha")/(2*Zahlweise)*BeiSum*(C178&lt;2)*E178,2)</f>
        <v>0</v>
      </c>
      <c r="H178" s="10" cm="1">
        <f t="array" ref="H178">ROUND(F178*getParm(Tarifart,"beta")*E178,2)</f>
        <v>15</v>
      </c>
      <c r="I178" s="10" cm="1">
        <f t="array" ref="I178">ROUND(F178*get_Üb(YEAR(A178),$I$8)*E178,2)</f>
        <v>3.6</v>
      </c>
      <c r="J178" s="10">
        <f t="shared" si="32"/>
        <v>15</v>
      </c>
      <c r="K178" s="10">
        <f t="shared" si="33"/>
        <v>288.60000000000002</v>
      </c>
      <c r="L178" s="10" cm="1">
        <f t="array" ref="L178">ROUND(1/12*MAX(MTSum-R178-K178,MRSum)*Act_qx(x+C178,Geschlecht,getParm(Tarifart,"Tafel"),YEAR(GebDat),x+Dauer,1),2)</f>
        <v>1.23</v>
      </c>
      <c r="M178" s="10" cm="1">
        <f t="array" ref="M178">ROUND(L178*get_Üb(YEAR(A178),$M$8),2)</f>
        <v>0.06</v>
      </c>
      <c r="N178" s="10" cm="1">
        <f t="array" ref="N178">ROUND(R178*getParm(Tarifart,IF(C178&lt;BZDauer,"gamma1","gamma2")),2)</f>
        <v>30.34</v>
      </c>
      <c r="O178" s="10" cm="1">
        <f t="array" ref="O178">ROUND(R178*get_Üb(YEAR(A178),$O$8),2)</f>
        <v>7.58</v>
      </c>
      <c r="P178" s="19">
        <f t="shared" si="34"/>
        <v>8.2561190188999998</v>
      </c>
      <c r="Q178" s="19" cm="1">
        <f t="array" ref="Q178">ROUND(P178+1/getKurs(EDATE(A178,-1))*(K178-L178-N178-getParm(Tarifart,"StK")+M178+O178),10)*(C178&lt;Dauer)</f>
        <v>8.2841688994999991</v>
      </c>
      <c r="R178" s="10" cm="1">
        <f t="array" ref="R178">ROUND(P178*getKurs($A178),2)</f>
        <v>75845</v>
      </c>
      <c r="S178" s="10" cm="1">
        <f t="array" ref="S178">ROUND(Q178*getKurs($A178),2)</f>
        <v>76102.679999999993</v>
      </c>
      <c r="T178" s="10">
        <f t="shared" si="30"/>
        <v>79445</v>
      </c>
      <c r="U178" s="10" cm="1">
        <f t="array" ref="U178">getParm(Tarifart,"StoSatz")*(Dauer-C178)*Beitrag*Zahlweise*(C178&lt;BZDauer)</f>
        <v>1152</v>
      </c>
      <c r="V178" s="10">
        <f t="shared" si="35"/>
        <v>74950.679999999993</v>
      </c>
    </row>
    <row r="179" spans="1:22" x14ac:dyDescent="0.45">
      <c r="A179" s="15">
        <f t="shared" si="36"/>
        <v>41699</v>
      </c>
      <c r="B179">
        <f t="shared" si="26"/>
        <v>170</v>
      </c>
      <c r="C179">
        <f t="shared" si="31"/>
        <v>14</v>
      </c>
      <c r="D179">
        <f t="shared" si="27"/>
        <v>2</v>
      </c>
      <c r="E179">
        <f t="shared" si="28"/>
        <v>1</v>
      </c>
      <c r="F179" s="10">
        <f t="shared" si="29"/>
        <v>300</v>
      </c>
      <c r="G179" s="10" cm="1">
        <f t="array" ref="G179">ROUND(getParm(Tarifart,"alpha")/(2*Zahlweise)*BeiSum*(C179&lt;2)*E179,2)</f>
        <v>0</v>
      </c>
      <c r="H179" s="10" cm="1">
        <f t="array" ref="H179">ROUND(F179*getParm(Tarifart,"beta")*E179,2)</f>
        <v>15</v>
      </c>
      <c r="I179" s="10" cm="1">
        <f t="array" ref="I179">ROUND(F179*get_Üb(YEAR(A179),$I$8)*E179,2)</f>
        <v>3.6</v>
      </c>
      <c r="J179" s="10">
        <f t="shared" si="32"/>
        <v>15</v>
      </c>
      <c r="K179" s="10">
        <f t="shared" si="33"/>
        <v>288.60000000000002</v>
      </c>
      <c r="L179" s="10" cm="1">
        <f t="array" ref="L179">ROUND(1/12*MAX(MTSum-R179-K179,MRSum)*Act_qx(x+C179,Geschlecht,getParm(Tarifart,"Tafel"),YEAR(GebDat),x+Dauer,1),2)</f>
        <v>1.23</v>
      </c>
      <c r="M179" s="10" cm="1">
        <f t="array" ref="M179">ROUND(L179*get_Üb(YEAR(A179),$M$8),2)</f>
        <v>0.06</v>
      </c>
      <c r="N179" s="10" cm="1">
        <f t="array" ref="N179">ROUND(R179*getParm(Tarifart,IF(C179&lt;BZDauer,"gamma1","gamma2")),2)</f>
        <v>31.01</v>
      </c>
      <c r="O179" s="10" cm="1">
        <f t="array" ref="O179">ROUND(R179*get_Üb(YEAR(A179),$O$8),2)</f>
        <v>7.75</v>
      </c>
      <c r="P179" s="19">
        <f t="shared" si="34"/>
        <v>8.2841688994999991</v>
      </c>
      <c r="Q179" s="19" cm="1">
        <f t="array" ref="Q179">ROUND(P179+1/getKurs(EDATE(A179,-1))*(K179-L179-N179-getParm(Tarifart,"StK")+M179+O179),10)*(C179&lt;Dauer)</f>
        <v>8.3128163090000005</v>
      </c>
      <c r="R179" s="10" cm="1">
        <f t="array" ref="R179">ROUND(P179*getKurs($A179),2)</f>
        <v>77530.63</v>
      </c>
      <c r="S179" s="10" cm="1">
        <f t="array" ref="S179">ROUND(Q179*getKurs($A179),2)</f>
        <v>77798.73</v>
      </c>
      <c r="T179" s="10">
        <f t="shared" si="30"/>
        <v>81130.63</v>
      </c>
      <c r="U179" s="10" cm="1">
        <f t="array" ref="U179">getParm(Tarifart,"StoSatz")*(Dauer-C179)*Beitrag*Zahlweise*(C179&lt;BZDauer)</f>
        <v>1152</v>
      </c>
      <c r="V179" s="10">
        <f t="shared" si="35"/>
        <v>76646.73</v>
      </c>
    </row>
    <row r="180" spans="1:22" x14ac:dyDescent="0.45">
      <c r="A180" s="15">
        <f t="shared" si="36"/>
        <v>41730</v>
      </c>
      <c r="B180">
        <f t="shared" si="26"/>
        <v>171</v>
      </c>
      <c r="C180">
        <f t="shared" si="31"/>
        <v>14</v>
      </c>
      <c r="D180">
        <f t="shared" si="27"/>
        <v>3</v>
      </c>
      <c r="E180">
        <f t="shared" si="28"/>
        <v>1</v>
      </c>
      <c r="F180" s="10">
        <f t="shared" si="29"/>
        <v>300</v>
      </c>
      <c r="G180" s="10" cm="1">
        <f t="array" ref="G180">ROUND(getParm(Tarifart,"alpha")/(2*Zahlweise)*BeiSum*(C180&lt;2)*E180,2)</f>
        <v>0</v>
      </c>
      <c r="H180" s="10" cm="1">
        <f t="array" ref="H180">ROUND(F180*getParm(Tarifart,"beta")*E180,2)</f>
        <v>15</v>
      </c>
      <c r="I180" s="10" cm="1">
        <f t="array" ref="I180">ROUND(F180*get_Üb(YEAR(A180),$I$8)*E180,2)</f>
        <v>3.6</v>
      </c>
      <c r="J180" s="10">
        <f t="shared" si="32"/>
        <v>15</v>
      </c>
      <c r="K180" s="10">
        <f t="shared" si="33"/>
        <v>288.60000000000002</v>
      </c>
      <c r="L180" s="10" cm="1">
        <f t="array" ref="L180">ROUND(1/12*MAX(MTSum-R180-K180,MRSum)*Act_qx(x+C180,Geschlecht,getParm(Tarifart,"Tafel"),YEAR(GebDat),x+Dauer,1),2)</f>
        <v>1.23</v>
      </c>
      <c r="M180" s="10" cm="1">
        <f t="array" ref="M180">ROUND(L180*get_Üb(YEAR(A180),$M$8),2)</f>
        <v>0.06</v>
      </c>
      <c r="N180" s="10" cm="1">
        <f t="array" ref="N180">ROUND(R180*getParm(Tarifart,IF(C180&lt;BZDauer,"gamma1","gamma2")),2)</f>
        <v>31.93</v>
      </c>
      <c r="O180" s="10" cm="1">
        <f t="array" ref="O180">ROUND(R180*get_Üb(YEAR(A180),$O$8),2)</f>
        <v>7.98</v>
      </c>
      <c r="P180" s="19">
        <f t="shared" si="34"/>
        <v>8.3128163090000005</v>
      </c>
      <c r="Q180" s="19" cm="1">
        <f t="array" ref="Q180">ROUND(P180+1/getKurs(EDATE(A180,-1))*(K180-L180-N180-getParm(Tarifart,"StK")+M180+O180),10)*(C180&lt;Dauer)</f>
        <v>8.34086237</v>
      </c>
      <c r="R180" s="10" cm="1">
        <f t="array" ref="R180">ROUND(P180*getKurs($A180),2)</f>
        <v>79833.88</v>
      </c>
      <c r="S180" s="10" cm="1">
        <f t="array" ref="S180">ROUND(Q180*getKurs($A180),2)</f>
        <v>80103.22</v>
      </c>
      <c r="T180" s="10">
        <f t="shared" si="30"/>
        <v>83433.88</v>
      </c>
      <c r="U180" s="10" cm="1">
        <f t="array" ref="U180">getParm(Tarifart,"StoSatz")*(Dauer-C180)*Beitrag*Zahlweise*(C180&lt;BZDauer)</f>
        <v>1152</v>
      </c>
      <c r="V180" s="10">
        <f t="shared" si="35"/>
        <v>78951.22</v>
      </c>
    </row>
    <row r="181" spans="1:22" x14ac:dyDescent="0.45">
      <c r="A181" s="15">
        <f t="shared" si="36"/>
        <v>41760</v>
      </c>
      <c r="B181">
        <f t="shared" si="26"/>
        <v>172</v>
      </c>
      <c r="C181">
        <f t="shared" si="31"/>
        <v>14</v>
      </c>
      <c r="D181">
        <f t="shared" si="27"/>
        <v>4</v>
      </c>
      <c r="E181">
        <f t="shared" si="28"/>
        <v>1</v>
      </c>
      <c r="F181" s="10">
        <f t="shared" si="29"/>
        <v>300</v>
      </c>
      <c r="G181" s="10" cm="1">
        <f t="array" ref="G181">ROUND(getParm(Tarifart,"alpha")/(2*Zahlweise)*BeiSum*(C181&lt;2)*E181,2)</f>
        <v>0</v>
      </c>
      <c r="H181" s="10" cm="1">
        <f t="array" ref="H181">ROUND(F181*getParm(Tarifart,"beta")*E181,2)</f>
        <v>15</v>
      </c>
      <c r="I181" s="10" cm="1">
        <f t="array" ref="I181">ROUND(F181*get_Üb(YEAR(A181),$I$8)*E181,2)</f>
        <v>3.6</v>
      </c>
      <c r="J181" s="10">
        <f t="shared" si="32"/>
        <v>15</v>
      </c>
      <c r="K181" s="10">
        <f t="shared" si="33"/>
        <v>288.60000000000002</v>
      </c>
      <c r="L181" s="10" cm="1">
        <f t="array" ref="L181">ROUND(1/12*MAX(MTSum-R181-K181,MRSum)*Act_qx(x+C181,Geschlecht,getParm(Tarifart,"Tafel"),YEAR(GebDat),x+Dauer,1),2)</f>
        <v>1.23</v>
      </c>
      <c r="M181" s="10" cm="1">
        <f t="array" ref="M181">ROUND(L181*get_Üb(YEAR(A181),$M$8),2)</f>
        <v>0.06</v>
      </c>
      <c r="N181" s="10" cm="1">
        <f t="array" ref="N181">ROUND(R181*getParm(Tarifart,IF(C181&lt;BZDauer,"gamma1","gamma2")),2)</f>
        <v>31.88</v>
      </c>
      <c r="O181" s="10" cm="1">
        <f t="array" ref="O181">ROUND(R181*get_Üb(YEAR(A181),$O$8),2)</f>
        <v>7.97</v>
      </c>
      <c r="P181" s="19">
        <f t="shared" si="34"/>
        <v>8.34086237</v>
      </c>
      <c r="Q181" s="19" cm="1">
        <f t="array" ref="Q181">ROUND(P181+1/getKurs(EDATE(A181,-1))*(K181-L181-N181-getParm(Tarifart,"StK")+M181+O181),10)*(C181&lt;Dauer)</f>
        <v>8.3681976393999999</v>
      </c>
      <c r="R181" s="10" cm="1">
        <f t="array" ref="R181">ROUND(P181*getKurs($A181),2)</f>
        <v>79705.45</v>
      </c>
      <c r="S181" s="10" cm="1">
        <f t="array" ref="S181">ROUND(Q181*getKurs($A181),2)</f>
        <v>79966.66</v>
      </c>
      <c r="T181" s="10">
        <f t="shared" si="30"/>
        <v>83305.45</v>
      </c>
      <c r="U181" s="10" cm="1">
        <f t="array" ref="U181">getParm(Tarifart,"StoSatz")*(Dauer-C181)*Beitrag*Zahlweise*(C181&lt;BZDauer)</f>
        <v>1152</v>
      </c>
      <c r="V181" s="10">
        <f t="shared" si="35"/>
        <v>78814.66</v>
      </c>
    </row>
    <row r="182" spans="1:22" x14ac:dyDescent="0.45">
      <c r="A182" s="15">
        <f t="shared" si="36"/>
        <v>41791</v>
      </c>
      <c r="B182">
        <f t="shared" si="26"/>
        <v>173</v>
      </c>
      <c r="C182">
        <f t="shared" si="31"/>
        <v>14</v>
      </c>
      <c r="D182">
        <f t="shared" si="27"/>
        <v>5</v>
      </c>
      <c r="E182">
        <f t="shared" si="28"/>
        <v>1</v>
      </c>
      <c r="F182" s="10">
        <f t="shared" si="29"/>
        <v>300</v>
      </c>
      <c r="G182" s="10" cm="1">
        <f t="array" ref="G182">ROUND(getParm(Tarifart,"alpha")/(2*Zahlweise)*BeiSum*(C182&lt;2)*E182,2)</f>
        <v>0</v>
      </c>
      <c r="H182" s="10" cm="1">
        <f t="array" ref="H182">ROUND(F182*getParm(Tarifart,"beta")*E182,2)</f>
        <v>15</v>
      </c>
      <c r="I182" s="10" cm="1">
        <f t="array" ref="I182">ROUND(F182*get_Üb(YEAR(A182),$I$8)*E182,2)</f>
        <v>3.6</v>
      </c>
      <c r="J182" s="10">
        <f t="shared" si="32"/>
        <v>15</v>
      </c>
      <c r="K182" s="10">
        <f t="shared" si="33"/>
        <v>288.60000000000002</v>
      </c>
      <c r="L182" s="10" cm="1">
        <f t="array" ref="L182">ROUND(1/12*MAX(MTSum-R182-K182,MRSum)*Act_qx(x+C182,Geschlecht,getParm(Tarifart,"Tafel"),YEAR(GebDat),x+Dauer,1),2)</f>
        <v>1.23</v>
      </c>
      <c r="M182" s="10" cm="1">
        <f t="array" ref="M182">ROUND(L182*get_Üb(YEAR(A182),$M$8),2)</f>
        <v>0.06</v>
      </c>
      <c r="N182" s="10" cm="1">
        <f t="array" ref="N182">ROUND(R182*getParm(Tarifart,IF(C182&lt;BZDauer,"gamma1","gamma2")),2)</f>
        <v>33.31</v>
      </c>
      <c r="O182" s="10" cm="1">
        <f t="array" ref="O182">ROUND(R182*get_Üb(YEAR(A182),$O$8),2)</f>
        <v>8.33</v>
      </c>
      <c r="P182" s="19">
        <f t="shared" si="34"/>
        <v>8.3681976393999999</v>
      </c>
      <c r="Q182" s="19" cm="1">
        <f t="array" ref="Q182">ROUND(P182+1/getKurs(EDATE(A182,-1))*(K182-L182-N182-getParm(Tarifart,"StK")+M182+O182),10)*(C182&lt;Dauer)</f>
        <v>8.3955573560999994</v>
      </c>
      <c r="R182" s="10" cm="1">
        <f t="array" ref="R182">ROUND(P182*getKurs($A182),2)</f>
        <v>83264.570000000007</v>
      </c>
      <c r="S182" s="10" cm="1">
        <f t="array" ref="S182">ROUND(Q182*getKurs($A182),2)</f>
        <v>83536.800000000003</v>
      </c>
      <c r="T182" s="10">
        <f t="shared" si="30"/>
        <v>86864.57</v>
      </c>
      <c r="U182" s="10" cm="1">
        <f t="array" ref="U182">getParm(Tarifart,"StoSatz")*(Dauer-C182)*Beitrag*Zahlweise*(C182&lt;BZDauer)</f>
        <v>1152</v>
      </c>
      <c r="V182" s="10">
        <f t="shared" si="35"/>
        <v>82384.800000000003</v>
      </c>
    </row>
    <row r="183" spans="1:22" x14ac:dyDescent="0.45">
      <c r="A183" s="15">
        <f t="shared" si="36"/>
        <v>41821</v>
      </c>
      <c r="B183">
        <f t="shared" si="26"/>
        <v>174</v>
      </c>
      <c r="C183">
        <f t="shared" si="31"/>
        <v>14</v>
      </c>
      <c r="D183">
        <f t="shared" si="27"/>
        <v>6</v>
      </c>
      <c r="E183">
        <f t="shared" si="28"/>
        <v>1</v>
      </c>
      <c r="F183" s="10">
        <f t="shared" si="29"/>
        <v>300</v>
      </c>
      <c r="G183" s="10" cm="1">
        <f t="array" ref="G183">ROUND(getParm(Tarifart,"alpha")/(2*Zahlweise)*BeiSum*(C183&lt;2)*E183,2)</f>
        <v>0</v>
      </c>
      <c r="H183" s="10" cm="1">
        <f t="array" ref="H183">ROUND(F183*getParm(Tarifart,"beta")*E183,2)</f>
        <v>15</v>
      </c>
      <c r="I183" s="10" cm="1">
        <f t="array" ref="I183">ROUND(F183*get_Üb(YEAR(A183),$I$8)*E183,2)</f>
        <v>3.6</v>
      </c>
      <c r="J183" s="10">
        <f t="shared" si="32"/>
        <v>15</v>
      </c>
      <c r="K183" s="10">
        <f t="shared" si="33"/>
        <v>288.60000000000002</v>
      </c>
      <c r="L183" s="10" cm="1">
        <f t="array" ref="L183">ROUND(1/12*MAX(MTSum-R183-K183,MRSum)*Act_qx(x+C183,Geschlecht,getParm(Tarifart,"Tafel"),YEAR(GebDat),x+Dauer,1),2)</f>
        <v>1.23</v>
      </c>
      <c r="M183" s="10" cm="1">
        <f t="array" ref="M183">ROUND(L183*get_Üb(YEAR(A183),$M$8),2)</f>
        <v>0.06</v>
      </c>
      <c r="N183" s="10" cm="1">
        <f t="array" ref="N183">ROUND(R183*getParm(Tarifart,IF(C183&lt;BZDauer,"gamma1","gamma2")),2)</f>
        <v>33.25</v>
      </c>
      <c r="O183" s="10" cm="1">
        <f t="array" ref="O183">ROUND(R183*get_Üb(YEAR(A183),$O$8),2)</f>
        <v>8.31</v>
      </c>
      <c r="P183" s="19">
        <f t="shared" si="34"/>
        <v>8.3955573560999994</v>
      </c>
      <c r="Q183" s="19" cm="1">
        <f t="array" ref="Q183">ROUND(P183+1/getKurs(EDATE(A183,-1))*(K183-L183-N183-getParm(Tarifart,"StK")+M183+O183),10)*(C183&lt;Dauer)</f>
        <v>8.4218374411999992</v>
      </c>
      <c r="R183" s="10" cm="1">
        <f t="array" ref="R183">ROUND(P183*getKurs($A183),2)</f>
        <v>83136.25</v>
      </c>
      <c r="S183" s="10" cm="1">
        <f t="array" ref="S183">ROUND(Q183*getKurs($A183),2)</f>
        <v>83396.490000000005</v>
      </c>
      <c r="T183" s="10">
        <f t="shared" si="30"/>
        <v>86736.25</v>
      </c>
      <c r="U183" s="10" cm="1">
        <f t="array" ref="U183">getParm(Tarifart,"StoSatz")*(Dauer-C183)*Beitrag*Zahlweise*(C183&lt;BZDauer)</f>
        <v>1152</v>
      </c>
      <c r="V183" s="10">
        <f t="shared" si="35"/>
        <v>82244.490000000005</v>
      </c>
    </row>
    <row r="184" spans="1:22" x14ac:dyDescent="0.45">
      <c r="A184" s="15">
        <f t="shared" si="36"/>
        <v>41852</v>
      </c>
      <c r="B184">
        <f t="shared" si="26"/>
        <v>175</v>
      </c>
      <c r="C184">
        <f t="shared" si="31"/>
        <v>14</v>
      </c>
      <c r="D184">
        <f t="shared" si="27"/>
        <v>7</v>
      </c>
      <c r="E184">
        <f t="shared" si="28"/>
        <v>1</v>
      </c>
      <c r="F184" s="10">
        <f t="shared" si="29"/>
        <v>300</v>
      </c>
      <c r="G184" s="10" cm="1">
        <f t="array" ref="G184">ROUND(getParm(Tarifart,"alpha")/(2*Zahlweise)*BeiSum*(C184&lt;2)*E184,2)</f>
        <v>0</v>
      </c>
      <c r="H184" s="10" cm="1">
        <f t="array" ref="H184">ROUND(F184*getParm(Tarifart,"beta")*E184,2)</f>
        <v>15</v>
      </c>
      <c r="I184" s="10" cm="1">
        <f t="array" ref="I184">ROUND(F184*get_Üb(YEAR(A184),$I$8)*E184,2)</f>
        <v>3.6</v>
      </c>
      <c r="J184" s="10">
        <f t="shared" si="32"/>
        <v>15</v>
      </c>
      <c r="K184" s="10">
        <f t="shared" si="33"/>
        <v>288.60000000000002</v>
      </c>
      <c r="L184" s="10" cm="1">
        <f t="array" ref="L184">ROUND(1/12*MAX(MTSum-R184-K184,MRSum)*Act_qx(x+C184,Geschlecht,getParm(Tarifart,"Tafel"),YEAR(GebDat),x+Dauer,1),2)</f>
        <v>1.23</v>
      </c>
      <c r="M184" s="10" cm="1">
        <f t="array" ref="M184">ROUND(L184*get_Üb(YEAR(A184),$M$8),2)</f>
        <v>0.06</v>
      </c>
      <c r="N184" s="10" cm="1">
        <f t="array" ref="N184">ROUND(R184*getParm(Tarifart,IF(C184&lt;BZDauer,"gamma1","gamma2")),2)</f>
        <v>31.03</v>
      </c>
      <c r="O184" s="10" cm="1">
        <f t="array" ref="O184">ROUND(R184*get_Üb(YEAR(A184),$O$8),2)</f>
        <v>7.76</v>
      </c>
      <c r="P184" s="19">
        <f t="shared" si="34"/>
        <v>8.4218374411999992</v>
      </c>
      <c r="Q184" s="19" cm="1">
        <f t="array" ref="Q184">ROUND(P184+1/getKurs(EDATE(A184,-1))*(K184-L184-N184-getParm(Tarifart,"StK")+M184+O184),10)*(C184&lt;Dauer)</f>
        <v>8.4484127900000008</v>
      </c>
      <c r="R184" s="10" cm="1">
        <f t="array" ref="R184">ROUND(P184*getKurs($A184),2)</f>
        <v>77565.8</v>
      </c>
      <c r="S184" s="10" cm="1">
        <f t="array" ref="S184">ROUND(Q184*getKurs($A184),2)</f>
        <v>77810.559999999998</v>
      </c>
      <c r="T184" s="10">
        <f t="shared" si="30"/>
        <v>81165.8</v>
      </c>
      <c r="U184" s="10" cm="1">
        <f t="array" ref="U184">getParm(Tarifart,"StoSatz")*(Dauer-C184)*Beitrag*Zahlweise*(C184&lt;BZDauer)</f>
        <v>1152</v>
      </c>
      <c r="V184" s="10">
        <f t="shared" si="35"/>
        <v>76658.559999999998</v>
      </c>
    </row>
    <row r="185" spans="1:22" x14ac:dyDescent="0.45">
      <c r="A185" s="15">
        <f t="shared" si="36"/>
        <v>41883</v>
      </c>
      <c r="B185">
        <f t="shared" si="26"/>
        <v>176</v>
      </c>
      <c r="C185">
        <f t="shared" si="31"/>
        <v>14</v>
      </c>
      <c r="D185">
        <f t="shared" si="27"/>
        <v>8</v>
      </c>
      <c r="E185">
        <f t="shared" si="28"/>
        <v>1</v>
      </c>
      <c r="F185" s="10">
        <f t="shared" si="29"/>
        <v>300</v>
      </c>
      <c r="G185" s="10" cm="1">
        <f t="array" ref="G185">ROUND(getParm(Tarifart,"alpha")/(2*Zahlweise)*BeiSum*(C185&lt;2)*E185,2)</f>
        <v>0</v>
      </c>
      <c r="H185" s="10" cm="1">
        <f t="array" ref="H185">ROUND(F185*getParm(Tarifart,"beta")*E185,2)</f>
        <v>15</v>
      </c>
      <c r="I185" s="10" cm="1">
        <f t="array" ref="I185">ROUND(F185*get_Üb(YEAR(A185),$I$8)*E185,2)</f>
        <v>3.6</v>
      </c>
      <c r="J185" s="10">
        <f t="shared" si="32"/>
        <v>15</v>
      </c>
      <c r="K185" s="10">
        <f t="shared" si="33"/>
        <v>288.60000000000002</v>
      </c>
      <c r="L185" s="10" cm="1">
        <f t="array" ref="L185">ROUND(1/12*MAX(MTSum-R185-K185,MRSum)*Act_qx(x+C185,Geschlecht,getParm(Tarifart,"Tafel"),YEAR(GebDat),x+Dauer,1),2)</f>
        <v>1.23</v>
      </c>
      <c r="M185" s="10" cm="1">
        <f t="array" ref="M185">ROUND(L185*get_Üb(YEAR(A185),$M$8),2)</f>
        <v>0.06</v>
      </c>
      <c r="N185" s="10" cm="1">
        <f t="array" ref="N185">ROUND(R185*getParm(Tarifart,IF(C185&lt;BZDauer,"gamma1","gamma2")),2)</f>
        <v>32.03</v>
      </c>
      <c r="O185" s="10" cm="1">
        <f t="array" ref="O185">ROUND(R185*get_Üb(YEAR(A185),$O$8),2)</f>
        <v>8.01</v>
      </c>
      <c r="P185" s="19">
        <f t="shared" si="34"/>
        <v>8.4484127900000008</v>
      </c>
      <c r="Q185" s="19" cm="1">
        <f t="array" ref="Q185">ROUND(P185+1/getKurs(EDATE(A185,-1))*(K185-L185-N185-getParm(Tarifart,"StK")+M185+O185),10)*(C185&lt;Dauer)</f>
        <v>8.4769043992000004</v>
      </c>
      <c r="R185" s="10" cm="1">
        <f t="array" ref="R185">ROUND(P185*getKurs($A185),2)</f>
        <v>80082.759999999995</v>
      </c>
      <c r="S185" s="10" cm="1">
        <f t="array" ref="S185">ROUND(Q185*getKurs($A185),2)</f>
        <v>80352.83</v>
      </c>
      <c r="T185" s="10">
        <f t="shared" si="30"/>
        <v>83682.759999999995</v>
      </c>
      <c r="U185" s="10" cm="1">
        <f t="array" ref="U185">getParm(Tarifart,"StoSatz")*(Dauer-C185)*Beitrag*Zahlweise*(C185&lt;BZDauer)</f>
        <v>1152</v>
      </c>
      <c r="V185" s="10">
        <f t="shared" si="35"/>
        <v>79200.83</v>
      </c>
    </row>
    <row r="186" spans="1:22" x14ac:dyDescent="0.45">
      <c r="A186" s="15">
        <f t="shared" si="36"/>
        <v>41913</v>
      </c>
      <c r="B186">
        <f t="shared" ref="B186:B249" si="37">B185+1</f>
        <v>177</v>
      </c>
      <c r="C186">
        <f t="shared" si="31"/>
        <v>14</v>
      </c>
      <c r="D186">
        <f t="shared" ref="D186:D249" si="38">MOD(B186,12)</f>
        <v>9</v>
      </c>
      <c r="E186">
        <f t="shared" si="28"/>
        <v>1</v>
      </c>
      <c r="F186" s="10">
        <f t="shared" si="29"/>
        <v>300</v>
      </c>
      <c r="G186" s="10" cm="1">
        <f t="array" ref="G186">ROUND(getParm(Tarifart,"alpha")/(2*Zahlweise)*BeiSum*(C186&lt;2)*E186,2)</f>
        <v>0</v>
      </c>
      <c r="H186" s="10" cm="1">
        <f t="array" ref="H186">ROUND(F186*getParm(Tarifart,"beta")*E186,2)</f>
        <v>15</v>
      </c>
      <c r="I186" s="10" cm="1">
        <f t="array" ref="I186">ROUND(F186*get_Üb(YEAR(A186),$I$8)*E186,2)</f>
        <v>3.6</v>
      </c>
      <c r="J186" s="10">
        <f t="shared" si="32"/>
        <v>15</v>
      </c>
      <c r="K186" s="10">
        <f t="shared" si="33"/>
        <v>288.60000000000002</v>
      </c>
      <c r="L186" s="10" cm="1">
        <f t="array" ref="L186">ROUND(1/12*MAX(MTSum-R186-K186,MRSum)*Act_qx(x+C186,Geschlecht,getParm(Tarifart,"Tafel"),YEAR(GebDat),x+Dauer,1),2)</f>
        <v>1.23</v>
      </c>
      <c r="M186" s="10" cm="1">
        <f t="array" ref="M186">ROUND(L186*get_Üb(YEAR(A186),$M$8),2)</f>
        <v>0.06</v>
      </c>
      <c r="N186" s="10" cm="1">
        <f t="array" ref="N186">ROUND(R186*getParm(Tarifart,IF(C186&lt;BZDauer,"gamma1","gamma2")),2)</f>
        <v>31.81</v>
      </c>
      <c r="O186" s="10" cm="1">
        <f t="array" ref="O186">ROUND(R186*get_Üb(YEAR(A186),$O$8),2)</f>
        <v>7.95</v>
      </c>
      <c r="P186" s="19">
        <f t="shared" si="34"/>
        <v>8.4769043992000004</v>
      </c>
      <c r="Q186" s="19" cm="1">
        <f t="array" ref="Q186">ROUND(P186+1/getKurs(EDATE(A186,-1))*(K186-L186-N186-getParm(Tarifart,"StK")+M186+O186),10)*(C186&lt;Dauer)</f>
        <v>8.5046044909000003</v>
      </c>
      <c r="R186" s="10" cm="1">
        <f t="array" ref="R186">ROUND(P186*getKurs($A186),2)</f>
        <v>79530.570000000007</v>
      </c>
      <c r="S186" s="10" cm="1">
        <f t="array" ref="S186">ROUND(Q186*getKurs($A186),2)</f>
        <v>79790.45</v>
      </c>
      <c r="T186" s="10">
        <f t="shared" si="30"/>
        <v>83130.570000000007</v>
      </c>
      <c r="U186" s="10" cm="1">
        <f t="array" ref="U186">getParm(Tarifart,"StoSatz")*(Dauer-C186)*Beitrag*Zahlweise*(C186&lt;BZDauer)</f>
        <v>1152</v>
      </c>
      <c r="V186" s="10">
        <f t="shared" si="35"/>
        <v>78638.45</v>
      </c>
    </row>
    <row r="187" spans="1:22" x14ac:dyDescent="0.45">
      <c r="A187" s="15">
        <f t="shared" si="36"/>
        <v>41944</v>
      </c>
      <c r="B187">
        <f t="shared" si="37"/>
        <v>178</v>
      </c>
      <c r="C187">
        <f t="shared" si="31"/>
        <v>14</v>
      </c>
      <c r="D187">
        <f t="shared" si="38"/>
        <v>10</v>
      </c>
      <c r="E187">
        <f t="shared" si="28"/>
        <v>1</v>
      </c>
      <c r="F187" s="10">
        <f t="shared" si="29"/>
        <v>300</v>
      </c>
      <c r="G187" s="10" cm="1">
        <f t="array" ref="G187">ROUND(getParm(Tarifart,"alpha")/(2*Zahlweise)*BeiSum*(C187&lt;2)*E187,2)</f>
        <v>0</v>
      </c>
      <c r="H187" s="10" cm="1">
        <f t="array" ref="H187">ROUND(F187*getParm(Tarifart,"beta")*E187,2)</f>
        <v>15</v>
      </c>
      <c r="I187" s="10" cm="1">
        <f t="array" ref="I187">ROUND(F187*get_Üb(YEAR(A187),$I$8)*E187,2)</f>
        <v>3.6</v>
      </c>
      <c r="J187" s="10">
        <f t="shared" si="32"/>
        <v>15</v>
      </c>
      <c r="K187" s="10">
        <f t="shared" si="33"/>
        <v>288.60000000000002</v>
      </c>
      <c r="L187" s="10" cm="1">
        <f t="array" ref="L187">ROUND(1/12*MAX(MTSum-R187-K187,MRSum)*Act_qx(x+C187,Geschlecht,getParm(Tarifart,"Tafel"),YEAR(GebDat),x+Dauer,1),2)</f>
        <v>1.23</v>
      </c>
      <c r="M187" s="10" cm="1">
        <f t="array" ref="M187">ROUND(L187*get_Üb(YEAR(A187),$M$8),2)</f>
        <v>0.06</v>
      </c>
      <c r="N187" s="10" cm="1">
        <f t="array" ref="N187">ROUND(R187*getParm(Tarifart,IF(C187&lt;BZDauer,"gamma1","gamma2")),2)</f>
        <v>31.47</v>
      </c>
      <c r="O187" s="10" cm="1">
        <f t="array" ref="O187">ROUND(R187*get_Üb(YEAR(A187),$O$8),2)</f>
        <v>7.87</v>
      </c>
      <c r="P187" s="19">
        <f t="shared" si="34"/>
        <v>8.5046044909000003</v>
      </c>
      <c r="Q187" s="19" cm="1">
        <f t="array" ref="Q187">ROUND(P187+1/getKurs(EDATE(A187,-1))*(K187-L187-N187-getParm(Tarifart,"StK")+M187+O187),10)*(C187&lt;Dauer)</f>
        <v>8.5326186839999991</v>
      </c>
      <c r="R187" s="10" cm="1">
        <f t="array" ref="R187">ROUND(P187*getKurs($A187),2)</f>
        <v>78682.05</v>
      </c>
      <c r="S187" s="10" cm="1">
        <f t="array" ref="S187">ROUND(Q187*getKurs($A187),2)</f>
        <v>78941.23</v>
      </c>
      <c r="T187" s="10">
        <f t="shared" si="30"/>
        <v>82282.05</v>
      </c>
      <c r="U187" s="10" cm="1">
        <f t="array" ref="U187">getParm(Tarifart,"StoSatz")*(Dauer-C187)*Beitrag*Zahlweise*(C187&lt;BZDauer)</f>
        <v>1152</v>
      </c>
      <c r="V187" s="10">
        <f t="shared" si="35"/>
        <v>77789.23</v>
      </c>
    </row>
    <row r="188" spans="1:22" x14ac:dyDescent="0.45">
      <c r="A188" s="15">
        <f t="shared" si="36"/>
        <v>41974</v>
      </c>
      <c r="B188">
        <f t="shared" si="37"/>
        <v>179</v>
      </c>
      <c r="C188">
        <f t="shared" si="31"/>
        <v>14</v>
      </c>
      <c r="D188">
        <f t="shared" si="38"/>
        <v>11</v>
      </c>
      <c r="E188">
        <f t="shared" si="28"/>
        <v>1</v>
      </c>
      <c r="F188" s="10">
        <f t="shared" si="29"/>
        <v>300</v>
      </c>
      <c r="G188" s="10" cm="1">
        <f t="array" ref="G188">ROUND(getParm(Tarifart,"alpha")/(2*Zahlweise)*BeiSum*(C188&lt;2)*E188,2)</f>
        <v>0</v>
      </c>
      <c r="H188" s="10" cm="1">
        <f t="array" ref="H188">ROUND(F188*getParm(Tarifart,"beta")*E188,2)</f>
        <v>15</v>
      </c>
      <c r="I188" s="10" cm="1">
        <f t="array" ref="I188">ROUND(F188*get_Üb(YEAR(A188),$I$8)*E188,2)</f>
        <v>3.6</v>
      </c>
      <c r="J188" s="10">
        <f t="shared" si="32"/>
        <v>15</v>
      </c>
      <c r="K188" s="10">
        <f t="shared" si="33"/>
        <v>288.60000000000002</v>
      </c>
      <c r="L188" s="10" cm="1">
        <f t="array" ref="L188">ROUND(1/12*MAX(MTSum-R188-K188,MRSum)*Act_qx(x+C188,Geschlecht,getParm(Tarifart,"Tafel"),YEAR(GebDat),x+Dauer,1),2)</f>
        <v>1.23</v>
      </c>
      <c r="M188" s="10" cm="1">
        <f t="array" ref="M188">ROUND(L188*get_Üb(YEAR(A188),$M$8),2)</f>
        <v>0.06</v>
      </c>
      <c r="N188" s="10" cm="1">
        <f t="array" ref="N188">ROUND(R188*getParm(Tarifart,IF(C188&lt;BZDauer,"gamma1","gamma2")),2)</f>
        <v>34.01</v>
      </c>
      <c r="O188" s="10" cm="1">
        <f t="array" ref="O188">ROUND(R188*get_Üb(YEAR(A188),$O$8),2)</f>
        <v>8.5</v>
      </c>
      <c r="P188" s="19">
        <f t="shared" si="34"/>
        <v>8.5326186839999991</v>
      </c>
      <c r="Q188" s="19" cm="1">
        <f t="array" ref="Q188">ROUND(P188+1/getKurs(EDATE(A188,-1))*(K188-L188-N188-getParm(Tarifart,"StK")+M188+O188),10)*(C188&lt;Dauer)</f>
        <v>8.5608210683999992</v>
      </c>
      <c r="R188" s="10" cm="1">
        <f t="array" ref="R188">ROUND(P188*getKurs($A188),2)</f>
        <v>85014.83</v>
      </c>
      <c r="S188" s="10" cm="1">
        <f t="array" ref="S188">ROUND(Q188*getKurs($A188),2)</f>
        <v>85295.83</v>
      </c>
      <c r="T188" s="10">
        <f t="shared" si="30"/>
        <v>88614.83</v>
      </c>
      <c r="U188" s="10" cm="1">
        <f t="array" ref="U188">getParm(Tarifart,"StoSatz")*(Dauer-C188)*Beitrag*Zahlweise*(C188&lt;BZDauer)</f>
        <v>1152</v>
      </c>
      <c r="V188" s="10">
        <f t="shared" si="35"/>
        <v>84143.83</v>
      </c>
    </row>
    <row r="189" spans="1:22" x14ac:dyDescent="0.45">
      <c r="A189" s="15">
        <f t="shared" si="36"/>
        <v>42005</v>
      </c>
      <c r="B189">
        <f t="shared" si="37"/>
        <v>180</v>
      </c>
      <c r="C189">
        <f t="shared" si="31"/>
        <v>15</v>
      </c>
      <c r="D189">
        <f t="shared" si="38"/>
        <v>0</v>
      </c>
      <c r="E189">
        <f t="shared" si="28"/>
        <v>1</v>
      </c>
      <c r="F189" s="10">
        <f t="shared" si="29"/>
        <v>300</v>
      </c>
      <c r="G189" s="10" cm="1">
        <f t="array" ref="G189">ROUND(getParm(Tarifart,"alpha")/(2*Zahlweise)*BeiSum*(C189&lt;2)*E189,2)</f>
        <v>0</v>
      </c>
      <c r="H189" s="10" cm="1">
        <f t="array" ref="H189">ROUND(F189*getParm(Tarifart,"beta")*E189,2)</f>
        <v>15</v>
      </c>
      <c r="I189" s="10" cm="1">
        <f t="array" ref="I189">ROUND(F189*get_Üb(YEAR(A189),$I$8)*E189,2)</f>
        <v>3.6</v>
      </c>
      <c r="J189" s="10">
        <f t="shared" si="32"/>
        <v>15</v>
      </c>
      <c r="K189" s="10">
        <f t="shared" si="33"/>
        <v>288.60000000000002</v>
      </c>
      <c r="L189" s="10" cm="1">
        <f t="array" ref="L189">ROUND(1/12*MAX(MTSum-R189-K189,MRSum)*Act_qx(x+C189,Geschlecht,getParm(Tarifart,"Tafel"),YEAR(GebDat),x+Dauer,1),2)</f>
        <v>1.36</v>
      </c>
      <c r="M189" s="10" cm="1">
        <f t="array" ref="M189">ROUND(L189*get_Üb(YEAR(A189),$M$8),2)</f>
        <v>7.0000000000000007E-2</v>
      </c>
      <c r="N189" s="10" cm="1">
        <f t="array" ref="N189">ROUND(R189*getParm(Tarifart,IF(C189&lt;BZDauer,"gamma1","gamma2")),2)</f>
        <v>33.44</v>
      </c>
      <c r="O189" s="10" cm="1">
        <f t="array" ref="O189">ROUND(R189*get_Üb(YEAR(A189),$O$8),2)</f>
        <v>8.36</v>
      </c>
      <c r="P189" s="19">
        <f t="shared" si="34"/>
        <v>8.5608210683999992</v>
      </c>
      <c r="Q189" s="19" cm="1">
        <f t="array" ref="Q189">ROUND(P189+1/getKurs(EDATE(A189,-1))*(K189-L189-N189-getParm(Tarifart,"StK")+M189+O189),10)*(C189&lt;Dauer)</f>
        <v>8.5870397402999998</v>
      </c>
      <c r="R189" s="10" cm="1">
        <f t="array" ref="R189">ROUND(P189*getKurs($A189),2)</f>
        <v>83594.11</v>
      </c>
      <c r="S189" s="10" cm="1">
        <f t="array" ref="S189">ROUND(Q189*getKurs($A189),2)</f>
        <v>83850.12</v>
      </c>
      <c r="T189" s="10">
        <f t="shared" si="30"/>
        <v>87194.11</v>
      </c>
      <c r="U189" s="10" cm="1">
        <f t="array" ref="U189">getParm(Tarifart,"StoSatz")*(Dauer-C189)*Beitrag*Zahlweise*(C189&lt;BZDauer)</f>
        <v>1080</v>
      </c>
      <c r="V189" s="10">
        <f t="shared" si="35"/>
        <v>82770.12</v>
      </c>
    </row>
    <row r="190" spans="1:22" x14ac:dyDescent="0.45">
      <c r="A190" s="15">
        <f t="shared" si="36"/>
        <v>42036</v>
      </c>
      <c r="B190">
        <f t="shared" si="37"/>
        <v>181</v>
      </c>
      <c r="C190">
        <f t="shared" si="31"/>
        <v>15</v>
      </c>
      <c r="D190">
        <f t="shared" si="38"/>
        <v>1</v>
      </c>
      <c r="E190">
        <f t="shared" si="28"/>
        <v>1</v>
      </c>
      <c r="F190" s="10">
        <f t="shared" si="29"/>
        <v>300</v>
      </c>
      <c r="G190" s="10" cm="1">
        <f t="array" ref="G190">ROUND(getParm(Tarifart,"alpha")/(2*Zahlweise)*BeiSum*(C190&lt;2)*E190,2)</f>
        <v>0</v>
      </c>
      <c r="H190" s="10" cm="1">
        <f t="array" ref="H190">ROUND(F190*getParm(Tarifart,"beta")*E190,2)</f>
        <v>15</v>
      </c>
      <c r="I190" s="10" cm="1">
        <f t="array" ref="I190">ROUND(F190*get_Üb(YEAR(A190),$I$8)*E190,2)</f>
        <v>3.6</v>
      </c>
      <c r="J190" s="10">
        <f t="shared" si="32"/>
        <v>15</v>
      </c>
      <c r="K190" s="10">
        <f t="shared" si="33"/>
        <v>288.60000000000002</v>
      </c>
      <c r="L190" s="10" cm="1">
        <f t="array" ref="L190">ROUND(1/12*MAX(MTSum-R190-K190,MRSum)*Act_qx(x+C190,Geschlecht,getParm(Tarifart,"Tafel"),YEAR(GebDat),x+Dauer,1),2)</f>
        <v>1.36</v>
      </c>
      <c r="M190" s="10" cm="1">
        <f t="array" ref="M190">ROUND(L190*get_Üb(YEAR(A190),$M$8),2)</f>
        <v>7.0000000000000007E-2</v>
      </c>
      <c r="N190" s="10" cm="1">
        <f t="array" ref="N190">ROUND(R190*getParm(Tarifart,IF(C190&lt;BZDauer,"gamma1","gamma2")),2)</f>
        <v>37.19</v>
      </c>
      <c r="O190" s="10" cm="1">
        <f t="array" ref="O190">ROUND(R190*get_Üb(YEAR(A190),$O$8),2)</f>
        <v>9.3000000000000007</v>
      </c>
      <c r="P190" s="19">
        <f t="shared" si="34"/>
        <v>8.5870397402999998</v>
      </c>
      <c r="Q190" s="19" cm="1">
        <f t="array" ref="Q190">ROUND(P190+1/getKurs(EDATE(A190,-1))*(K190-L190-N190-getParm(Tarifart,"StK")+M190+O190),10)*(C190&lt;Dauer)</f>
        <v>8.6135043736999997</v>
      </c>
      <c r="R190" s="10" cm="1">
        <f t="array" ref="R190">ROUND(P190*getKurs($A190),2)</f>
        <v>92980.55</v>
      </c>
      <c r="S190" s="10" cm="1">
        <f t="array" ref="S190">ROUND(Q190*getKurs($A190),2)</f>
        <v>93267.11</v>
      </c>
      <c r="T190" s="10">
        <f t="shared" si="30"/>
        <v>96580.55</v>
      </c>
      <c r="U190" s="10" cm="1">
        <f t="array" ref="U190">getParm(Tarifart,"StoSatz")*(Dauer-C190)*Beitrag*Zahlweise*(C190&lt;BZDauer)</f>
        <v>1080</v>
      </c>
      <c r="V190" s="10">
        <f t="shared" si="35"/>
        <v>92187.11</v>
      </c>
    </row>
    <row r="191" spans="1:22" x14ac:dyDescent="0.45">
      <c r="A191" s="15">
        <f t="shared" si="36"/>
        <v>42064</v>
      </c>
      <c r="B191">
        <f t="shared" si="37"/>
        <v>182</v>
      </c>
      <c r="C191">
        <f t="shared" si="31"/>
        <v>15</v>
      </c>
      <c r="D191">
        <f t="shared" si="38"/>
        <v>2</v>
      </c>
      <c r="E191">
        <f t="shared" si="28"/>
        <v>1</v>
      </c>
      <c r="F191" s="10">
        <f t="shared" si="29"/>
        <v>300</v>
      </c>
      <c r="G191" s="10" cm="1">
        <f t="array" ref="G191">ROUND(getParm(Tarifart,"alpha")/(2*Zahlweise)*BeiSum*(C191&lt;2)*E191,2)</f>
        <v>0</v>
      </c>
      <c r="H191" s="10" cm="1">
        <f t="array" ref="H191">ROUND(F191*getParm(Tarifart,"beta")*E191,2)</f>
        <v>15</v>
      </c>
      <c r="I191" s="10" cm="1">
        <f t="array" ref="I191">ROUND(F191*get_Üb(YEAR(A191),$I$8)*E191,2)</f>
        <v>3.6</v>
      </c>
      <c r="J191" s="10">
        <f t="shared" si="32"/>
        <v>15</v>
      </c>
      <c r="K191" s="10">
        <f t="shared" si="33"/>
        <v>288.60000000000002</v>
      </c>
      <c r="L191" s="10" cm="1">
        <f t="array" ref="L191">ROUND(1/12*MAX(MTSum-R191-K191,MRSum)*Act_qx(x+C191,Geschlecht,getParm(Tarifart,"Tafel"),YEAR(GebDat),x+Dauer,1),2)</f>
        <v>1.36</v>
      </c>
      <c r="M191" s="10" cm="1">
        <f t="array" ref="M191">ROUND(L191*get_Üb(YEAR(A191),$M$8),2)</f>
        <v>7.0000000000000007E-2</v>
      </c>
      <c r="N191" s="10" cm="1">
        <f t="array" ref="N191">ROUND(R191*getParm(Tarifart,IF(C191&lt;BZDauer,"gamma1","gamma2")),2)</f>
        <v>39.31</v>
      </c>
      <c r="O191" s="10" cm="1">
        <f t="array" ref="O191">ROUND(R191*get_Üb(YEAR(A191),$O$8),2)</f>
        <v>9.83</v>
      </c>
      <c r="P191" s="19">
        <f t="shared" si="34"/>
        <v>8.6135043736999997</v>
      </c>
      <c r="Q191" s="19" cm="1">
        <f t="array" ref="Q191">ROUND(P191+1/getKurs(EDATE(A191,-1))*(K191-L191-N191-getParm(Tarifart,"StK")+M191+O191),10)*(C191&lt;Dauer)</f>
        <v>8.6372234134999992</v>
      </c>
      <c r="R191" s="10" cm="1">
        <f t="array" ref="R191">ROUND(P191*getKurs($A191),2)</f>
        <v>98283.19</v>
      </c>
      <c r="S191" s="10" cm="1">
        <f t="array" ref="S191">ROUND(Q191*getKurs($A191),2)</f>
        <v>98553.83</v>
      </c>
      <c r="T191" s="10">
        <f t="shared" si="30"/>
        <v>101883.19</v>
      </c>
      <c r="U191" s="10" cm="1">
        <f t="array" ref="U191">getParm(Tarifart,"StoSatz")*(Dauer-C191)*Beitrag*Zahlweise*(C191&lt;BZDauer)</f>
        <v>1080</v>
      </c>
      <c r="V191" s="10">
        <f t="shared" si="35"/>
        <v>97473.83</v>
      </c>
    </row>
    <row r="192" spans="1:22" x14ac:dyDescent="0.45">
      <c r="A192" s="15">
        <f t="shared" si="36"/>
        <v>42095</v>
      </c>
      <c r="B192">
        <f t="shared" si="37"/>
        <v>183</v>
      </c>
      <c r="C192">
        <f t="shared" si="31"/>
        <v>15</v>
      </c>
      <c r="D192">
        <f t="shared" si="38"/>
        <v>3</v>
      </c>
      <c r="E192">
        <f t="shared" si="28"/>
        <v>1</v>
      </c>
      <c r="F192" s="10">
        <f t="shared" si="29"/>
        <v>300</v>
      </c>
      <c r="G192" s="10" cm="1">
        <f t="array" ref="G192">ROUND(getParm(Tarifart,"alpha")/(2*Zahlweise)*BeiSum*(C192&lt;2)*E192,2)</f>
        <v>0</v>
      </c>
      <c r="H192" s="10" cm="1">
        <f t="array" ref="H192">ROUND(F192*getParm(Tarifart,"beta")*E192,2)</f>
        <v>15</v>
      </c>
      <c r="I192" s="10" cm="1">
        <f t="array" ref="I192">ROUND(F192*get_Üb(YEAR(A192),$I$8)*E192,2)</f>
        <v>3.6</v>
      </c>
      <c r="J192" s="10">
        <f t="shared" si="32"/>
        <v>15</v>
      </c>
      <c r="K192" s="10">
        <f t="shared" si="33"/>
        <v>288.60000000000002</v>
      </c>
      <c r="L192" s="10" cm="1">
        <f t="array" ref="L192">ROUND(1/12*MAX(MTSum-R192-K192,MRSum)*Act_qx(x+C192,Geschlecht,getParm(Tarifart,"Tafel"),YEAR(GebDat),x+Dauer,1),2)</f>
        <v>1.36</v>
      </c>
      <c r="M192" s="10" cm="1">
        <f t="array" ref="M192">ROUND(L192*get_Üb(YEAR(A192),$M$8),2)</f>
        <v>7.0000000000000007E-2</v>
      </c>
      <c r="N192" s="10" cm="1">
        <f t="array" ref="N192">ROUND(R192*getParm(Tarifart,IF(C192&lt;BZDauer,"gamma1","gamma2")),2)</f>
        <v>41.46</v>
      </c>
      <c r="O192" s="10" cm="1">
        <f t="array" ref="O192">ROUND(R192*get_Üb(YEAR(A192),$O$8),2)</f>
        <v>10.37</v>
      </c>
      <c r="P192" s="19">
        <f t="shared" si="34"/>
        <v>8.6372234134999992</v>
      </c>
      <c r="Q192" s="19" cm="1">
        <f t="array" ref="Q192">ROUND(P192+1/getKurs(EDATE(A192,-1))*(K192-L192-N192-getParm(Tarifart,"StK")+M192+O192),10)*(C192&lt;Dauer)</f>
        <v>8.6595908059000006</v>
      </c>
      <c r="R192" s="10" cm="1">
        <f t="array" ref="R192">ROUND(P192*getKurs($A192),2)</f>
        <v>103658.6</v>
      </c>
      <c r="S192" s="10" cm="1">
        <f t="array" ref="S192">ROUND(Q192*getKurs($A192),2)</f>
        <v>103927.03999999999</v>
      </c>
      <c r="T192" s="10">
        <f t="shared" si="30"/>
        <v>107258.6</v>
      </c>
      <c r="U192" s="10" cm="1">
        <f t="array" ref="U192">getParm(Tarifart,"StoSatz")*(Dauer-C192)*Beitrag*Zahlweise*(C192&lt;BZDauer)</f>
        <v>1080</v>
      </c>
      <c r="V192" s="10">
        <f t="shared" si="35"/>
        <v>102847.03999999999</v>
      </c>
    </row>
    <row r="193" spans="1:22" x14ac:dyDescent="0.45">
      <c r="A193" s="15">
        <f t="shared" si="36"/>
        <v>42125</v>
      </c>
      <c r="B193">
        <f t="shared" si="37"/>
        <v>184</v>
      </c>
      <c r="C193">
        <f t="shared" si="31"/>
        <v>15</v>
      </c>
      <c r="D193">
        <f t="shared" si="38"/>
        <v>4</v>
      </c>
      <c r="E193">
        <f t="shared" si="28"/>
        <v>1</v>
      </c>
      <c r="F193" s="10">
        <f t="shared" si="29"/>
        <v>300</v>
      </c>
      <c r="G193" s="10" cm="1">
        <f t="array" ref="G193">ROUND(getParm(Tarifart,"alpha")/(2*Zahlweise)*BeiSum*(C193&lt;2)*E193,2)</f>
        <v>0</v>
      </c>
      <c r="H193" s="10" cm="1">
        <f t="array" ref="H193">ROUND(F193*getParm(Tarifart,"beta")*E193,2)</f>
        <v>15</v>
      </c>
      <c r="I193" s="10" cm="1">
        <f t="array" ref="I193">ROUND(F193*get_Üb(YEAR(A193),$I$8)*E193,2)</f>
        <v>3.6</v>
      </c>
      <c r="J193" s="10">
        <f t="shared" si="32"/>
        <v>15</v>
      </c>
      <c r="K193" s="10">
        <f t="shared" si="33"/>
        <v>288.60000000000002</v>
      </c>
      <c r="L193" s="10" cm="1">
        <f t="array" ref="L193">ROUND(1/12*MAX(MTSum-R193-K193,MRSum)*Act_qx(x+C193,Geschlecht,getParm(Tarifart,"Tafel"),YEAR(GebDat),x+Dauer,1),2)</f>
        <v>1.36</v>
      </c>
      <c r="M193" s="10" cm="1">
        <f t="array" ref="M193">ROUND(L193*get_Üb(YEAR(A193),$M$8),2)</f>
        <v>7.0000000000000007E-2</v>
      </c>
      <c r="N193" s="10" cm="1">
        <f t="array" ref="N193">ROUND(R193*getParm(Tarifart,IF(C193&lt;BZDauer,"gamma1","gamma2")),2)</f>
        <v>40.25</v>
      </c>
      <c r="O193" s="10" cm="1">
        <f t="array" ref="O193">ROUND(R193*get_Üb(YEAR(A193),$O$8),2)</f>
        <v>10.06</v>
      </c>
      <c r="P193" s="19">
        <f t="shared" si="34"/>
        <v>8.6595908059000006</v>
      </c>
      <c r="Q193" s="19" cm="1">
        <f t="array" ref="Q193">ROUND(P193+1/getKurs(EDATE(A193,-1))*(K193-L193-N193-getParm(Tarifart,"StK")+M193+O193),10)*(C193&lt;Dauer)</f>
        <v>8.6809316849999991</v>
      </c>
      <c r="R193" s="10" cm="1">
        <f t="array" ref="R193">ROUND(P193*getKurs($A193),2)</f>
        <v>100623.15</v>
      </c>
      <c r="S193" s="10" cm="1">
        <f t="array" ref="S193">ROUND(Q193*getKurs($A193),2)</f>
        <v>100871.12</v>
      </c>
      <c r="T193" s="10">
        <f t="shared" si="30"/>
        <v>104223.15</v>
      </c>
      <c r="U193" s="10" cm="1">
        <f t="array" ref="U193">getParm(Tarifart,"StoSatz")*(Dauer-C193)*Beitrag*Zahlweise*(C193&lt;BZDauer)</f>
        <v>1080</v>
      </c>
      <c r="V193" s="10">
        <f t="shared" si="35"/>
        <v>99791.12</v>
      </c>
    </row>
    <row r="194" spans="1:22" x14ac:dyDescent="0.45">
      <c r="A194" s="15">
        <f t="shared" si="36"/>
        <v>42156</v>
      </c>
      <c r="B194">
        <f t="shared" si="37"/>
        <v>185</v>
      </c>
      <c r="C194">
        <f t="shared" si="31"/>
        <v>15</v>
      </c>
      <c r="D194">
        <f t="shared" si="38"/>
        <v>5</v>
      </c>
      <c r="E194">
        <f t="shared" si="28"/>
        <v>1</v>
      </c>
      <c r="F194" s="10">
        <f t="shared" si="29"/>
        <v>300</v>
      </c>
      <c r="G194" s="10" cm="1">
        <f t="array" ref="G194">ROUND(getParm(Tarifart,"alpha")/(2*Zahlweise)*BeiSum*(C194&lt;2)*E194,2)</f>
        <v>0</v>
      </c>
      <c r="H194" s="10" cm="1">
        <f t="array" ref="H194">ROUND(F194*getParm(Tarifart,"beta")*E194,2)</f>
        <v>15</v>
      </c>
      <c r="I194" s="10" cm="1">
        <f t="array" ref="I194">ROUND(F194*get_Üb(YEAR(A194),$I$8)*E194,2)</f>
        <v>3.6</v>
      </c>
      <c r="J194" s="10">
        <f t="shared" si="32"/>
        <v>15</v>
      </c>
      <c r="K194" s="10">
        <f t="shared" si="33"/>
        <v>288.60000000000002</v>
      </c>
      <c r="L194" s="10" cm="1">
        <f t="array" ref="L194">ROUND(1/12*MAX(MTSum-R194-K194,MRSum)*Act_qx(x+C194,Geschlecht,getParm(Tarifart,"Tafel"),YEAR(GebDat),x+Dauer,1),2)</f>
        <v>1.36</v>
      </c>
      <c r="M194" s="10" cm="1">
        <f t="array" ref="M194">ROUND(L194*get_Üb(YEAR(A194),$M$8),2)</f>
        <v>7.0000000000000007E-2</v>
      </c>
      <c r="N194" s="10" cm="1">
        <f t="array" ref="N194">ROUND(R194*getParm(Tarifart,IF(C194&lt;BZDauer,"gamma1","gamma2")),2)</f>
        <v>39.71</v>
      </c>
      <c r="O194" s="10" cm="1">
        <f t="array" ref="O194">ROUND(R194*get_Üb(YEAR(A194),$O$8),2)</f>
        <v>9.93</v>
      </c>
      <c r="P194" s="19">
        <f t="shared" si="34"/>
        <v>8.6809316849999991</v>
      </c>
      <c r="Q194" s="19" cm="1">
        <f t="array" ref="Q194">ROUND(P194+1/getKurs(EDATE(A194,-1))*(K194-L194-N194-getParm(Tarifart,"StK")+M194+O194),10)*(C194&lt;Dauer)</f>
        <v>8.7030085621000008</v>
      </c>
      <c r="R194" s="10" cm="1">
        <f t="array" ref="R194">ROUND(P194*getKurs($A194),2)</f>
        <v>99275.57</v>
      </c>
      <c r="S194" s="10" cm="1">
        <f t="array" ref="S194">ROUND(Q194*getKurs($A194),2)</f>
        <v>99528.04</v>
      </c>
      <c r="T194" s="10">
        <f t="shared" si="30"/>
        <v>102875.57</v>
      </c>
      <c r="U194" s="10" cm="1">
        <f t="array" ref="U194">getParm(Tarifart,"StoSatz")*(Dauer-C194)*Beitrag*Zahlweise*(C194&lt;BZDauer)</f>
        <v>1080</v>
      </c>
      <c r="V194" s="10">
        <f t="shared" si="35"/>
        <v>98448.04</v>
      </c>
    </row>
    <row r="195" spans="1:22" x14ac:dyDescent="0.45">
      <c r="A195" s="15">
        <f t="shared" si="36"/>
        <v>42186</v>
      </c>
      <c r="B195">
        <f t="shared" si="37"/>
        <v>186</v>
      </c>
      <c r="C195">
        <f t="shared" si="31"/>
        <v>15</v>
      </c>
      <c r="D195">
        <f t="shared" si="38"/>
        <v>6</v>
      </c>
      <c r="E195">
        <f t="shared" si="28"/>
        <v>1</v>
      </c>
      <c r="F195" s="10">
        <f t="shared" si="29"/>
        <v>300</v>
      </c>
      <c r="G195" s="10" cm="1">
        <f t="array" ref="G195">ROUND(getParm(Tarifart,"alpha")/(2*Zahlweise)*BeiSum*(C195&lt;2)*E195,2)</f>
        <v>0</v>
      </c>
      <c r="H195" s="10" cm="1">
        <f t="array" ref="H195">ROUND(F195*getParm(Tarifart,"beta")*E195,2)</f>
        <v>15</v>
      </c>
      <c r="I195" s="10" cm="1">
        <f t="array" ref="I195">ROUND(F195*get_Üb(YEAR(A195),$I$8)*E195,2)</f>
        <v>3.6</v>
      </c>
      <c r="J195" s="10">
        <f t="shared" si="32"/>
        <v>15</v>
      </c>
      <c r="K195" s="10">
        <f t="shared" si="33"/>
        <v>288.60000000000002</v>
      </c>
      <c r="L195" s="10" cm="1">
        <f t="array" ref="L195">ROUND(1/12*MAX(MTSum-R195-K195,MRSum)*Act_qx(x+C195,Geschlecht,getParm(Tarifart,"Tafel"),YEAR(GebDat),x+Dauer,1),2)</f>
        <v>1.36</v>
      </c>
      <c r="M195" s="10" cm="1">
        <f t="array" ref="M195">ROUND(L195*get_Üb(YEAR(A195),$M$8),2)</f>
        <v>7.0000000000000007E-2</v>
      </c>
      <c r="N195" s="10" cm="1">
        <f t="array" ref="N195">ROUND(R195*getParm(Tarifart,IF(C195&lt;BZDauer,"gamma1","gamma2")),2)</f>
        <v>38.92</v>
      </c>
      <c r="O195" s="10" cm="1">
        <f t="array" ref="O195">ROUND(R195*get_Üb(YEAR(A195),$O$8),2)</f>
        <v>9.73</v>
      </c>
      <c r="P195" s="19">
        <f t="shared" si="34"/>
        <v>8.7030085621000008</v>
      </c>
      <c r="Q195" s="19" cm="1">
        <f t="array" ref="Q195">ROUND(P195+1/getKurs(EDATE(A195,-1))*(K195-L195-N195-getParm(Tarifart,"StK")+M195+O195),10)*(C195&lt;Dauer)</f>
        <v>8.7254918495999991</v>
      </c>
      <c r="R195" s="10" cm="1">
        <f t="array" ref="R195">ROUND(P195*getKurs($A195),2)</f>
        <v>97303.99</v>
      </c>
      <c r="S195" s="10" cm="1">
        <f t="array" ref="S195">ROUND(Q195*getKurs($A195),2)</f>
        <v>97555.36</v>
      </c>
      <c r="T195" s="10">
        <f t="shared" si="30"/>
        <v>100903.99</v>
      </c>
      <c r="U195" s="10" cm="1">
        <f t="array" ref="U195">getParm(Tarifart,"StoSatz")*(Dauer-C195)*Beitrag*Zahlweise*(C195&lt;BZDauer)</f>
        <v>1080</v>
      </c>
      <c r="V195" s="10">
        <f t="shared" si="35"/>
        <v>96475.36</v>
      </c>
    </row>
    <row r="196" spans="1:22" x14ac:dyDescent="0.45">
      <c r="A196" s="15">
        <f t="shared" si="36"/>
        <v>42217</v>
      </c>
      <c r="B196">
        <f t="shared" si="37"/>
        <v>187</v>
      </c>
      <c r="C196">
        <f t="shared" si="31"/>
        <v>15</v>
      </c>
      <c r="D196">
        <f t="shared" si="38"/>
        <v>7</v>
      </c>
      <c r="E196">
        <f t="shared" si="28"/>
        <v>1</v>
      </c>
      <c r="F196" s="10">
        <f t="shared" si="29"/>
        <v>300</v>
      </c>
      <c r="G196" s="10" cm="1">
        <f t="array" ref="G196">ROUND(getParm(Tarifart,"alpha")/(2*Zahlweise)*BeiSum*(C196&lt;2)*E196,2)</f>
        <v>0</v>
      </c>
      <c r="H196" s="10" cm="1">
        <f t="array" ref="H196">ROUND(F196*getParm(Tarifart,"beta")*E196,2)</f>
        <v>15</v>
      </c>
      <c r="I196" s="10" cm="1">
        <f t="array" ref="I196">ROUND(F196*get_Üb(YEAR(A196),$I$8)*E196,2)</f>
        <v>3.6</v>
      </c>
      <c r="J196" s="10">
        <f t="shared" si="32"/>
        <v>15</v>
      </c>
      <c r="K196" s="10">
        <f t="shared" si="33"/>
        <v>288.60000000000002</v>
      </c>
      <c r="L196" s="10" cm="1">
        <f t="array" ref="L196">ROUND(1/12*MAX(MTSum-R196-K196,MRSum)*Act_qx(x+C196,Geschlecht,getParm(Tarifart,"Tafel"),YEAR(GebDat),x+Dauer,1),2)</f>
        <v>1.36</v>
      </c>
      <c r="M196" s="10" cm="1">
        <f t="array" ref="M196">ROUND(L196*get_Üb(YEAR(A196),$M$8),2)</f>
        <v>7.0000000000000007E-2</v>
      </c>
      <c r="N196" s="10" cm="1">
        <f t="array" ref="N196">ROUND(R196*getParm(Tarifart,IF(C196&lt;BZDauer,"gamma1","gamma2")),2)</f>
        <v>39.94</v>
      </c>
      <c r="O196" s="10" cm="1">
        <f t="array" ref="O196">ROUND(R196*get_Üb(YEAR(A196),$O$8),2)</f>
        <v>9.99</v>
      </c>
      <c r="P196" s="19">
        <f t="shared" si="34"/>
        <v>8.7254918495999991</v>
      </c>
      <c r="Q196" s="19" cm="1">
        <f t="array" ref="Q196">ROUND(P196+1/getKurs(EDATE(A196,-1))*(K196-L196-N196-getParm(Tarifart,"StK")+M196+O196),10)*(C196&lt;Dauer)</f>
        <v>8.7484210566999998</v>
      </c>
      <c r="R196" s="10" cm="1">
        <f t="array" ref="R196">ROUND(P196*getKurs($A196),2)</f>
        <v>99852.09</v>
      </c>
      <c r="S196" s="10" cm="1">
        <f t="array" ref="S196">ROUND(Q196*getKurs($A196),2)</f>
        <v>100114.48</v>
      </c>
      <c r="T196" s="10">
        <f t="shared" si="30"/>
        <v>103452.09</v>
      </c>
      <c r="U196" s="10" cm="1">
        <f t="array" ref="U196">getParm(Tarifart,"StoSatz")*(Dauer-C196)*Beitrag*Zahlweise*(C196&lt;BZDauer)</f>
        <v>1080</v>
      </c>
      <c r="V196" s="10">
        <f t="shared" si="35"/>
        <v>99034.48</v>
      </c>
    </row>
    <row r="197" spans="1:22" x14ac:dyDescent="0.45">
      <c r="A197" s="15">
        <f t="shared" si="36"/>
        <v>42248</v>
      </c>
      <c r="B197">
        <f t="shared" si="37"/>
        <v>188</v>
      </c>
      <c r="C197">
        <f t="shared" si="31"/>
        <v>15</v>
      </c>
      <c r="D197">
        <f t="shared" si="38"/>
        <v>8</v>
      </c>
      <c r="E197">
        <f t="shared" si="28"/>
        <v>1</v>
      </c>
      <c r="F197" s="10">
        <f t="shared" si="29"/>
        <v>300</v>
      </c>
      <c r="G197" s="10" cm="1">
        <f t="array" ref="G197">ROUND(getParm(Tarifart,"alpha")/(2*Zahlweise)*BeiSum*(C197&lt;2)*E197,2)</f>
        <v>0</v>
      </c>
      <c r="H197" s="10" cm="1">
        <f t="array" ref="H197">ROUND(F197*getParm(Tarifart,"beta")*E197,2)</f>
        <v>15</v>
      </c>
      <c r="I197" s="10" cm="1">
        <f t="array" ref="I197">ROUND(F197*get_Üb(YEAR(A197),$I$8)*E197,2)</f>
        <v>3.6</v>
      </c>
      <c r="J197" s="10">
        <f t="shared" si="32"/>
        <v>15</v>
      </c>
      <c r="K197" s="10">
        <f t="shared" si="33"/>
        <v>288.60000000000002</v>
      </c>
      <c r="L197" s="10" cm="1">
        <f t="array" ref="L197">ROUND(1/12*MAX(MTSum-R197-K197,MRSum)*Act_qx(x+C197,Geschlecht,getParm(Tarifart,"Tafel"),YEAR(GebDat),x+Dauer,1),2)</f>
        <v>1.36</v>
      </c>
      <c r="M197" s="10" cm="1">
        <f t="array" ref="M197">ROUND(L197*get_Üb(YEAR(A197),$M$8),2)</f>
        <v>7.0000000000000007E-2</v>
      </c>
      <c r="N197" s="10" cm="1">
        <f t="array" ref="N197">ROUND(R197*getParm(Tarifart,IF(C197&lt;BZDauer,"gamma1","gamma2")),2)</f>
        <v>35.049999999999997</v>
      </c>
      <c r="O197" s="10" cm="1">
        <f t="array" ref="O197">ROUND(R197*get_Üb(YEAR(A197),$O$8),2)</f>
        <v>8.76</v>
      </c>
      <c r="P197" s="19">
        <f t="shared" si="34"/>
        <v>8.7484210566999998</v>
      </c>
      <c r="Q197" s="19" cm="1">
        <f t="array" ref="Q197">ROUND(P197+1/getKurs(EDATE(A197,-1))*(K197-L197-N197-getParm(Tarifart,"StK")+M197+O197),10)*(C197&lt;Dauer)</f>
        <v>8.7711426891999995</v>
      </c>
      <c r="R197" s="10" cm="1">
        <f t="array" ref="R197">ROUND(P197*getKurs($A197),2)</f>
        <v>87620.42</v>
      </c>
      <c r="S197" s="10" cm="1">
        <f t="array" ref="S197">ROUND(Q197*getKurs($A197),2)</f>
        <v>87847.99</v>
      </c>
      <c r="T197" s="10">
        <f t="shared" si="30"/>
        <v>91220.42</v>
      </c>
      <c r="U197" s="10" cm="1">
        <f t="array" ref="U197">getParm(Tarifart,"StoSatz")*(Dauer-C197)*Beitrag*Zahlweise*(C197&lt;BZDauer)</f>
        <v>1080</v>
      </c>
      <c r="V197" s="10">
        <f t="shared" si="35"/>
        <v>86767.99</v>
      </c>
    </row>
    <row r="198" spans="1:22" x14ac:dyDescent="0.45">
      <c r="A198" s="15">
        <f t="shared" si="36"/>
        <v>42278</v>
      </c>
      <c r="B198">
        <f t="shared" si="37"/>
        <v>189</v>
      </c>
      <c r="C198">
        <f t="shared" si="31"/>
        <v>15</v>
      </c>
      <c r="D198">
        <f t="shared" si="38"/>
        <v>9</v>
      </c>
      <c r="E198">
        <f t="shared" si="28"/>
        <v>1</v>
      </c>
      <c r="F198" s="10">
        <f t="shared" si="29"/>
        <v>300</v>
      </c>
      <c r="G198" s="10" cm="1">
        <f t="array" ref="G198">ROUND(getParm(Tarifart,"alpha")/(2*Zahlweise)*BeiSum*(C198&lt;2)*E198,2)</f>
        <v>0</v>
      </c>
      <c r="H198" s="10" cm="1">
        <f t="array" ref="H198">ROUND(F198*getParm(Tarifart,"beta")*E198,2)</f>
        <v>15</v>
      </c>
      <c r="I198" s="10" cm="1">
        <f t="array" ref="I198">ROUND(F198*get_Üb(YEAR(A198),$I$8)*E198,2)</f>
        <v>3.6</v>
      </c>
      <c r="J198" s="10">
        <f t="shared" si="32"/>
        <v>15</v>
      </c>
      <c r="K198" s="10">
        <f t="shared" si="33"/>
        <v>288.60000000000002</v>
      </c>
      <c r="L198" s="10" cm="1">
        <f t="array" ref="L198">ROUND(1/12*MAX(MTSum-R198-K198,MRSum)*Act_qx(x+C198,Geschlecht,getParm(Tarifart,"Tafel"),YEAR(GebDat),x+Dauer,1),2)</f>
        <v>1.36</v>
      </c>
      <c r="M198" s="10" cm="1">
        <f t="array" ref="M198">ROUND(L198*get_Üb(YEAR(A198),$M$8),2)</f>
        <v>7.0000000000000007E-2</v>
      </c>
      <c r="N198" s="10" cm="1">
        <f t="array" ref="N198">ROUND(R198*getParm(Tarifart,IF(C198&lt;BZDauer,"gamma1","gamma2")),2)</f>
        <v>33.36</v>
      </c>
      <c r="O198" s="10" cm="1">
        <f t="array" ref="O198">ROUND(R198*get_Üb(YEAR(A198),$O$8),2)</f>
        <v>8.34</v>
      </c>
      <c r="P198" s="19">
        <f t="shared" si="34"/>
        <v>8.7711426891999995</v>
      </c>
      <c r="Q198" s="19" cm="1">
        <f t="array" ref="Q198">ROUND(P198+1/getKurs(EDATE(A198,-1))*(K198-L198-N198-getParm(Tarifart,"StK")+M198+O198),10)*(C198&lt;Dauer)</f>
        <v>8.7972310696000005</v>
      </c>
      <c r="R198" s="10" cm="1">
        <f t="array" ref="R198">ROUND(P198*getKurs($A198),2)</f>
        <v>83406.990000000005</v>
      </c>
      <c r="S198" s="10" cm="1">
        <f t="array" ref="S198">ROUND(Q198*getKurs($A198),2)</f>
        <v>83655.070000000007</v>
      </c>
      <c r="T198" s="10">
        <f t="shared" si="30"/>
        <v>87006.99</v>
      </c>
      <c r="U198" s="10" cm="1">
        <f t="array" ref="U198">getParm(Tarifart,"StoSatz")*(Dauer-C198)*Beitrag*Zahlweise*(C198&lt;BZDauer)</f>
        <v>1080</v>
      </c>
      <c r="V198" s="10">
        <f t="shared" si="35"/>
        <v>82575.070000000007</v>
      </c>
    </row>
    <row r="199" spans="1:22" x14ac:dyDescent="0.45">
      <c r="A199" s="15">
        <f t="shared" si="36"/>
        <v>42309</v>
      </c>
      <c r="B199">
        <f t="shared" si="37"/>
        <v>190</v>
      </c>
      <c r="C199">
        <f t="shared" si="31"/>
        <v>15</v>
      </c>
      <c r="D199">
        <f t="shared" si="38"/>
        <v>10</v>
      </c>
      <c r="E199">
        <f t="shared" si="28"/>
        <v>1</v>
      </c>
      <c r="F199" s="10">
        <f t="shared" si="29"/>
        <v>300</v>
      </c>
      <c r="G199" s="10" cm="1">
        <f t="array" ref="G199">ROUND(getParm(Tarifart,"alpha")/(2*Zahlweise)*BeiSum*(C199&lt;2)*E199,2)</f>
        <v>0</v>
      </c>
      <c r="H199" s="10" cm="1">
        <f t="array" ref="H199">ROUND(F199*getParm(Tarifart,"beta")*E199,2)</f>
        <v>15</v>
      </c>
      <c r="I199" s="10" cm="1">
        <f t="array" ref="I199">ROUND(F199*get_Üb(YEAR(A199),$I$8)*E199,2)</f>
        <v>3.6</v>
      </c>
      <c r="J199" s="10">
        <f t="shared" si="32"/>
        <v>15</v>
      </c>
      <c r="K199" s="10">
        <f t="shared" si="33"/>
        <v>288.60000000000002</v>
      </c>
      <c r="L199" s="10" cm="1">
        <f t="array" ref="L199">ROUND(1/12*MAX(MTSum-R199-K199,MRSum)*Act_qx(x+C199,Geschlecht,getParm(Tarifart,"Tafel"),YEAR(GebDat),x+Dauer,1),2)</f>
        <v>1.36</v>
      </c>
      <c r="M199" s="10" cm="1">
        <f t="array" ref="M199">ROUND(L199*get_Üb(YEAR(A199),$M$8),2)</f>
        <v>7.0000000000000007E-2</v>
      </c>
      <c r="N199" s="10" cm="1">
        <f t="array" ref="N199">ROUND(R199*getParm(Tarifart,IF(C199&lt;BZDauer,"gamma1","gamma2")),2)</f>
        <v>38.53</v>
      </c>
      <c r="O199" s="10" cm="1">
        <f t="array" ref="O199">ROUND(R199*get_Üb(YEAR(A199),$O$8),2)</f>
        <v>9.6300000000000008</v>
      </c>
      <c r="P199" s="19">
        <f t="shared" si="34"/>
        <v>8.7972310696000005</v>
      </c>
      <c r="Q199" s="19" cm="1">
        <f t="array" ref="Q199">ROUND(P199+1/getKurs(EDATE(A199,-1))*(K199-L199-N199-getParm(Tarifart,"StK")+M199+O199),10)*(C199&lt;Dauer)</f>
        <v>8.8243005019999998</v>
      </c>
      <c r="R199" s="10" cm="1">
        <f t="array" ref="R199">ROUND(P199*getKurs($A199),2)</f>
        <v>96335.57</v>
      </c>
      <c r="S199" s="10" cm="1">
        <f t="array" ref="S199">ROUND(Q199*getKurs($A199),2)</f>
        <v>96632</v>
      </c>
      <c r="T199" s="10">
        <f t="shared" si="30"/>
        <v>99935.57</v>
      </c>
      <c r="U199" s="10" cm="1">
        <f t="array" ref="U199">getParm(Tarifart,"StoSatz")*(Dauer-C199)*Beitrag*Zahlweise*(C199&lt;BZDauer)</f>
        <v>1080</v>
      </c>
      <c r="V199" s="10">
        <f t="shared" si="35"/>
        <v>95552</v>
      </c>
    </row>
    <row r="200" spans="1:22" x14ac:dyDescent="0.45">
      <c r="A200" s="15">
        <f t="shared" si="36"/>
        <v>42339</v>
      </c>
      <c r="B200">
        <f t="shared" si="37"/>
        <v>191</v>
      </c>
      <c r="C200">
        <f t="shared" si="31"/>
        <v>15</v>
      </c>
      <c r="D200">
        <f t="shared" si="38"/>
        <v>11</v>
      </c>
      <c r="E200">
        <f t="shared" si="28"/>
        <v>1</v>
      </c>
      <c r="F200" s="10">
        <f t="shared" si="29"/>
        <v>300</v>
      </c>
      <c r="G200" s="10" cm="1">
        <f t="array" ref="G200">ROUND(getParm(Tarifart,"alpha")/(2*Zahlweise)*BeiSum*(C200&lt;2)*E200,2)</f>
        <v>0</v>
      </c>
      <c r="H200" s="10" cm="1">
        <f t="array" ref="H200">ROUND(F200*getParm(Tarifart,"beta")*E200,2)</f>
        <v>15</v>
      </c>
      <c r="I200" s="10" cm="1">
        <f t="array" ref="I200">ROUND(F200*get_Üb(YEAR(A200),$I$8)*E200,2)</f>
        <v>3.6</v>
      </c>
      <c r="J200" s="10">
        <f t="shared" si="32"/>
        <v>15</v>
      </c>
      <c r="K200" s="10">
        <f t="shared" si="33"/>
        <v>288.60000000000002</v>
      </c>
      <c r="L200" s="10" cm="1">
        <f t="array" ref="L200">ROUND(1/12*MAX(MTSum-R200-K200,MRSum)*Act_qx(x+C200,Geschlecht,getParm(Tarifart,"Tafel"),YEAR(GebDat),x+Dauer,1),2)</f>
        <v>1.36</v>
      </c>
      <c r="M200" s="10" cm="1">
        <f t="array" ref="M200">ROUND(L200*get_Üb(YEAR(A200),$M$8),2)</f>
        <v>7.0000000000000007E-2</v>
      </c>
      <c r="N200" s="10" cm="1">
        <f t="array" ref="N200">ROUND(R200*getParm(Tarifart,IF(C200&lt;BZDauer,"gamma1","gamma2")),2)</f>
        <v>39.75</v>
      </c>
      <c r="O200" s="10" cm="1">
        <f t="array" ref="O200">ROUND(R200*get_Üb(YEAR(A200),$O$8),2)</f>
        <v>9.94</v>
      </c>
      <c r="P200" s="19">
        <f t="shared" si="34"/>
        <v>8.8243005019999998</v>
      </c>
      <c r="Q200" s="19" cm="1">
        <f t="array" ref="Q200">ROUND(P200+1/getKurs(EDATE(A200,-1))*(K200-L200-N200-getParm(Tarifart,"StK")+M200+O200),10)*(C200&lt;Dauer)</f>
        <v>8.8477237262999999</v>
      </c>
      <c r="R200" s="10" cm="1">
        <f t="array" ref="R200">ROUND(P200*getKurs($A200),2)</f>
        <v>99372.57</v>
      </c>
      <c r="S200" s="10" cm="1">
        <f t="array" ref="S200">ROUND(Q200*getKurs($A200),2)</f>
        <v>99636.34</v>
      </c>
      <c r="T200" s="10">
        <f t="shared" si="30"/>
        <v>102972.57</v>
      </c>
      <c r="U200" s="10" cm="1">
        <f t="array" ref="U200">getParm(Tarifart,"StoSatz")*(Dauer-C200)*Beitrag*Zahlweise*(C200&lt;BZDauer)</f>
        <v>1080</v>
      </c>
      <c r="V200" s="10">
        <f t="shared" si="35"/>
        <v>98556.34</v>
      </c>
    </row>
    <row r="201" spans="1:22" x14ac:dyDescent="0.45">
      <c r="A201" s="15">
        <f t="shared" si="36"/>
        <v>42370</v>
      </c>
      <c r="B201">
        <f t="shared" si="37"/>
        <v>192</v>
      </c>
      <c r="C201">
        <f t="shared" si="31"/>
        <v>16</v>
      </c>
      <c r="D201">
        <f t="shared" si="38"/>
        <v>0</v>
      </c>
      <c r="E201">
        <f t="shared" ref="E201:E264" si="39">IF(MOD(B201,12/Zahlweise)=0,1,0)</f>
        <v>1</v>
      </c>
      <c r="F201" s="10">
        <f t="shared" ref="F201:F264" si="40">Beitrag*E201*(C201&lt;BZDauer)</f>
        <v>300</v>
      </c>
      <c r="G201" s="10" cm="1">
        <f t="array" ref="G201">ROUND(getParm(Tarifart,"alpha")/(2*Zahlweise)*BeiSum*(C201&lt;2)*E201,2)</f>
        <v>0</v>
      </c>
      <c r="H201" s="10" cm="1">
        <f t="array" ref="H201">ROUND(F201*getParm(Tarifart,"beta")*E201,2)</f>
        <v>15</v>
      </c>
      <c r="I201" s="10" cm="1">
        <f t="array" ref="I201">ROUND(F201*get_Üb(YEAR(A201),$I$8)*E201,2)</f>
        <v>3.6</v>
      </c>
      <c r="J201" s="10">
        <f t="shared" si="32"/>
        <v>15</v>
      </c>
      <c r="K201" s="10">
        <f t="shared" si="33"/>
        <v>288.60000000000002</v>
      </c>
      <c r="L201" s="10" cm="1">
        <f t="array" ref="L201">ROUND(1/12*MAX(MTSum-R201-K201,MRSum)*Act_qx(x+C201,Geschlecht,getParm(Tarifart,"Tafel"),YEAR(GebDat),x+Dauer,1),2)</f>
        <v>1.49</v>
      </c>
      <c r="M201" s="10" cm="1">
        <f t="array" ref="M201">ROUND(L201*get_Üb(YEAR(A201),$M$8),2)</f>
        <v>7.0000000000000007E-2</v>
      </c>
      <c r="N201" s="10" cm="1">
        <f t="array" ref="N201">ROUND(R201*getParm(Tarifart,IF(C201&lt;BZDauer,"gamma1","gamma2")),2)</f>
        <v>36.39</v>
      </c>
      <c r="O201" s="10" cm="1">
        <f t="array" ref="O201">ROUND(R201*get_Üb(YEAR(A201),$O$8),2)</f>
        <v>9.1</v>
      </c>
      <c r="P201" s="19">
        <f t="shared" si="34"/>
        <v>8.8477237262999999</v>
      </c>
      <c r="Q201" s="19" cm="1">
        <f t="array" ref="Q201">ROUND(P201+1/getKurs(EDATE(A201,-1))*(K201-L201-N201-getParm(Tarifart,"StK")+M201+O201),10)*(C201&lt;Dauer)</f>
        <v>8.8707132016999992</v>
      </c>
      <c r="R201" s="10" cm="1">
        <f t="array" ref="R201">ROUND(P201*getKurs($A201),2)</f>
        <v>90985.04</v>
      </c>
      <c r="S201" s="10" cm="1">
        <f t="array" ref="S201">ROUND(Q201*getKurs($A201),2)</f>
        <v>91221.45</v>
      </c>
      <c r="T201" s="10">
        <f t="shared" ref="T201:T264" si="41">ROUND(MAX(MTSum,R201+MRSum),2)</f>
        <v>94585.04</v>
      </c>
      <c r="U201" s="10" cm="1">
        <f t="array" ref="U201">getParm(Tarifart,"StoSatz")*(Dauer-C201)*Beitrag*Zahlweise*(C201&lt;BZDauer)</f>
        <v>1008.0000000000002</v>
      </c>
      <c r="V201" s="10">
        <f t="shared" si="35"/>
        <v>90213.45</v>
      </c>
    </row>
    <row r="202" spans="1:22" x14ac:dyDescent="0.45">
      <c r="A202" s="15">
        <f t="shared" si="36"/>
        <v>42401</v>
      </c>
      <c r="B202">
        <f t="shared" si="37"/>
        <v>193</v>
      </c>
      <c r="C202">
        <f t="shared" ref="C202:C265" si="42">QUOTIENT(B202,12)</f>
        <v>16</v>
      </c>
      <c r="D202">
        <f t="shared" si="38"/>
        <v>1</v>
      </c>
      <c r="E202">
        <f t="shared" si="39"/>
        <v>1</v>
      </c>
      <c r="F202" s="10">
        <f t="shared" si="40"/>
        <v>300</v>
      </c>
      <c r="G202" s="10" cm="1">
        <f t="array" ref="G202">ROUND(getParm(Tarifart,"alpha")/(2*Zahlweise)*BeiSum*(C202&lt;2)*E202,2)</f>
        <v>0</v>
      </c>
      <c r="H202" s="10" cm="1">
        <f t="array" ref="H202">ROUND(F202*getParm(Tarifart,"beta")*E202,2)</f>
        <v>15</v>
      </c>
      <c r="I202" s="10" cm="1">
        <f t="array" ref="I202">ROUND(F202*get_Üb(YEAR(A202),$I$8)*E202,2)</f>
        <v>3.6</v>
      </c>
      <c r="J202" s="10">
        <f t="shared" ref="J202:J265" si="43">G202+H202</f>
        <v>15</v>
      </c>
      <c r="K202" s="10">
        <f t="shared" ref="K202:K265" si="44">F202-J202+I202</f>
        <v>288.60000000000002</v>
      </c>
      <c r="L202" s="10" cm="1">
        <f t="array" ref="L202">ROUND(1/12*MAX(MTSum-R202-K202,MRSum)*Act_qx(x+C202,Geschlecht,getParm(Tarifart,"Tafel"),YEAR(GebDat),x+Dauer,1),2)</f>
        <v>1.49</v>
      </c>
      <c r="M202" s="10" cm="1">
        <f t="array" ref="M202">ROUND(L202*get_Üb(YEAR(A202),$M$8),2)</f>
        <v>7.0000000000000007E-2</v>
      </c>
      <c r="N202" s="10" cm="1">
        <f t="array" ref="N202">ROUND(R202*getParm(Tarifart,IF(C202&lt;BZDauer,"gamma1","gamma2")),2)</f>
        <v>34.619999999999997</v>
      </c>
      <c r="O202" s="10" cm="1">
        <f t="array" ref="O202">ROUND(R202*get_Üb(YEAR(A202),$O$8),2)</f>
        <v>8.66</v>
      </c>
      <c r="P202" s="19">
        <f t="shared" ref="P202:P265" si="45">Q201*(C202&lt;Dauer)</f>
        <v>8.8707132016999992</v>
      </c>
      <c r="Q202" s="19" cm="1">
        <f t="array" ref="Q202">ROUND(P202+1/getKurs(EDATE(A202,-1))*(K202-L202-N202-getParm(Tarifart,"StK")+M202+O202),10)*(C202&lt;Dauer)</f>
        <v>8.8960179635000003</v>
      </c>
      <c r="R202" s="10" cm="1">
        <f t="array" ref="R202">ROUND(P202*getKurs($A202),2)</f>
        <v>86559.35</v>
      </c>
      <c r="S202" s="10" cm="1">
        <f t="array" ref="S202">ROUND(Q202*getKurs($A202),2)</f>
        <v>86806.28</v>
      </c>
      <c r="T202" s="10">
        <f t="shared" si="41"/>
        <v>90159.35</v>
      </c>
      <c r="U202" s="10" cm="1">
        <f t="array" ref="U202">getParm(Tarifart,"StoSatz")*(Dauer-C202)*Beitrag*Zahlweise*(C202&lt;BZDauer)</f>
        <v>1008.0000000000002</v>
      </c>
      <c r="V202" s="10">
        <f t="shared" ref="V202:V265" si="46">MAX(S202-U202,0)</f>
        <v>85798.28</v>
      </c>
    </row>
    <row r="203" spans="1:22" x14ac:dyDescent="0.45">
      <c r="A203" s="15">
        <f t="shared" ref="A203:A266" si="47">EDATE(A202,1)</f>
        <v>42430</v>
      </c>
      <c r="B203">
        <f t="shared" si="37"/>
        <v>194</v>
      </c>
      <c r="C203">
        <f t="shared" si="42"/>
        <v>16</v>
      </c>
      <c r="D203">
        <f t="shared" si="38"/>
        <v>2</v>
      </c>
      <c r="E203">
        <f t="shared" si="39"/>
        <v>1</v>
      </c>
      <c r="F203" s="10">
        <f t="shared" si="40"/>
        <v>300</v>
      </c>
      <c r="G203" s="10" cm="1">
        <f t="array" ref="G203">ROUND(getParm(Tarifart,"alpha")/(2*Zahlweise)*BeiSum*(C203&lt;2)*E203,2)</f>
        <v>0</v>
      </c>
      <c r="H203" s="10" cm="1">
        <f t="array" ref="H203">ROUND(F203*getParm(Tarifart,"beta")*E203,2)</f>
        <v>15</v>
      </c>
      <c r="I203" s="10" cm="1">
        <f t="array" ref="I203">ROUND(F203*get_Üb(YEAR(A203),$I$8)*E203,2)</f>
        <v>3.6</v>
      </c>
      <c r="J203" s="10">
        <f t="shared" si="43"/>
        <v>15</v>
      </c>
      <c r="K203" s="10">
        <f t="shared" si="44"/>
        <v>288.60000000000002</v>
      </c>
      <c r="L203" s="10" cm="1">
        <f t="array" ref="L203">ROUND(1/12*MAX(MTSum-R203-K203,MRSum)*Act_qx(x+C203,Geschlecht,getParm(Tarifart,"Tafel"),YEAR(GebDat),x+Dauer,1),2)</f>
        <v>1.49</v>
      </c>
      <c r="M203" s="10" cm="1">
        <f t="array" ref="M203">ROUND(L203*get_Üb(YEAR(A203),$M$8),2)</f>
        <v>7.0000000000000007E-2</v>
      </c>
      <c r="N203" s="10" cm="1">
        <f t="array" ref="N203">ROUND(R203*getParm(Tarifart,IF(C203&lt;BZDauer,"gamma1","gamma2")),2)</f>
        <v>34.58</v>
      </c>
      <c r="O203" s="10" cm="1">
        <f t="array" ref="O203">ROUND(R203*get_Üb(YEAR(A203),$O$8),2)</f>
        <v>8.64</v>
      </c>
      <c r="P203" s="19">
        <f t="shared" si="45"/>
        <v>8.8960179635000003</v>
      </c>
      <c r="Q203" s="19" cm="1">
        <f t="array" ref="Q203">ROUND(P203+1/getKurs(EDATE(A203,-1))*(K203-L203-N203-getParm(Tarifart,"StK")+M203+O203),10)*(C203&lt;Dauer)</f>
        <v>8.9226876909000001</v>
      </c>
      <c r="R203" s="10" cm="1">
        <f t="array" ref="R203">ROUND(P203*getKurs($A203),2)</f>
        <v>86444.03</v>
      </c>
      <c r="S203" s="10" cm="1">
        <f t="array" ref="S203">ROUND(Q203*getKurs($A203),2)</f>
        <v>86703.18</v>
      </c>
      <c r="T203" s="10">
        <f t="shared" si="41"/>
        <v>90044.03</v>
      </c>
      <c r="U203" s="10" cm="1">
        <f t="array" ref="U203">getParm(Tarifart,"StoSatz")*(Dauer-C203)*Beitrag*Zahlweise*(C203&lt;BZDauer)</f>
        <v>1008.0000000000002</v>
      </c>
      <c r="V203" s="10">
        <f t="shared" si="46"/>
        <v>85695.18</v>
      </c>
    </row>
    <row r="204" spans="1:22" x14ac:dyDescent="0.45">
      <c r="A204" s="15">
        <f t="shared" si="47"/>
        <v>42461</v>
      </c>
      <c r="B204">
        <f t="shared" si="37"/>
        <v>195</v>
      </c>
      <c r="C204">
        <f t="shared" si="42"/>
        <v>16</v>
      </c>
      <c r="D204">
        <f t="shared" si="38"/>
        <v>3</v>
      </c>
      <c r="E204">
        <f t="shared" si="39"/>
        <v>1</v>
      </c>
      <c r="F204" s="10">
        <f t="shared" si="40"/>
        <v>300</v>
      </c>
      <c r="G204" s="10" cm="1">
        <f t="array" ref="G204">ROUND(getParm(Tarifart,"alpha")/(2*Zahlweise)*BeiSum*(C204&lt;2)*E204,2)</f>
        <v>0</v>
      </c>
      <c r="H204" s="10" cm="1">
        <f t="array" ref="H204">ROUND(F204*getParm(Tarifart,"beta")*E204,2)</f>
        <v>15</v>
      </c>
      <c r="I204" s="10" cm="1">
        <f t="array" ref="I204">ROUND(F204*get_Üb(YEAR(A204),$I$8)*E204,2)</f>
        <v>3.6</v>
      </c>
      <c r="J204" s="10">
        <f t="shared" si="43"/>
        <v>15</v>
      </c>
      <c r="K204" s="10">
        <f t="shared" si="44"/>
        <v>288.60000000000002</v>
      </c>
      <c r="L204" s="10" cm="1">
        <f t="array" ref="L204">ROUND(1/12*MAX(MTSum-R204-K204,MRSum)*Act_qx(x+C204,Geschlecht,getParm(Tarifart,"Tafel"),YEAR(GebDat),x+Dauer,1),2)</f>
        <v>1.49</v>
      </c>
      <c r="M204" s="10" cm="1">
        <f t="array" ref="M204">ROUND(L204*get_Üb(YEAR(A204),$M$8),2)</f>
        <v>7.0000000000000007E-2</v>
      </c>
      <c r="N204" s="10" cm="1">
        <f t="array" ref="N204">ROUND(R204*getParm(Tarifart,IF(C204&lt;BZDauer,"gamma1","gamma2")),2)</f>
        <v>34.96</v>
      </c>
      <c r="O204" s="10" cm="1">
        <f t="array" ref="O204">ROUND(R204*get_Üb(YEAR(A204),$O$8),2)</f>
        <v>8.74</v>
      </c>
      <c r="P204" s="19">
        <f t="shared" si="45"/>
        <v>8.9226876909000001</v>
      </c>
      <c r="Q204" s="19" cm="1">
        <f t="array" ref="Q204">ROUND(P204+1/getKurs(EDATE(A204,-1))*(K204-L204-N204-getParm(Tarifart,"StK")+M204+O204),10)*(C204&lt;Dauer)</f>
        <v>8.9494403635000008</v>
      </c>
      <c r="R204" s="10" cm="1">
        <f t="array" ref="R204">ROUND(P204*getKurs($A204),2)</f>
        <v>87394.51</v>
      </c>
      <c r="S204" s="10" cm="1">
        <f t="array" ref="S204">ROUND(Q204*getKurs($A204),2)</f>
        <v>87656.55</v>
      </c>
      <c r="T204" s="10">
        <f t="shared" si="41"/>
        <v>90994.51</v>
      </c>
      <c r="U204" s="10" cm="1">
        <f t="array" ref="U204">getParm(Tarifart,"StoSatz")*(Dauer-C204)*Beitrag*Zahlweise*(C204&lt;BZDauer)</f>
        <v>1008.0000000000002</v>
      </c>
      <c r="V204" s="10">
        <f t="shared" si="46"/>
        <v>86648.55</v>
      </c>
    </row>
    <row r="205" spans="1:22" x14ac:dyDescent="0.45">
      <c r="A205" s="15">
        <f t="shared" si="47"/>
        <v>42491</v>
      </c>
      <c r="B205">
        <f t="shared" si="37"/>
        <v>196</v>
      </c>
      <c r="C205">
        <f t="shared" si="42"/>
        <v>16</v>
      </c>
      <c r="D205">
        <f t="shared" si="38"/>
        <v>4</v>
      </c>
      <c r="E205">
        <f t="shared" si="39"/>
        <v>1</v>
      </c>
      <c r="F205" s="10">
        <f t="shared" si="40"/>
        <v>300</v>
      </c>
      <c r="G205" s="10" cm="1">
        <f t="array" ref="G205">ROUND(getParm(Tarifart,"alpha")/(2*Zahlweise)*BeiSum*(C205&lt;2)*E205,2)</f>
        <v>0</v>
      </c>
      <c r="H205" s="10" cm="1">
        <f t="array" ref="H205">ROUND(F205*getParm(Tarifart,"beta")*E205,2)</f>
        <v>15</v>
      </c>
      <c r="I205" s="10" cm="1">
        <f t="array" ref="I205">ROUND(F205*get_Üb(YEAR(A205),$I$8)*E205,2)</f>
        <v>3.6</v>
      </c>
      <c r="J205" s="10">
        <f t="shared" si="43"/>
        <v>15</v>
      </c>
      <c r="K205" s="10">
        <f t="shared" si="44"/>
        <v>288.60000000000002</v>
      </c>
      <c r="L205" s="10" cm="1">
        <f t="array" ref="L205">ROUND(1/12*MAX(MTSum-R205-K205,MRSum)*Act_qx(x+C205,Geschlecht,getParm(Tarifart,"Tafel"),YEAR(GebDat),x+Dauer,1),2)</f>
        <v>1.49</v>
      </c>
      <c r="M205" s="10" cm="1">
        <f t="array" ref="M205">ROUND(L205*get_Üb(YEAR(A205),$M$8),2)</f>
        <v>7.0000000000000007E-2</v>
      </c>
      <c r="N205" s="10" cm="1">
        <f t="array" ref="N205">ROUND(R205*getParm(Tarifart,IF(C205&lt;BZDauer,"gamma1","gamma2")),2)</f>
        <v>36.24</v>
      </c>
      <c r="O205" s="10" cm="1">
        <f t="array" ref="O205">ROUND(R205*get_Üb(YEAR(A205),$O$8),2)</f>
        <v>9.06</v>
      </c>
      <c r="P205" s="19">
        <f t="shared" si="45"/>
        <v>8.9494403635000008</v>
      </c>
      <c r="Q205" s="19" cm="1">
        <f t="array" ref="Q205">ROUND(P205+1/getKurs(EDATE(A205,-1))*(K205-L205-N205-getParm(Tarifart,"StK")+M205+O205),10)*(C205&lt;Dauer)</f>
        <v>8.9758833976000005</v>
      </c>
      <c r="R205" s="10" cm="1">
        <f t="array" ref="R205">ROUND(P205*getKurs($A205),2)</f>
        <v>90597.6</v>
      </c>
      <c r="S205" s="10" cm="1">
        <f t="array" ref="S205">ROUND(Q205*getKurs($A205),2)</f>
        <v>90865.29</v>
      </c>
      <c r="T205" s="10">
        <f t="shared" si="41"/>
        <v>94197.6</v>
      </c>
      <c r="U205" s="10" cm="1">
        <f t="array" ref="U205">getParm(Tarifart,"StoSatz")*(Dauer-C205)*Beitrag*Zahlweise*(C205&lt;BZDauer)</f>
        <v>1008.0000000000002</v>
      </c>
      <c r="V205" s="10">
        <f t="shared" si="46"/>
        <v>89857.29</v>
      </c>
    </row>
    <row r="206" spans="1:22" x14ac:dyDescent="0.45">
      <c r="A206" s="15">
        <f t="shared" si="47"/>
        <v>42522</v>
      </c>
      <c r="B206">
        <f t="shared" si="37"/>
        <v>197</v>
      </c>
      <c r="C206">
        <f t="shared" si="42"/>
        <v>16</v>
      </c>
      <c r="D206">
        <f t="shared" si="38"/>
        <v>5</v>
      </c>
      <c r="E206">
        <f t="shared" si="39"/>
        <v>1</v>
      </c>
      <c r="F206" s="10">
        <f t="shared" si="40"/>
        <v>300</v>
      </c>
      <c r="G206" s="10" cm="1">
        <f t="array" ref="G206">ROUND(getParm(Tarifart,"alpha")/(2*Zahlweise)*BeiSum*(C206&lt;2)*E206,2)</f>
        <v>0</v>
      </c>
      <c r="H206" s="10" cm="1">
        <f t="array" ref="H206">ROUND(F206*getParm(Tarifart,"beta")*E206,2)</f>
        <v>15</v>
      </c>
      <c r="I206" s="10" cm="1">
        <f t="array" ref="I206">ROUND(F206*get_Üb(YEAR(A206),$I$8)*E206,2)</f>
        <v>3.6</v>
      </c>
      <c r="J206" s="10">
        <f t="shared" si="43"/>
        <v>15</v>
      </c>
      <c r="K206" s="10">
        <f t="shared" si="44"/>
        <v>288.60000000000002</v>
      </c>
      <c r="L206" s="10" cm="1">
        <f t="array" ref="L206">ROUND(1/12*MAX(MTSum-R206-K206,MRSum)*Act_qx(x+C206,Geschlecht,getParm(Tarifart,"Tafel"),YEAR(GebDat),x+Dauer,1),2)</f>
        <v>1.49</v>
      </c>
      <c r="M206" s="10" cm="1">
        <f t="array" ref="M206">ROUND(L206*get_Üb(YEAR(A206),$M$8),2)</f>
        <v>7.0000000000000007E-2</v>
      </c>
      <c r="N206" s="10" cm="1">
        <f t="array" ref="N206">ROUND(R206*getParm(Tarifart,IF(C206&lt;BZDauer,"gamma1","gamma2")),2)</f>
        <v>36.64</v>
      </c>
      <c r="O206" s="10" cm="1">
        <f t="array" ref="O206">ROUND(R206*get_Üb(YEAR(A206),$O$8),2)</f>
        <v>9.16</v>
      </c>
      <c r="P206" s="19">
        <f t="shared" si="45"/>
        <v>8.9758833976000005</v>
      </c>
      <c r="Q206" s="19" cm="1">
        <f t="array" ref="Q206">ROUND(P206+1/getKurs(EDATE(A206,-1))*(K206-L206-N206-getParm(Tarifart,"StK")+M206+O206),10)*(C206&lt;Dauer)</f>
        <v>9.0014383812999998</v>
      </c>
      <c r="R206" s="10" cm="1">
        <f t="array" ref="R206">ROUND(P206*getKurs($A206),2)</f>
        <v>91593.86</v>
      </c>
      <c r="S206" s="10" cm="1">
        <f t="array" ref="S206">ROUND(Q206*getKurs($A206),2)</f>
        <v>91854.64</v>
      </c>
      <c r="T206" s="10">
        <f t="shared" si="41"/>
        <v>95193.86</v>
      </c>
      <c r="U206" s="10" cm="1">
        <f t="array" ref="U206">getParm(Tarifart,"StoSatz")*(Dauer-C206)*Beitrag*Zahlweise*(C206&lt;BZDauer)</f>
        <v>1008.0000000000002</v>
      </c>
      <c r="V206" s="10">
        <f t="shared" si="46"/>
        <v>90846.64</v>
      </c>
    </row>
    <row r="207" spans="1:22" x14ac:dyDescent="0.45">
      <c r="A207" s="15">
        <f t="shared" si="47"/>
        <v>42552</v>
      </c>
      <c r="B207">
        <f t="shared" si="37"/>
        <v>198</v>
      </c>
      <c r="C207">
        <f t="shared" si="42"/>
        <v>16</v>
      </c>
      <c r="D207">
        <f t="shared" si="38"/>
        <v>6</v>
      </c>
      <c r="E207">
        <f t="shared" si="39"/>
        <v>1</v>
      </c>
      <c r="F207" s="10">
        <f t="shared" si="40"/>
        <v>300</v>
      </c>
      <c r="G207" s="10" cm="1">
        <f t="array" ref="G207">ROUND(getParm(Tarifart,"alpha")/(2*Zahlweise)*BeiSum*(C207&lt;2)*E207,2)</f>
        <v>0</v>
      </c>
      <c r="H207" s="10" cm="1">
        <f t="array" ref="H207">ROUND(F207*getParm(Tarifart,"beta")*E207,2)</f>
        <v>15</v>
      </c>
      <c r="I207" s="10" cm="1">
        <f t="array" ref="I207">ROUND(F207*get_Üb(YEAR(A207),$I$8)*E207,2)</f>
        <v>3.6</v>
      </c>
      <c r="J207" s="10">
        <f t="shared" si="43"/>
        <v>15</v>
      </c>
      <c r="K207" s="10">
        <f t="shared" si="44"/>
        <v>288.60000000000002</v>
      </c>
      <c r="L207" s="10" cm="1">
        <f t="array" ref="L207">ROUND(1/12*MAX(MTSum-R207-K207,MRSum)*Act_qx(x+C207,Geschlecht,getParm(Tarifart,"Tafel"),YEAR(GebDat),x+Dauer,1),2)</f>
        <v>1.49</v>
      </c>
      <c r="M207" s="10" cm="1">
        <f t="array" ref="M207">ROUND(L207*get_Üb(YEAR(A207),$M$8),2)</f>
        <v>7.0000000000000007E-2</v>
      </c>
      <c r="N207" s="10" cm="1">
        <f t="array" ref="N207">ROUND(R207*getParm(Tarifart,IF(C207&lt;BZDauer,"gamma1","gamma2")),2)</f>
        <v>35.200000000000003</v>
      </c>
      <c r="O207" s="10" cm="1">
        <f t="array" ref="O207">ROUND(R207*get_Üb(YEAR(A207),$O$8),2)</f>
        <v>8.8000000000000007</v>
      </c>
      <c r="P207" s="19">
        <f t="shared" si="45"/>
        <v>9.0014383812999998</v>
      </c>
      <c r="Q207" s="19" cm="1">
        <f t="array" ref="Q207">ROUND(P207+1/getKurs(EDATE(A207,-1))*(K207-L207-N207-getParm(Tarifart,"StK")+M207+O207),10)*(C207&lt;Dauer)</f>
        <v>9.0268959272</v>
      </c>
      <c r="R207" s="10" cm="1">
        <f t="array" ref="R207">ROUND(P207*getKurs($A207),2)</f>
        <v>87999.14</v>
      </c>
      <c r="S207" s="10" cm="1">
        <f t="array" ref="S207">ROUND(Q207*getKurs($A207),2)</f>
        <v>88248.02</v>
      </c>
      <c r="T207" s="10">
        <f t="shared" si="41"/>
        <v>91599.14</v>
      </c>
      <c r="U207" s="10" cm="1">
        <f t="array" ref="U207">getParm(Tarifart,"StoSatz")*(Dauer-C207)*Beitrag*Zahlweise*(C207&lt;BZDauer)</f>
        <v>1008.0000000000002</v>
      </c>
      <c r="V207" s="10">
        <f t="shared" si="46"/>
        <v>87240.02</v>
      </c>
    </row>
    <row r="208" spans="1:22" x14ac:dyDescent="0.45">
      <c r="A208" s="15">
        <f t="shared" si="47"/>
        <v>42583</v>
      </c>
      <c r="B208">
        <f t="shared" si="37"/>
        <v>199</v>
      </c>
      <c r="C208">
        <f t="shared" si="42"/>
        <v>16</v>
      </c>
      <c r="D208">
        <f t="shared" si="38"/>
        <v>7</v>
      </c>
      <c r="E208">
        <f t="shared" si="39"/>
        <v>1</v>
      </c>
      <c r="F208" s="10">
        <f t="shared" si="40"/>
        <v>300</v>
      </c>
      <c r="G208" s="10" cm="1">
        <f t="array" ref="G208">ROUND(getParm(Tarifart,"alpha")/(2*Zahlweise)*BeiSum*(C208&lt;2)*E208,2)</f>
        <v>0</v>
      </c>
      <c r="H208" s="10" cm="1">
        <f t="array" ref="H208">ROUND(F208*getParm(Tarifart,"beta")*E208,2)</f>
        <v>15</v>
      </c>
      <c r="I208" s="10" cm="1">
        <f t="array" ref="I208">ROUND(F208*get_Üb(YEAR(A208),$I$8)*E208,2)</f>
        <v>3.6</v>
      </c>
      <c r="J208" s="10">
        <f t="shared" si="43"/>
        <v>15</v>
      </c>
      <c r="K208" s="10">
        <f t="shared" si="44"/>
        <v>288.60000000000002</v>
      </c>
      <c r="L208" s="10" cm="1">
        <f t="array" ref="L208">ROUND(1/12*MAX(MTSum-R208-K208,MRSum)*Act_qx(x+C208,Geschlecht,getParm(Tarifart,"Tafel"),YEAR(GebDat),x+Dauer,1),2)</f>
        <v>1.49</v>
      </c>
      <c r="M208" s="10" cm="1">
        <f t="array" ref="M208">ROUND(L208*get_Üb(YEAR(A208),$M$8),2)</f>
        <v>7.0000000000000007E-2</v>
      </c>
      <c r="N208" s="10" cm="1">
        <f t="array" ref="N208">ROUND(R208*getParm(Tarifart,IF(C208&lt;BZDauer,"gamma1","gamma2")),2)</f>
        <v>37.299999999999997</v>
      </c>
      <c r="O208" s="10" cm="1">
        <f t="array" ref="O208">ROUND(R208*get_Üb(YEAR(A208),$O$8),2)</f>
        <v>9.33</v>
      </c>
      <c r="P208" s="19">
        <f t="shared" si="45"/>
        <v>9.0268959272</v>
      </c>
      <c r="Q208" s="19" cm="1">
        <f t="array" ref="Q208">ROUND(P208+1/getKurs(EDATE(A208,-1))*(K208-L208-N208-getParm(Tarifart,"StK")+M208+O208),10)*(C208&lt;Dauer)</f>
        <v>9.0533082462000003</v>
      </c>
      <c r="R208" s="10" cm="1">
        <f t="array" ref="R208">ROUND(P208*getKurs($A208),2)</f>
        <v>93252.53</v>
      </c>
      <c r="S208" s="10" cm="1">
        <f t="array" ref="S208">ROUND(Q208*getKurs($A208),2)</f>
        <v>93525.38</v>
      </c>
      <c r="T208" s="10">
        <f t="shared" si="41"/>
        <v>96852.53</v>
      </c>
      <c r="U208" s="10" cm="1">
        <f t="array" ref="U208">getParm(Tarifart,"StoSatz")*(Dauer-C208)*Beitrag*Zahlweise*(C208&lt;BZDauer)</f>
        <v>1008.0000000000002</v>
      </c>
      <c r="V208" s="10">
        <f t="shared" si="46"/>
        <v>92517.38</v>
      </c>
    </row>
    <row r="209" spans="1:22" x14ac:dyDescent="0.45">
      <c r="A209" s="15">
        <f t="shared" si="47"/>
        <v>42614</v>
      </c>
      <c r="B209">
        <f t="shared" si="37"/>
        <v>200</v>
      </c>
      <c r="C209">
        <f t="shared" si="42"/>
        <v>16</v>
      </c>
      <c r="D209">
        <f t="shared" si="38"/>
        <v>8</v>
      </c>
      <c r="E209">
        <f t="shared" si="39"/>
        <v>1</v>
      </c>
      <c r="F209" s="10">
        <f t="shared" si="40"/>
        <v>300</v>
      </c>
      <c r="G209" s="10" cm="1">
        <f t="array" ref="G209">ROUND(getParm(Tarifart,"alpha")/(2*Zahlweise)*BeiSum*(C209&lt;2)*E209,2)</f>
        <v>0</v>
      </c>
      <c r="H209" s="10" cm="1">
        <f t="array" ref="H209">ROUND(F209*getParm(Tarifart,"beta")*E209,2)</f>
        <v>15</v>
      </c>
      <c r="I209" s="10" cm="1">
        <f t="array" ref="I209">ROUND(F209*get_Üb(YEAR(A209),$I$8)*E209,2)</f>
        <v>3.6</v>
      </c>
      <c r="J209" s="10">
        <f t="shared" si="43"/>
        <v>15</v>
      </c>
      <c r="K209" s="10">
        <f t="shared" si="44"/>
        <v>288.60000000000002</v>
      </c>
      <c r="L209" s="10" cm="1">
        <f t="array" ref="L209">ROUND(1/12*MAX(MTSum-R209-K209,MRSum)*Act_qx(x+C209,Geschlecht,getParm(Tarifart,"Tafel"),YEAR(GebDat),x+Dauer,1),2)</f>
        <v>1.49</v>
      </c>
      <c r="M209" s="10" cm="1">
        <f t="array" ref="M209">ROUND(L209*get_Üb(YEAR(A209),$M$8),2)</f>
        <v>7.0000000000000007E-2</v>
      </c>
      <c r="N209" s="10" cm="1">
        <f t="array" ref="N209">ROUND(R209*getParm(Tarifart,IF(C209&lt;BZDauer,"gamma1","gamma2")),2)</f>
        <v>38.15</v>
      </c>
      <c r="O209" s="10" cm="1">
        <f t="array" ref="O209">ROUND(R209*get_Üb(YEAR(A209),$O$8),2)</f>
        <v>9.5399999999999991</v>
      </c>
      <c r="P209" s="19">
        <f t="shared" si="45"/>
        <v>9.0533082462000003</v>
      </c>
      <c r="Q209" s="19" cm="1">
        <f t="array" ref="Q209">ROUND(P209+1/getKurs(EDATE(A209,-1))*(K209-L209-N209-getParm(Tarifart,"StK")+M209+O209),10)*(C209&lt;Dauer)</f>
        <v>9.0782411633999995</v>
      </c>
      <c r="R209" s="10" cm="1">
        <f t="array" ref="R209">ROUND(P209*getKurs($A209),2)</f>
        <v>95370.36</v>
      </c>
      <c r="S209" s="10" cm="1">
        <f t="array" ref="S209">ROUND(Q209*getKurs($A209),2)</f>
        <v>95633.01</v>
      </c>
      <c r="T209" s="10">
        <f t="shared" si="41"/>
        <v>98970.36</v>
      </c>
      <c r="U209" s="10" cm="1">
        <f t="array" ref="U209">getParm(Tarifart,"StoSatz")*(Dauer-C209)*Beitrag*Zahlweise*(C209&lt;BZDauer)</f>
        <v>1008.0000000000002</v>
      </c>
      <c r="V209" s="10">
        <f t="shared" si="46"/>
        <v>94625.01</v>
      </c>
    </row>
    <row r="210" spans="1:22" x14ac:dyDescent="0.45">
      <c r="A210" s="15">
        <f t="shared" si="47"/>
        <v>42644</v>
      </c>
      <c r="B210">
        <f t="shared" si="37"/>
        <v>201</v>
      </c>
      <c r="C210">
        <f t="shared" si="42"/>
        <v>16</v>
      </c>
      <c r="D210">
        <f t="shared" si="38"/>
        <v>9</v>
      </c>
      <c r="E210">
        <f t="shared" si="39"/>
        <v>1</v>
      </c>
      <c r="F210" s="10">
        <f t="shared" si="40"/>
        <v>300</v>
      </c>
      <c r="G210" s="10" cm="1">
        <f t="array" ref="G210">ROUND(getParm(Tarifart,"alpha")/(2*Zahlweise)*BeiSum*(C210&lt;2)*E210,2)</f>
        <v>0</v>
      </c>
      <c r="H210" s="10" cm="1">
        <f t="array" ref="H210">ROUND(F210*getParm(Tarifart,"beta")*E210,2)</f>
        <v>15</v>
      </c>
      <c r="I210" s="10" cm="1">
        <f t="array" ref="I210">ROUND(F210*get_Üb(YEAR(A210),$I$8)*E210,2)</f>
        <v>3.6</v>
      </c>
      <c r="J210" s="10">
        <f t="shared" si="43"/>
        <v>15</v>
      </c>
      <c r="K210" s="10">
        <f t="shared" si="44"/>
        <v>288.60000000000002</v>
      </c>
      <c r="L210" s="10" cm="1">
        <f t="array" ref="L210">ROUND(1/12*MAX(MTSum-R210-K210,MRSum)*Act_qx(x+C210,Geschlecht,getParm(Tarifart,"Tafel"),YEAR(GebDat),x+Dauer,1),2)</f>
        <v>1.49</v>
      </c>
      <c r="M210" s="10" cm="1">
        <f t="array" ref="M210">ROUND(L210*get_Üb(YEAR(A210),$M$8),2)</f>
        <v>7.0000000000000007E-2</v>
      </c>
      <c r="N210" s="10" cm="1">
        <f t="array" ref="N210">ROUND(R210*getParm(Tarifart,IF(C210&lt;BZDauer,"gamma1","gamma2")),2)</f>
        <v>38.56</v>
      </c>
      <c r="O210" s="10" cm="1">
        <f t="array" ref="O210">ROUND(R210*get_Üb(YEAR(A210),$O$8),2)</f>
        <v>9.64</v>
      </c>
      <c r="P210" s="19">
        <f t="shared" si="45"/>
        <v>9.0782411633999995</v>
      </c>
      <c r="Q210" s="19" cm="1">
        <f t="array" ref="Q210">ROUND(P210+1/getKurs(EDATE(A210,-1))*(K210-L210-N210-getParm(Tarifart,"StK")+M210+O210),10)*(C210&lt;Dauer)</f>
        <v>9.1026623168</v>
      </c>
      <c r="R210" s="10" cm="1">
        <f t="array" ref="R210">ROUND(P210*getKurs($A210),2)</f>
        <v>96407.38</v>
      </c>
      <c r="S210" s="10" cm="1">
        <f t="array" ref="S210">ROUND(Q210*getKurs($A210),2)</f>
        <v>96666.72</v>
      </c>
      <c r="T210" s="10">
        <f t="shared" si="41"/>
        <v>100007.38</v>
      </c>
      <c r="U210" s="10" cm="1">
        <f t="array" ref="U210">getParm(Tarifart,"StoSatz")*(Dauer-C210)*Beitrag*Zahlweise*(C210&lt;BZDauer)</f>
        <v>1008.0000000000002</v>
      </c>
      <c r="V210" s="10">
        <f t="shared" si="46"/>
        <v>95658.72</v>
      </c>
    </row>
    <row r="211" spans="1:22" x14ac:dyDescent="0.45">
      <c r="A211" s="15">
        <f t="shared" si="47"/>
        <v>42675</v>
      </c>
      <c r="B211">
        <f t="shared" si="37"/>
        <v>202</v>
      </c>
      <c r="C211">
        <f t="shared" si="42"/>
        <v>16</v>
      </c>
      <c r="D211">
        <f t="shared" si="38"/>
        <v>10</v>
      </c>
      <c r="E211">
        <f t="shared" si="39"/>
        <v>1</v>
      </c>
      <c r="F211" s="10">
        <f t="shared" si="40"/>
        <v>300</v>
      </c>
      <c r="G211" s="10" cm="1">
        <f t="array" ref="G211">ROUND(getParm(Tarifart,"alpha")/(2*Zahlweise)*BeiSum*(C211&lt;2)*E211,2)</f>
        <v>0</v>
      </c>
      <c r="H211" s="10" cm="1">
        <f t="array" ref="H211">ROUND(F211*getParm(Tarifart,"beta")*E211,2)</f>
        <v>15</v>
      </c>
      <c r="I211" s="10" cm="1">
        <f t="array" ref="I211">ROUND(F211*get_Üb(YEAR(A211),$I$8)*E211,2)</f>
        <v>3.6</v>
      </c>
      <c r="J211" s="10">
        <f t="shared" si="43"/>
        <v>15</v>
      </c>
      <c r="K211" s="10">
        <f t="shared" si="44"/>
        <v>288.60000000000002</v>
      </c>
      <c r="L211" s="10" cm="1">
        <f t="array" ref="L211">ROUND(1/12*MAX(MTSum-R211-K211,MRSum)*Act_qx(x+C211,Geschlecht,getParm(Tarifart,"Tafel"),YEAR(GebDat),x+Dauer,1),2)</f>
        <v>1.49</v>
      </c>
      <c r="M211" s="10" cm="1">
        <f t="array" ref="M211">ROUND(L211*get_Üb(YEAR(A211),$M$8),2)</f>
        <v>7.0000000000000007E-2</v>
      </c>
      <c r="N211" s="10" cm="1">
        <f t="array" ref="N211">ROUND(R211*getParm(Tarifart,IF(C211&lt;BZDauer,"gamma1","gamma2")),2)</f>
        <v>38.33</v>
      </c>
      <c r="O211" s="10" cm="1">
        <f t="array" ref="O211">ROUND(R211*get_Üb(YEAR(A211),$O$8),2)</f>
        <v>9.58</v>
      </c>
      <c r="P211" s="19">
        <f t="shared" si="45"/>
        <v>9.1026623168</v>
      </c>
      <c r="Q211" s="19" cm="1">
        <f t="array" ref="Q211">ROUND(P211+1/getKurs(EDATE(A211,-1))*(K211-L211-N211-getParm(Tarifart,"StK")+M211+O211),10)*(C211&lt;Dauer)</f>
        <v>9.1269033200000003</v>
      </c>
      <c r="R211" s="10" cm="1">
        <f t="array" ref="R211">ROUND(P211*getKurs($A211),2)</f>
        <v>95816.08</v>
      </c>
      <c r="S211" s="10" cm="1">
        <f t="array" ref="S211">ROUND(Q211*getKurs($A211),2)</f>
        <v>96071.24</v>
      </c>
      <c r="T211" s="10">
        <f t="shared" si="41"/>
        <v>99416.08</v>
      </c>
      <c r="U211" s="10" cm="1">
        <f t="array" ref="U211">getParm(Tarifart,"StoSatz")*(Dauer-C211)*Beitrag*Zahlweise*(C211&lt;BZDauer)</f>
        <v>1008.0000000000002</v>
      </c>
      <c r="V211" s="10">
        <f t="shared" si="46"/>
        <v>95063.24</v>
      </c>
    </row>
    <row r="212" spans="1:22" x14ac:dyDescent="0.45">
      <c r="A212" s="15">
        <f t="shared" si="47"/>
        <v>42705</v>
      </c>
      <c r="B212">
        <f t="shared" si="37"/>
        <v>203</v>
      </c>
      <c r="C212">
        <f t="shared" si="42"/>
        <v>16</v>
      </c>
      <c r="D212">
        <f t="shared" si="38"/>
        <v>11</v>
      </c>
      <c r="E212">
        <f t="shared" si="39"/>
        <v>1</v>
      </c>
      <c r="F212" s="10">
        <f t="shared" si="40"/>
        <v>300</v>
      </c>
      <c r="G212" s="10" cm="1">
        <f t="array" ref="G212">ROUND(getParm(Tarifart,"alpha")/(2*Zahlweise)*BeiSum*(C212&lt;2)*E212,2)</f>
        <v>0</v>
      </c>
      <c r="H212" s="10" cm="1">
        <f t="array" ref="H212">ROUND(F212*getParm(Tarifart,"beta")*E212,2)</f>
        <v>15</v>
      </c>
      <c r="I212" s="10" cm="1">
        <f t="array" ref="I212">ROUND(F212*get_Üb(YEAR(A212),$I$8)*E212,2)</f>
        <v>3.6</v>
      </c>
      <c r="J212" s="10">
        <f t="shared" si="43"/>
        <v>15</v>
      </c>
      <c r="K212" s="10">
        <f t="shared" si="44"/>
        <v>288.60000000000002</v>
      </c>
      <c r="L212" s="10" cm="1">
        <f t="array" ref="L212">ROUND(1/12*MAX(MTSum-R212-K212,MRSum)*Act_qx(x+C212,Geschlecht,getParm(Tarifart,"Tafel"),YEAR(GebDat),x+Dauer,1),2)</f>
        <v>1.49</v>
      </c>
      <c r="M212" s="10" cm="1">
        <f t="array" ref="M212">ROUND(L212*get_Üb(YEAR(A212),$M$8),2)</f>
        <v>7.0000000000000007E-2</v>
      </c>
      <c r="N212" s="10" cm="1">
        <f t="array" ref="N212">ROUND(R212*getParm(Tarifart,IF(C212&lt;BZDauer,"gamma1","gamma2")),2)</f>
        <v>38.46</v>
      </c>
      <c r="O212" s="10" cm="1">
        <f t="array" ref="O212">ROUND(R212*get_Üb(YEAR(A212),$O$8),2)</f>
        <v>9.61</v>
      </c>
      <c r="P212" s="19">
        <f t="shared" si="45"/>
        <v>9.1269033200000003</v>
      </c>
      <c r="Q212" s="19" cm="1">
        <f t="array" ref="Q212">ROUND(P212+1/getKurs(EDATE(A212,-1))*(K212-L212-N212-getParm(Tarifart,"StK")+M212+O212),10)*(C212&lt;Dauer)</f>
        <v>9.1513500317999998</v>
      </c>
      <c r="R212" s="10" cm="1">
        <f t="array" ref="R212">ROUND(P212*getKurs($A212),2)</f>
        <v>96143.26</v>
      </c>
      <c r="S212" s="10" cm="1">
        <f t="array" ref="S212">ROUND(Q212*getKurs($A212),2)</f>
        <v>96400.78</v>
      </c>
      <c r="T212" s="10">
        <f t="shared" si="41"/>
        <v>99743.26</v>
      </c>
      <c r="U212" s="10" cm="1">
        <f t="array" ref="U212">getParm(Tarifart,"StoSatz")*(Dauer-C212)*Beitrag*Zahlweise*(C212&lt;BZDauer)</f>
        <v>1008.0000000000002</v>
      </c>
      <c r="V212" s="10">
        <f t="shared" si="46"/>
        <v>95392.78</v>
      </c>
    </row>
    <row r="213" spans="1:22" x14ac:dyDescent="0.45">
      <c r="A213" s="15">
        <f t="shared" si="47"/>
        <v>42736</v>
      </c>
      <c r="B213">
        <f t="shared" si="37"/>
        <v>204</v>
      </c>
      <c r="C213">
        <f t="shared" si="42"/>
        <v>17</v>
      </c>
      <c r="D213">
        <f t="shared" si="38"/>
        <v>0</v>
      </c>
      <c r="E213">
        <f t="shared" si="39"/>
        <v>1</v>
      </c>
      <c r="F213" s="10">
        <f t="shared" si="40"/>
        <v>300</v>
      </c>
      <c r="G213" s="10" cm="1">
        <f t="array" ref="G213">ROUND(getParm(Tarifart,"alpha")/(2*Zahlweise)*BeiSum*(C213&lt;2)*E213,2)</f>
        <v>0</v>
      </c>
      <c r="H213" s="10" cm="1">
        <f t="array" ref="H213">ROUND(F213*getParm(Tarifart,"beta")*E213,2)</f>
        <v>15</v>
      </c>
      <c r="I213" s="10" cm="1">
        <f t="array" ref="I213">ROUND(F213*get_Üb(YEAR(A213),$I$8)*E213,2)</f>
        <v>3.6</v>
      </c>
      <c r="J213" s="10">
        <f t="shared" si="43"/>
        <v>15</v>
      </c>
      <c r="K213" s="10">
        <f t="shared" si="44"/>
        <v>288.60000000000002</v>
      </c>
      <c r="L213" s="10" cm="1">
        <f t="array" ref="L213">ROUND(1/12*MAX(MTSum-R213-K213,MRSum)*Act_qx(x+C213,Geschlecht,getParm(Tarifart,"Tafel"),YEAR(GebDat),x+Dauer,1),2)</f>
        <v>1.65</v>
      </c>
      <c r="M213" s="10" cm="1">
        <f t="array" ref="M213">ROUND(L213*get_Üb(YEAR(A213),$M$8),2)</f>
        <v>0.08</v>
      </c>
      <c r="N213" s="10" cm="1">
        <f t="array" ref="N213">ROUND(R213*getParm(Tarifart,IF(C213&lt;BZDauer,"gamma1","gamma2")),2)</f>
        <v>42.46</v>
      </c>
      <c r="O213" s="10" cm="1">
        <f t="array" ref="O213">ROUND(R213*get_Üb(YEAR(A213),$O$8),2)</f>
        <v>10.61</v>
      </c>
      <c r="P213" s="19">
        <f t="shared" si="45"/>
        <v>9.1513500317999998</v>
      </c>
      <c r="Q213" s="19" cm="1">
        <f t="array" ref="Q213">ROUND(P213+1/getKurs(EDATE(A213,-1))*(K213-L213-N213-getParm(Tarifart,"StK")+M213+O213),10)*(C213&lt;Dauer)</f>
        <v>9.1754794027000006</v>
      </c>
      <c r="R213" s="10" cm="1">
        <f t="array" ref="R213">ROUND(P213*getKurs($A213),2)</f>
        <v>106140.38</v>
      </c>
      <c r="S213" s="10" cm="1">
        <f t="array" ref="S213">ROUND(Q213*getKurs($A213),2)</f>
        <v>106420.24</v>
      </c>
      <c r="T213" s="10">
        <f t="shared" si="41"/>
        <v>109740.38</v>
      </c>
      <c r="U213" s="10" cm="1">
        <f t="array" ref="U213">getParm(Tarifart,"StoSatz")*(Dauer-C213)*Beitrag*Zahlweise*(C213&lt;BZDauer)</f>
        <v>936</v>
      </c>
      <c r="V213" s="10">
        <f t="shared" si="46"/>
        <v>105484.24</v>
      </c>
    </row>
    <row r="214" spans="1:22" x14ac:dyDescent="0.45">
      <c r="A214" s="15">
        <f t="shared" si="47"/>
        <v>42767</v>
      </c>
      <c r="B214">
        <f t="shared" si="37"/>
        <v>205</v>
      </c>
      <c r="C214">
        <f t="shared" si="42"/>
        <v>17</v>
      </c>
      <c r="D214">
        <f t="shared" si="38"/>
        <v>1</v>
      </c>
      <c r="E214">
        <f t="shared" si="39"/>
        <v>1</v>
      </c>
      <c r="F214" s="10">
        <f t="shared" si="40"/>
        <v>300</v>
      </c>
      <c r="G214" s="10" cm="1">
        <f t="array" ref="G214">ROUND(getParm(Tarifart,"alpha")/(2*Zahlweise)*BeiSum*(C214&lt;2)*E214,2)</f>
        <v>0</v>
      </c>
      <c r="H214" s="10" cm="1">
        <f t="array" ref="H214">ROUND(F214*getParm(Tarifart,"beta")*E214,2)</f>
        <v>15</v>
      </c>
      <c r="I214" s="10" cm="1">
        <f t="array" ref="I214">ROUND(F214*get_Üb(YEAR(A214),$I$8)*E214,2)</f>
        <v>3.6</v>
      </c>
      <c r="J214" s="10">
        <f t="shared" si="43"/>
        <v>15</v>
      </c>
      <c r="K214" s="10">
        <f t="shared" si="44"/>
        <v>288.60000000000002</v>
      </c>
      <c r="L214" s="10" cm="1">
        <f t="array" ref="L214">ROUND(1/12*MAX(MTSum-R214-K214,MRSum)*Act_qx(x+C214,Geschlecht,getParm(Tarifart,"Tafel"),YEAR(GebDat),x+Dauer,1),2)</f>
        <v>1.65</v>
      </c>
      <c r="M214" s="10" cm="1">
        <f t="array" ref="M214">ROUND(L214*get_Üb(YEAR(A214),$M$8),2)</f>
        <v>0.08</v>
      </c>
      <c r="N214" s="10" cm="1">
        <f t="array" ref="N214">ROUND(R214*getParm(Tarifart,IF(C214&lt;BZDauer,"gamma1","gamma2")),2)</f>
        <v>42.79</v>
      </c>
      <c r="O214" s="10" cm="1">
        <f t="array" ref="O214">ROUND(R214*get_Üb(YEAR(A214),$O$8),2)</f>
        <v>10.7</v>
      </c>
      <c r="P214" s="19">
        <f t="shared" si="45"/>
        <v>9.1754794027000006</v>
      </c>
      <c r="Q214" s="19" cm="1">
        <f t="array" ref="Q214">ROUND(P214+1/getKurs(EDATE(A214,-1))*(K214-L214-N214-getParm(Tarifart,"StK")+M214+O214),10)*(C214&lt;Dauer)</f>
        <v>9.1973739340999998</v>
      </c>
      <c r="R214" s="10" cm="1">
        <f t="array" ref="R214">ROUND(P214*getKurs($A214),2)</f>
        <v>106981.5</v>
      </c>
      <c r="S214" s="10" cm="1">
        <f t="array" ref="S214">ROUND(Q214*getKurs($A214),2)</f>
        <v>107236.78</v>
      </c>
      <c r="T214" s="10">
        <f t="shared" si="41"/>
        <v>110581.5</v>
      </c>
      <c r="U214" s="10" cm="1">
        <f t="array" ref="U214">getParm(Tarifart,"StoSatz")*(Dauer-C214)*Beitrag*Zahlweise*(C214&lt;BZDauer)</f>
        <v>936</v>
      </c>
      <c r="V214" s="10">
        <f t="shared" si="46"/>
        <v>106300.78</v>
      </c>
    </row>
    <row r="215" spans="1:22" x14ac:dyDescent="0.45">
      <c r="A215" s="15">
        <f t="shared" si="47"/>
        <v>42795</v>
      </c>
      <c r="B215">
        <f t="shared" si="37"/>
        <v>206</v>
      </c>
      <c r="C215">
        <f t="shared" si="42"/>
        <v>17</v>
      </c>
      <c r="D215">
        <f t="shared" si="38"/>
        <v>2</v>
      </c>
      <c r="E215">
        <f t="shared" si="39"/>
        <v>1</v>
      </c>
      <c r="F215" s="10">
        <f t="shared" si="40"/>
        <v>300</v>
      </c>
      <c r="G215" s="10" cm="1">
        <f t="array" ref="G215">ROUND(getParm(Tarifart,"alpha")/(2*Zahlweise)*BeiSum*(C215&lt;2)*E215,2)</f>
        <v>0</v>
      </c>
      <c r="H215" s="10" cm="1">
        <f t="array" ref="H215">ROUND(F215*getParm(Tarifart,"beta")*E215,2)</f>
        <v>15</v>
      </c>
      <c r="I215" s="10" cm="1">
        <f t="array" ref="I215">ROUND(F215*get_Üb(YEAR(A215),$I$8)*E215,2)</f>
        <v>3.6</v>
      </c>
      <c r="J215" s="10">
        <f t="shared" si="43"/>
        <v>15</v>
      </c>
      <c r="K215" s="10">
        <f t="shared" si="44"/>
        <v>288.60000000000002</v>
      </c>
      <c r="L215" s="10" cm="1">
        <f t="array" ref="L215">ROUND(1/12*MAX(MTSum-R215-K215,MRSum)*Act_qx(x+C215,Geschlecht,getParm(Tarifart,"Tafel"),YEAR(GebDat),x+Dauer,1),2)</f>
        <v>1.65</v>
      </c>
      <c r="M215" s="10" cm="1">
        <f t="array" ref="M215">ROUND(L215*get_Üb(YEAR(A215),$M$8),2)</f>
        <v>0.08</v>
      </c>
      <c r="N215" s="10" cm="1">
        <f t="array" ref="N215">ROUND(R215*getParm(Tarifart,IF(C215&lt;BZDauer,"gamma1","gamma2")),2)</f>
        <v>44.39</v>
      </c>
      <c r="O215" s="10" cm="1">
        <f t="array" ref="O215">ROUND(R215*get_Üb(YEAR(A215),$O$8),2)</f>
        <v>11.1</v>
      </c>
      <c r="P215" s="19">
        <f t="shared" si="45"/>
        <v>9.1973739340999998</v>
      </c>
      <c r="Q215" s="19" cm="1">
        <f t="array" ref="Q215">ROUND(P215+1/getKurs(EDATE(A215,-1))*(K215-L215-N215-getParm(Tarifart,"StK")+M215+O215),10)*(C215&lt;Dauer)</f>
        <v>9.2190506784000004</v>
      </c>
      <c r="R215" s="10" cm="1">
        <f t="array" ref="R215">ROUND(P215*getKurs($A215),2)</f>
        <v>110986.46</v>
      </c>
      <c r="S215" s="10" cm="1">
        <f t="array" ref="S215">ROUND(Q215*getKurs($A215),2)</f>
        <v>111248.04</v>
      </c>
      <c r="T215" s="10">
        <f t="shared" si="41"/>
        <v>114586.46</v>
      </c>
      <c r="U215" s="10" cm="1">
        <f t="array" ref="U215">getParm(Tarifart,"StoSatz")*(Dauer-C215)*Beitrag*Zahlweise*(C215&lt;BZDauer)</f>
        <v>936</v>
      </c>
      <c r="V215" s="10">
        <f t="shared" si="46"/>
        <v>110312.04</v>
      </c>
    </row>
    <row r="216" spans="1:22" x14ac:dyDescent="0.45">
      <c r="A216" s="15">
        <f t="shared" si="47"/>
        <v>42826</v>
      </c>
      <c r="B216">
        <f t="shared" si="37"/>
        <v>207</v>
      </c>
      <c r="C216">
        <f t="shared" si="42"/>
        <v>17</v>
      </c>
      <c r="D216">
        <f t="shared" si="38"/>
        <v>3</v>
      </c>
      <c r="E216">
        <f t="shared" si="39"/>
        <v>1</v>
      </c>
      <c r="F216" s="10">
        <f t="shared" si="40"/>
        <v>300</v>
      </c>
      <c r="G216" s="10" cm="1">
        <f t="array" ref="G216">ROUND(getParm(Tarifart,"alpha")/(2*Zahlweise)*BeiSum*(C216&lt;2)*E216,2)</f>
        <v>0</v>
      </c>
      <c r="H216" s="10" cm="1">
        <f t="array" ref="H216">ROUND(F216*getParm(Tarifart,"beta")*E216,2)</f>
        <v>15</v>
      </c>
      <c r="I216" s="10" cm="1">
        <f t="array" ref="I216">ROUND(F216*get_Üb(YEAR(A216),$I$8)*E216,2)</f>
        <v>3.6</v>
      </c>
      <c r="J216" s="10">
        <f t="shared" si="43"/>
        <v>15</v>
      </c>
      <c r="K216" s="10">
        <f t="shared" si="44"/>
        <v>288.60000000000002</v>
      </c>
      <c r="L216" s="10" cm="1">
        <f t="array" ref="L216">ROUND(1/12*MAX(MTSum-R216-K216,MRSum)*Act_qx(x+C216,Geschlecht,getParm(Tarifart,"Tafel"),YEAR(GebDat),x+Dauer,1),2)</f>
        <v>1.65</v>
      </c>
      <c r="M216" s="10" cm="1">
        <f t="array" ref="M216">ROUND(L216*get_Üb(YEAR(A216),$M$8),2)</f>
        <v>0.08</v>
      </c>
      <c r="N216" s="10" cm="1">
        <f t="array" ref="N216">ROUND(R216*getParm(Tarifart,IF(C216&lt;BZDauer,"gamma1","gamma2")),2)</f>
        <v>45.2</v>
      </c>
      <c r="O216" s="10" cm="1">
        <f t="array" ref="O216">ROUND(R216*get_Üb(YEAR(A216),$O$8),2)</f>
        <v>11.3</v>
      </c>
      <c r="P216" s="19">
        <f t="shared" si="45"/>
        <v>9.2190506784000004</v>
      </c>
      <c r="Q216" s="19" cm="1">
        <f t="array" ref="Q216">ROUND(P216+1/getKurs(EDATE(A216,-1))*(K216-L216-N216-getParm(Tarifart,"StK")+M216+O216),10)*(C216&lt;Dauer)</f>
        <v>9.2399445236000002</v>
      </c>
      <c r="R216" s="10" cm="1">
        <f t="array" ref="R216">ROUND(P216*getKurs($A216),2)</f>
        <v>112999.75</v>
      </c>
      <c r="S216" s="10" cm="1">
        <f t="array" ref="S216">ROUND(Q216*getKurs($A216),2)</f>
        <v>113255.85</v>
      </c>
      <c r="T216" s="10">
        <f t="shared" si="41"/>
        <v>116599.75</v>
      </c>
      <c r="U216" s="10" cm="1">
        <f t="array" ref="U216">getParm(Tarifart,"StoSatz")*(Dauer-C216)*Beitrag*Zahlweise*(C216&lt;BZDauer)</f>
        <v>936</v>
      </c>
      <c r="V216" s="10">
        <f t="shared" si="46"/>
        <v>112319.85</v>
      </c>
    </row>
    <row r="217" spans="1:22" x14ac:dyDescent="0.45">
      <c r="A217" s="15">
        <f t="shared" si="47"/>
        <v>42856</v>
      </c>
      <c r="B217">
        <f t="shared" si="37"/>
        <v>208</v>
      </c>
      <c r="C217">
        <f t="shared" si="42"/>
        <v>17</v>
      </c>
      <c r="D217">
        <f t="shared" si="38"/>
        <v>4</v>
      </c>
      <c r="E217">
        <f t="shared" si="39"/>
        <v>1</v>
      </c>
      <c r="F217" s="10">
        <f t="shared" si="40"/>
        <v>300</v>
      </c>
      <c r="G217" s="10" cm="1">
        <f t="array" ref="G217">ROUND(getParm(Tarifart,"alpha")/(2*Zahlweise)*BeiSum*(C217&lt;2)*E217,2)</f>
        <v>0</v>
      </c>
      <c r="H217" s="10" cm="1">
        <f t="array" ref="H217">ROUND(F217*getParm(Tarifart,"beta")*E217,2)</f>
        <v>15</v>
      </c>
      <c r="I217" s="10" cm="1">
        <f t="array" ref="I217">ROUND(F217*get_Üb(YEAR(A217),$I$8)*E217,2)</f>
        <v>3.6</v>
      </c>
      <c r="J217" s="10">
        <f t="shared" si="43"/>
        <v>15</v>
      </c>
      <c r="K217" s="10">
        <f t="shared" si="44"/>
        <v>288.60000000000002</v>
      </c>
      <c r="L217" s="10" cm="1">
        <f t="array" ref="L217">ROUND(1/12*MAX(MTSum-R217-K217,MRSum)*Act_qx(x+C217,Geschlecht,getParm(Tarifart,"Tafel"),YEAR(GebDat),x+Dauer,1),2)</f>
        <v>1.65</v>
      </c>
      <c r="M217" s="10" cm="1">
        <f t="array" ref="M217">ROUND(L217*get_Üb(YEAR(A217),$M$8),2)</f>
        <v>0.08</v>
      </c>
      <c r="N217" s="10" cm="1">
        <f t="array" ref="N217">ROUND(R217*getParm(Tarifart,IF(C217&lt;BZDauer,"gamma1","gamma2")),2)</f>
        <v>46.23</v>
      </c>
      <c r="O217" s="10" cm="1">
        <f t="array" ref="O217">ROUND(R217*get_Üb(YEAR(A217),$O$8),2)</f>
        <v>11.56</v>
      </c>
      <c r="P217" s="19">
        <f t="shared" si="45"/>
        <v>9.2399445236000002</v>
      </c>
      <c r="Q217" s="19" cm="1">
        <f t="array" ref="Q217">ROUND(P217+1/getKurs(EDATE(A217,-1))*(K217-L217-N217-getParm(Tarifart,"StK")+M217+O217),10)*(C217&lt;Dauer)</f>
        <v>9.2604516541000006</v>
      </c>
      <c r="R217" s="10" cm="1">
        <f t="array" ref="R217">ROUND(P217*getKurs($A217),2)</f>
        <v>115572.3</v>
      </c>
      <c r="S217" s="10" cm="1">
        <f t="array" ref="S217">ROUND(Q217*getKurs($A217),2)</f>
        <v>115828.8</v>
      </c>
      <c r="T217" s="10">
        <f t="shared" si="41"/>
        <v>119172.3</v>
      </c>
      <c r="U217" s="10" cm="1">
        <f t="array" ref="U217">getParm(Tarifart,"StoSatz")*(Dauer-C217)*Beitrag*Zahlweise*(C217&lt;BZDauer)</f>
        <v>936</v>
      </c>
      <c r="V217" s="10">
        <f t="shared" si="46"/>
        <v>114892.8</v>
      </c>
    </row>
    <row r="218" spans="1:22" x14ac:dyDescent="0.45">
      <c r="A218" s="15">
        <f t="shared" si="47"/>
        <v>42887</v>
      </c>
      <c r="B218">
        <f t="shared" si="37"/>
        <v>209</v>
      </c>
      <c r="C218">
        <f t="shared" si="42"/>
        <v>17</v>
      </c>
      <c r="D218">
        <f t="shared" si="38"/>
        <v>5</v>
      </c>
      <c r="E218">
        <f t="shared" si="39"/>
        <v>1</v>
      </c>
      <c r="F218" s="10">
        <f t="shared" si="40"/>
        <v>300</v>
      </c>
      <c r="G218" s="10" cm="1">
        <f t="array" ref="G218">ROUND(getParm(Tarifart,"alpha")/(2*Zahlweise)*BeiSum*(C218&lt;2)*E218,2)</f>
        <v>0</v>
      </c>
      <c r="H218" s="10" cm="1">
        <f t="array" ref="H218">ROUND(F218*getParm(Tarifart,"beta")*E218,2)</f>
        <v>15</v>
      </c>
      <c r="I218" s="10" cm="1">
        <f t="array" ref="I218">ROUND(F218*get_Üb(YEAR(A218),$I$8)*E218,2)</f>
        <v>3.6</v>
      </c>
      <c r="J218" s="10">
        <f t="shared" si="43"/>
        <v>15</v>
      </c>
      <c r="K218" s="10">
        <f t="shared" si="44"/>
        <v>288.60000000000002</v>
      </c>
      <c r="L218" s="10" cm="1">
        <f t="array" ref="L218">ROUND(1/12*MAX(MTSum-R218-K218,MRSum)*Act_qx(x+C218,Geschlecht,getParm(Tarifart,"Tafel"),YEAR(GebDat),x+Dauer,1),2)</f>
        <v>1.65</v>
      </c>
      <c r="M218" s="10" cm="1">
        <f t="array" ref="M218">ROUND(L218*get_Üb(YEAR(A218),$M$8),2)</f>
        <v>0.08</v>
      </c>
      <c r="N218" s="10" cm="1">
        <f t="array" ref="N218">ROUND(R218*getParm(Tarifart,IF(C218&lt;BZDauer,"gamma1","gamma2")),2)</f>
        <v>46.91</v>
      </c>
      <c r="O218" s="10" cm="1">
        <f t="array" ref="O218">ROUND(R218*get_Üb(YEAR(A218),$O$8),2)</f>
        <v>11.73</v>
      </c>
      <c r="P218" s="19">
        <f t="shared" si="45"/>
        <v>9.2604516541000006</v>
      </c>
      <c r="Q218" s="19" cm="1">
        <f t="array" ref="Q218">ROUND(P218+1/getKurs(EDATE(A218,-1))*(K218-L218-N218-getParm(Tarifart,"StK")+M218+O218),10)*(C218&lt;Dauer)</f>
        <v>9.2805069791000001</v>
      </c>
      <c r="R218" s="10" cm="1">
        <f t="array" ref="R218">ROUND(P218*getKurs($A218),2)</f>
        <v>117282.88</v>
      </c>
      <c r="S218" s="10" cm="1">
        <f t="array" ref="S218">ROUND(Q218*getKurs($A218),2)</f>
        <v>117536.88</v>
      </c>
      <c r="T218" s="10">
        <f t="shared" si="41"/>
        <v>120882.88</v>
      </c>
      <c r="U218" s="10" cm="1">
        <f t="array" ref="U218">getParm(Tarifart,"StoSatz")*(Dauer-C218)*Beitrag*Zahlweise*(C218&lt;BZDauer)</f>
        <v>936</v>
      </c>
      <c r="V218" s="10">
        <f t="shared" si="46"/>
        <v>116600.88</v>
      </c>
    </row>
    <row r="219" spans="1:22" x14ac:dyDescent="0.45">
      <c r="A219" s="15">
        <f t="shared" si="47"/>
        <v>42917</v>
      </c>
      <c r="B219">
        <f t="shared" si="37"/>
        <v>210</v>
      </c>
      <c r="C219">
        <f t="shared" si="42"/>
        <v>17</v>
      </c>
      <c r="D219">
        <f t="shared" si="38"/>
        <v>6</v>
      </c>
      <c r="E219">
        <f t="shared" si="39"/>
        <v>1</v>
      </c>
      <c r="F219" s="10">
        <f t="shared" si="40"/>
        <v>300</v>
      </c>
      <c r="G219" s="10" cm="1">
        <f t="array" ref="G219">ROUND(getParm(Tarifart,"alpha")/(2*Zahlweise)*BeiSum*(C219&lt;2)*E219,2)</f>
        <v>0</v>
      </c>
      <c r="H219" s="10" cm="1">
        <f t="array" ref="H219">ROUND(F219*getParm(Tarifart,"beta")*E219,2)</f>
        <v>15</v>
      </c>
      <c r="I219" s="10" cm="1">
        <f t="array" ref="I219">ROUND(F219*get_Üb(YEAR(A219),$I$8)*E219,2)</f>
        <v>3.6</v>
      </c>
      <c r="J219" s="10">
        <f t="shared" si="43"/>
        <v>15</v>
      </c>
      <c r="K219" s="10">
        <f t="shared" si="44"/>
        <v>288.60000000000002</v>
      </c>
      <c r="L219" s="10" cm="1">
        <f t="array" ref="L219">ROUND(1/12*MAX(MTSum-R219-K219,MRSum)*Act_qx(x+C219,Geschlecht,getParm(Tarifart,"Tafel"),YEAR(GebDat),x+Dauer,1),2)</f>
        <v>1.65</v>
      </c>
      <c r="M219" s="10" cm="1">
        <f t="array" ref="M219">ROUND(L219*get_Üb(YEAR(A219),$M$8),2)</f>
        <v>0.08</v>
      </c>
      <c r="N219" s="10" cm="1">
        <f t="array" ref="N219">ROUND(R219*getParm(Tarifart,IF(C219&lt;BZDauer,"gamma1","gamma2")),2)</f>
        <v>46.31</v>
      </c>
      <c r="O219" s="10" cm="1">
        <f t="array" ref="O219">ROUND(R219*get_Üb(YEAR(A219),$O$8),2)</f>
        <v>11.58</v>
      </c>
      <c r="P219" s="19">
        <f t="shared" si="45"/>
        <v>9.2805069791000001</v>
      </c>
      <c r="Q219" s="19" cm="1">
        <f t="array" ref="Q219">ROUND(P219+1/getKurs(EDATE(A219,-1))*(K219-L219-N219-getParm(Tarifart,"StK")+M219+O219),10)*(C219&lt;Dauer)</f>
        <v>9.3003491889000003</v>
      </c>
      <c r="R219" s="10" cm="1">
        <f t="array" ref="R219">ROUND(P219*getKurs($A219),2)</f>
        <v>115777.2</v>
      </c>
      <c r="S219" s="10" cm="1">
        <f t="array" ref="S219">ROUND(Q219*getKurs($A219),2)</f>
        <v>116024.74</v>
      </c>
      <c r="T219" s="10">
        <f t="shared" si="41"/>
        <v>119377.2</v>
      </c>
      <c r="U219" s="10" cm="1">
        <f t="array" ref="U219">getParm(Tarifart,"StoSatz")*(Dauer-C219)*Beitrag*Zahlweise*(C219&lt;BZDauer)</f>
        <v>936</v>
      </c>
      <c r="V219" s="10">
        <f t="shared" si="46"/>
        <v>115088.74</v>
      </c>
    </row>
    <row r="220" spans="1:22" x14ac:dyDescent="0.45">
      <c r="A220" s="15">
        <f t="shared" si="47"/>
        <v>42948</v>
      </c>
      <c r="B220">
        <f t="shared" si="37"/>
        <v>211</v>
      </c>
      <c r="C220">
        <f t="shared" si="42"/>
        <v>17</v>
      </c>
      <c r="D220">
        <f t="shared" si="38"/>
        <v>7</v>
      </c>
      <c r="E220">
        <f t="shared" si="39"/>
        <v>1</v>
      </c>
      <c r="F220" s="10">
        <f t="shared" si="40"/>
        <v>300</v>
      </c>
      <c r="G220" s="10" cm="1">
        <f t="array" ref="G220">ROUND(getParm(Tarifart,"alpha")/(2*Zahlweise)*BeiSum*(C220&lt;2)*E220,2)</f>
        <v>0</v>
      </c>
      <c r="H220" s="10" cm="1">
        <f t="array" ref="H220">ROUND(F220*getParm(Tarifart,"beta")*E220,2)</f>
        <v>15</v>
      </c>
      <c r="I220" s="10" cm="1">
        <f t="array" ref="I220">ROUND(F220*get_Üb(YEAR(A220),$I$8)*E220,2)</f>
        <v>3.6</v>
      </c>
      <c r="J220" s="10">
        <f t="shared" si="43"/>
        <v>15</v>
      </c>
      <c r="K220" s="10">
        <f t="shared" si="44"/>
        <v>288.60000000000002</v>
      </c>
      <c r="L220" s="10" cm="1">
        <f t="array" ref="L220">ROUND(1/12*MAX(MTSum-R220-K220,MRSum)*Act_qx(x+C220,Geschlecht,getParm(Tarifart,"Tafel"),YEAR(GebDat),x+Dauer,1),2)</f>
        <v>1.65</v>
      </c>
      <c r="M220" s="10" cm="1">
        <f t="array" ref="M220">ROUND(L220*get_Üb(YEAR(A220),$M$8),2)</f>
        <v>0.08</v>
      </c>
      <c r="N220" s="10" cm="1">
        <f t="array" ref="N220">ROUND(R220*getParm(Tarifart,IF(C220&lt;BZDauer,"gamma1","gamma2")),2)</f>
        <v>45.58</v>
      </c>
      <c r="O220" s="10" cm="1">
        <f t="array" ref="O220">ROUND(R220*get_Üb(YEAR(A220),$O$8),2)</f>
        <v>11.39</v>
      </c>
      <c r="P220" s="19">
        <f t="shared" si="45"/>
        <v>9.3003491889000003</v>
      </c>
      <c r="Q220" s="19" cm="1">
        <f t="array" ref="Q220">ROUND(P220+1/getKurs(EDATE(A220,-1))*(K220-L220-N220-getParm(Tarifart,"StK")+M220+O220),10)*(C220&lt;Dauer)</f>
        <v>9.3205362623999992</v>
      </c>
      <c r="R220" s="10" cm="1">
        <f t="array" ref="R220">ROUND(P220*getKurs($A220),2)</f>
        <v>113941.28</v>
      </c>
      <c r="S220" s="10" cm="1">
        <f t="array" ref="S220">ROUND(Q220*getKurs($A220),2)</f>
        <v>114188.59</v>
      </c>
      <c r="T220" s="10">
        <f t="shared" si="41"/>
        <v>117541.28</v>
      </c>
      <c r="U220" s="10" cm="1">
        <f t="array" ref="U220">getParm(Tarifart,"StoSatz")*(Dauer-C220)*Beitrag*Zahlweise*(C220&lt;BZDauer)</f>
        <v>936</v>
      </c>
      <c r="V220" s="10">
        <f t="shared" si="46"/>
        <v>113252.59</v>
      </c>
    </row>
    <row r="221" spans="1:22" x14ac:dyDescent="0.45">
      <c r="A221" s="15">
        <f t="shared" si="47"/>
        <v>42979</v>
      </c>
      <c r="B221">
        <f t="shared" si="37"/>
        <v>212</v>
      </c>
      <c r="C221">
        <f t="shared" si="42"/>
        <v>17</v>
      </c>
      <c r="D221">
        <f t="shared" si="38"/>
        <v>8</v>
      </c>
      <c r="E221">
        <f t="shared" si="39"/>
        <v>1</v>
      </c>
      <c r="F221" s="10">
        <f t="shared" si="40"/>
        <v>300</v>
      </c>
      <c r="G221" s="10" cm="1">
        <f t="array" ref="G221">ROUND(getParm(Tarifart,"alpha")/(2*Zahlweise)*BeiSum*(C221&lt;2)*E221,2)</f>
        <v>0</v>
      </c>
      <c r="H221" s="10" cm="1">
        <f t="array" ref="H221">ROUND(F221*getParm(Tarifart,"beta")*E221,2)</f>
        <v>15</v>
      </c>
      <c r="I221" s="10" cm="1">
        <f t="array" ref="I221">ROUND(F221*get_Üb(YEAR(A221),$I$8)*E221,2)</f>
        <v>3.6</v>
      </c>
      <c r="J221" s="10">
        <f t="shared" si="43"/>
        <v>15</v>
      </c>
      <c r="K221" s="10">
        <f t="shared" si="44"/>
        <v>288.60000000000002</v>
      </c>
      <c r="L221" s="10" cm="1">
        <f t="array" ref="L221">ROUND(1/12*MAX(MTSum-R221-K221,MRSum)*Act_qx(x+C221,Geschlecht,getParm(Tarifart,"Tafel"),YEAR(GebDat),x+Dauer,1),2)</f>
        <v>1.65</v>
      </c>
      <c r="M221" s="10" cm="1">
        <f t="array" ref="M221">ROUND(L221*get_Üb(YEAR(A221),$M$8),2)</f>
        <v>0.08</v>
      </c>
      <c r="N221" s="10" cm="1">
        <f t="array" ref="N221">ROUND(R221*getParm(Tarifart,IF(C221&lt;BZDauer,"gamma1","gamma2")),2)</f>
        <v>45.27</v>
      </c>
      <c r="O221" s="10" cm="1">
        <f t="array" ref="O221">ROUND(R221*get_Üb(YEAR(A221),$O$8),2)</f>
        <v>11.32</v>
      </c>
      <c r="P221" s="19">
        <f t="shared" si="45"/>
        <v>9.3205362623999992</v>
      </c>
      <c r="Q221" s="19" cm="1">
        <f t="array" ref="Q221">ROUND(P221+1/getKurs(EDATE(A221,-1))*(K221-L221-N221-getParm(Tarifart,"StK")+M221+O221),10)*(C221&lt;Dauer)</f>
        <v>9.3411120548</v>
      </c>
      <c r="R221" s="10" cm="1">
        <f t="array" ref="R221">ROUND(P221*getKurs($A221),2)</f>
        <v>113175.92</v>
      </c>
      <c r="S221" s="10" cm="1">
        <f t="array" ref="S221">ROUND(Q221*getKurs($A221),2)</f>
        <v>113425.76</v>
      </c>
      <c r="T221" s="10">
        <f t="shared" si="41"/>
        <v>116775.92</v>
      </c>
      <c r="U221" s="10" cm="1">
        <f t="array" ref="U221">getParm(Tarifart,"StoSatz")*(Dauer-C221)*Beitrag*Zahlweise*(C221&lt;BZDauer)</f>
        <v>936</v>
      </c>
      <c r="V221" s="10">
        <f t="shared" si="46"/>
        <v>112489.76</v>
      </c>
    </row>
    <row r="222" spans="1:22" x14ac:dyDescent="0.45">
      <c r="A222" s="15">
        <f t="shared" si="47"/>
        <v>43009</v>
      </c>
      <c r="B222">
        <f t="shared" si="37"/>
        <v>213</v>
      </c>
      <c r="C222">
        <f t="shared" si="42"/>
        <v>17</v>
      </c>
      <c r="D222">
        <f t="shared" si="38"/>
        <v>9</v>
      </c>
      <c r="E222">
        <f t="shared" si="39"/>
        <v>1</v>
      </c>
      <c r="F222" s="10">
        <f t="shared" si="40"/>
        <v>300</v>
      </c>
      <c r="G222" s="10" cm="1">
        <f t="array" ref="G222">ROUND(getParm(Tarifart,"alpha")/(2*Zahlweise)*BeiSum*(C222&lt;2)*E222,2)</f>
        <v>0</v>
      </c>
      <c r="H222" s="10" cm="1">
        <f t="array" ref="H222">ROUND(F222*getParm(Tarifart,"beta")*E222,2)</f>
        <v>15</v>
      </c>
      <c r="I222" s="10" cm="1">
        <f t="array" ref="I222">ROUND(F222*get_Üb(YEAR(A222),$I$8)*E222,2)</f>
        <v>3.6</v>
      </c>
      <c r="J222" s="10">
        <f t="shared" si="43"/>
        <v>15</v>
      </c>
      <c r="K222" s="10">
        <f t="shared" si="44"/>
        <v>288.60000000000002</v>
      </c>
      <c r="L222" s="10" cm="1">
        <f t="array" ref="L222">ROUND(1/12*MAX(MTSum-R222-K222,MRSum)*Act_qx(x+C222,Geschlecht,getParm(Tarifart,"Tafel"),YEAR(GebDat),x+Dauer,1),2)</f>
        <v>1.65</v>
      </c>
      <c r="M222" s="10" cm="1">
        <f t="array" ref="M222">ROUND(L222*get_Üb(YEAR(A222),$M$8),2)</f>
        <v>0.08</v>
      </c>
      <c r="N222" s="10" cm="1">
        <f t="array" ref="N222">ROUND(R222*getParm(Tarifart,IF(C222&lt;BZDauer,"gamma1","gamma2")),2)</f>
        <v>48.21</v>
      </c>
      <c r="O222" s="10" cm="1">
        <f t="array" ref="O222">ROUND(R222*get_Üb(YEAR(A222),$O$8),2)</f>
        <v>12.05</v>
      </c>
      <c r="P222" s="19">
        <f t="shared" si="45"/>
        <v>9.3411120548</v>
      </c>
      <c r="Q222" s="19" cm="1">
        <f t="array" ref="Q222">ROUND(P222+1/getKurs(EDATE(A222,-1))*(K222-L222-N222-getParm(Tarifart,"StK")+M222+O222),10)*(C222&lt;Dauer)</f>
        <v>9.3616899522000008</v>
      </c>
      <c r="R222" s="10" cm="1">
        <f t="array" ref="R222">ROUND(P222*getKurs($A222),2)</f>
        <v>120525.1</v>
      </c>
      <c r="S222" s="10" cm="1">
        <f t="array" ref="S222">ROUND(Q222*getKurs($A222),2)</f>
        <v>120790.61</v>
      </c>
      <c r="T222" s="10">
        <f t="shared" si="41"/>
        <v>124125.1</v>
      </c>
      <c r="U222" s="10" cm="1">
        <f t="array" ref="U222">getParm(Tarifart,"StoSatz")*(Dauer-C222)*Beitrag*Zahlweise*(C222&lt;BZDauer)</f>
        <v>936</v>
      </c>
      <c r="V222" s="10">
        <f t="shared" si="46"/>
        <v>119854.61</v>
      </c>
    </row>
    <row r="223" spans="1:22" x14ac:dyDescent="0.45">
      <c r="A223" s="15">
        <f t="shared" si="47"/>
        <v>43040</v>
      </c>
      <c r="B223">
        <f t="shared" si="37"/>
        <v>214</v>
      </c>
      <c r="C223">
        <f t="shared" si="42"/>
        <v>17</v>
      </c>
      <c r="D223">
        <f t="shared" si="38"/>
        <v>10</v>
      </c>
      <c r="E223">
        <f t="shared" si="39"/>
        <v>1</v>
      </c>
      <c r="F223" s="10">
        <f t="shared" si="40"/>
        <v>300</v>
      </c>
      <c r="G223" s="10" cm="1">
        <f t="array" ref="G223">ROUND(getParm(Tarifart,"alpha")/(2*Zahlweise)*BeiSum*(C223&lt;2)*E223,2)</f>
        <v>0</v>
      </c>
      <c r="H223" s="10" cm="1">
        <f t="array" ref="H223">ROUND(F223*getParm(Tarifart,"beta")*E223,2)</f>
        <v>15</v>
      </c>
      <c r="I223" s="10" cm="1">
        <f t="array" ref="I223">ROUND(F223*get_Üb(YEAR(A223),$I$8)*E223,2)</f>
        <v>3.6</v>
      </c>
      <c r="J223" s="10">
        <f t="shared" si="43"/>
        <v>15</v>
      </c>
      <c r="K223" s="10">
        <f t="shared" si="44"/>
        <v>288.60000000000002</v>
      </c>
      <c r="L223" s="10" cm="1">
        <f t="array" ref="L223">ROUND(1/12*MAX(MTSum-R223-K223,MRSum)*Act_qx(x+C223,Geschlecht,getParm(Tarifart,"Tafel"),YEAR(GebDat),x+Dauer,1),2)</f>
        <v>1.65</v>
      </c>
      <c r="M223" s="10" cm="1">
        <f t="array" ref="M223">ROUND(L223*get_Üb(YEAR(A223),$M$8),2)</f>
        <v>0.08</v>
      </c>
      <c r="N223" s="10" cm="1">
        <f t="array" ref="N223">ROUND(R223*getParm(Tarifart,IF(C223&lt;BZDauer,"gamma1","gamma2")),2)</f>
        <v>50.42</v>
      </c>
      <c r="O223" s="10" cm="1">
        <f t="array" ref="O223">ROUND(R223*get_Üb(YEAR(A223),$O$8),2)</f>
        <v>12.61</v>
      </c>
      <c r="P223" s="19">
        <f t="shared" si="45"/>
        <v>9.3616899522000008</v>
      </c>
      <c r="Q223" s="19" cm="1">
        <f t="array" ref="Q223">ROUND(P223+1/getKurs(EDATE(A223,-1))*(K223-L223-N223-getParm(Tarifart,"StK")+M223+O223),10)*(C223&lt;Dauer)</f>
        <v>9.3809278607</v>
      </c>
      <c r="R223" s="10" cm="1">
        <f t="array" ref="R223">ROUND(P223*getKurs($A223),2)</f>
        <v>126059.93</v>
      </c>
      <c r="S223" s="10" cm="1">
        <f t="array" ref="S223">ROUND(Q223*getKurs($A223),2)</f>
        <v>126318.98</v>
      </c>
      <c r="T223" s="10">
        <f t="shared" si="41"/>
        <v>129659.93</v>
      </c>
      <c r="U223" s="10" cm="1">
        <f t="array" ref="U223">getParm(Tarifart,"StoSatz")*(Dauer-C223)*Beitrag*Zahlweise*(C223&lt;BZDauer)</f>
        <v>936</v>
      </c>
      <c r="V223" s="10">
        <f t="shared" si="46"/>
        <v>125382.98</v>
      </c>
    </row>
    <row r="224" spans="1:22" x14ac:dyDescent="0.45">
      <c r="A224" s="15">
        <f t="shared" si="47"/>
        <v>43070</v>
      </c>
      <c r="B224">
        <f t="shared" si="37"/>
        <v>215</v>
      </c>
      <c r="C224">
        <f t="shared" si="42"/>
        <v>17</v>
      </c>
      <c r="D224">
        <f t="shared" si="38"/>
        <v>11</v>
      </c>
      <c r="E224">
        <f t="shared" si="39"/>
        <v>1</v>
      </c>
      <c r="F224" s="10">
        <f t="shared" si="40"/>
        <v>300</v>
      </c>
      <c r="G224" s="10" cm="1">
        <f t="array" ref="G224">ROUND(getParm(Tarifart,"alpha")/(2*Zahlweise)*BeiSum*(C224&lt;2)*E224,2)</f>
        <v>0</v>
      </c>
      <c r="H224" s="10" cm="1">
        <f t="array" ref="H224">ROUND(F224*getParm(Tarifart,"beta")*E224,2)</f>
        <v>15</v>
      </c>
      <c r="I224" s="10" cm="1">
        <f t="array" ref="I224">ROUND(F224*get_Üb(YEAR(A224),$I$8)*E224,2)</f>
        <v>3.6</v>
      </c>
      <c r="J224" s="10">
        <f t="shared" si="43"/>
        <v>15</v>
      </c>
      <c r="K224" s="10">
        <f t="shared" si="44"/>
        <v>288.60000000000002</v>
      </c>
      <c r="L224" s="10" cm="1">
        <f t="array" ref="L224">ROUND(1/12*MAX(MTSum-R224-K224,MRSum)*Act_qx(x+C224,Geschlecht,getParm(Tarifart,"Tafel"),YEAR(GebDat),x+Dauer,1),2)</f>
        <v>1.65</v>
      </c>
      <c r="M224" s="10" cm="1">
        <f t="array" ref="M224">ROUND(L224*get_Üb(YEAR(A224),$M$8),2)</f>
        <v>0.08</v>
      </c>
      <c r="N224" s="10" cm="1">
        <f t="array" ref="N224">ROUND(R224*getParm(Tarifart,IF(C224&lt;BZDauer,"gamma1","gamma2")),2)</f>
        <v>48.26</v>
      </c>
      <c r="O224" s="10" cm="1">
        <f t="array" ref="O224">ROUND(R224*get_Üb(YEAR(A224),$O$8),2)</f>
        <v>12.07</v>
      </c>
      <c r="P224" s="19">
        <f t="shared" si="45"/>
        <v>9.3809278607</v>
      </c>
      <c r="Q224" s="19" cm="1">
        <f t="array" ref="Q224">ROUND(P224+1/getKurs(EDATE(A224,-1))*(K224-L224-N224-getParm(Tarifart,"StK")+M224+O224),10)*(C224&lt;Dauer)</f>
        <v>9.3994819296000003</v>
      </c>
      <c r="R224" s="10" cm="1">
        <f t="array" ref="R224">ROUND(P224*getKurs($A224),2)</f>
        <v>120652.71</v>
      </c>
      <c r="S224" s="10" cm="1">
        <f t="array" ref="S224">ROUND(Q224*getKurs($A224),2)</f>
        <v>120891.34</v>
      </c>
      <c r="T224" s="10">
        <f t="shared" si="41"/>
        <v>124252.71</v>
      </c>
      <c r="U224" s="10" cm="1">
        <f t="array" ref="U224">getParm(Tarifart,"StoSatz")*(Dauer-C224)*Beitrag*Zahlweise*(C224&lt;BZDauer)</f>
        <v>936</v>
      </c>
      <c r="V224" s="10">
        <f t="shared" si="46"/>
        <v>119955.34</v>
      </c>
    </row>
    <row r="225" spans="1:22" x14ac:dyDescent="0.45">
      <c r="A225" s="15">
        <f t="shared" si="47"/>
        <v>43101</v>
      </c>
      <c r="B225">
        <f t="shared" si="37"/>
        <v>216</v>
      </c>
      <c r="C225">
        <f t="shared" si="42"/>
        <v>18</v>
      </c>
      <c r="D225">
        <f t="shared" si="38"/>
        <v>0</v>
      </c>
      <c r="E225">
        <f t="shared" si="39"/>
        <v>1</v>
      </c>
      <c r="F225" s="10">
        <f t="shared" si="40"/>
        <v>300</v>
      </c>
      <c r="G225" s="10" cm="1">
        <f t="array" ref="G225">ROUND(getParm(Tarifart,"alpha")/(2*Zahlweise)*BeiSum*(C225&lt;2)*E225,2)</f>
        <v>0</v>
      </c>
      <c r="H225" s="10" cm="1">
        <f t="array" ref="H225">ROUND(F225*getParm(Tarifart,"beta")*E225,2)</f>
        <v>15</v>
      </c>
      <c r="I225" s="10" cm="1">
        <f t="array" ref="I225">ROUND(F225*get_Üb(YEAR(A225),$I$8)*E225,2)</f>
        <v>3.6</v>
      </c>
      <c r="J225" s="10">
        <f t="shared" si="43"/>
        <v>15</v>
      </c>
      <c r="K225" s="10">
        <f t="shared" si="44"/>
        <v>288.60000000000002</v>
      </c>
      <c r="L225" s="10" cm="1">
        <f t="array" ref="L225">ROUND(1/12*MAX(MTSum-R225-K225,MRSum)*Act_qx(x+C225,Geschlecht,getParm(Tarifart,"Tafel"),YEAR(GebDat),x+Dauer,1),2)</f>
        <v>1.83</v>
      </c>
      <c r="M225" s="10" cm="1">
        <f t="array" ref="M225">ROUND(L225*get_Üb(YEAR(A225),$M$8),2)</f>
        <v>0.09</v>
      </c>
      <c r="N225" s="10" cm="1">
        <f t="array" ref="N225">ROUND(R225*getParm(Tarifart,IF(C225&lt;BZDauer,"gamma1","gamma2")),2)</f>
        <v>48.39</v>
      </c>
      <c r="O225" s="10" cm="1">
        <f t="array" ref="O225">ROUND(R225*get_Üb(YEAR(A225),$O$8),2)</f>
        <v>12.1</v>
      </c>
      <c r="P225" s="19">
        <f t="shared" si="45"/>
        <v>9.3994819296000003</v>
      </c>
      <c r="Q225" s="19" cm="1">
        <f t="array" ref="Q225">ROUND(P225+1/getKurs(EDATE(A225,-1))*(K225-L225-N225-getParm(Tarifart,"StK")+M225+O225),10)*(C225&lt;Dauer)</f>
        <v>9.4188863687000008</v>
      </c>
      <c r="R225" s="10" cm="1">
        <f t="array" ref="R225">ROUND(P225*getKurs($A225),2)</f>
        <v>120984.4</v>
      </c>
      <c r="S225" s="10" cm="1">
        <f t="array" ref="S225">ROUND(Q225*getKurs($A225),2)</f>
        <v>121234.16</v>
      </c>
      <c r="T225" s="10">
        <f t="shared" si="41"/>
        <v>124584.4</v>
      </c>
      <c r="U225" s="10" cm="1">
        <f t="array" ref="U225">getParm(Tarifart,"StoSatz")*(Dauer-C225)*Beitrag*Zahlweise*(C225&lt;BZDauer)</f>
        <v>864</v>
      </c>
      <c r="V225" s="10">
        <f t="shared" si="46"/>
        <v>120370.16</v>
      </c>
    </row>
    <row r="226" spans="1:22" x14ac:dyDescent="0.45">
      <c r="A226" s="15">
        <f t="shared" si="47"/>
        <v>43132</v>
      </c>
      <c r="B226">
        <f t="shared" si="37"/>
        <v>217</v>
      </c>
      <c r="C226">
        <f t="shared" si="42"/>
        <v>18</v>
      </c>
      <c r="D226">
        <f t="shared" si="38"/>
        <v>1</v>
      </c>
      <c r="E226">
        <f t="shared" si="39"/>
        <v>1</v>
      </c>
      <c r="F226" s="10">
        <f t="shared" si="40"/>
        <v>300</v>
      </c>
      <c r="G226" s="10" cm="1">
        <f t="array" ref="G226">ROUND(getParm(Tarifart,"alpha")/(2*Zahlweise)*BeiSum*(C226&lt;2)*E226,2)</f>
        <v>0</v>
      </c>
      <c r="H226" s="10" cm="1">
        <f t="array" ref="H226">ROUND(F226*getParm(Tarifart,"beta")*E226,2)</f>
        <v>15</v>
      </c>
      <c r="I226" s="10" cm="1">
        <f t="array" ref="I226">ROUND(F226*get_Üb(YEAR(A226),$I$8)*E226,2)</f>
        <v>3.6</v>
      </c>
      <c r="J226" s="10">
        <f t="shared" si="43"/>
        <v>15</v>
      </c>
      <c r="K226" s="10">
        <f t="shared" si="44"/>
        <v>288.60000000000002</v>
      </c>
      <c r="L226" s="10" cm="1">
        <f t="array" ref="L226">ROUND(1/12*MAX(MTSum-R226-K226,MRSum)*Act_qx(x+C226,Geschlecht,getParm(Tarifart,"Tafel"),YEAR(GebDat),x+Dauer,1),2)</f>
        <v>1.83</v>
      </c>
      <c r="M226" s="10" cm="1">
        <f t="array" ref="M226">ROUND(L226*get_Üb(YEAR(A226),$M$8),2)</f>
        <v>0.09</v>
      </c>
      <c r="N226" s="10" cm="1">
        <f t="array" ref="N226">ROUND(R226*getParm(Tarifart,IF(C226&lt;BZDauer,"gamma1","gamma2")),2)</f>
        <v>48.99</v>
      </c>
      <c r="O226" s="10" cm="1">
        <f t="array" ref="O226">ROUND(R226*get_Üb(YEAR(A226),$O$8),2)</f>
        <v>12.25</v>
      </c>
      <c r="P226" s="19">
        <f t="shared" si="45"/>
        <v>9.4188863687000008</v>
      </c>
      <c r="Q226" s="19" cm="1">
        <f t="array" ref="Q226">ROUND(P226+1/getKurs(EDATE(A226,-1))*(K226-L226-N226-getParm(Tarifart,"StK")+M226+O226),10)*(C226&lt;Dauer)</f>
        <v>9.4382409217000003</v>
      </c>
      <c r="R226" s="10" cm="1">
        <f t="array" ref="R226">ROUND(P226*getKurs($A226),2)</f>
        <v>122482.26</v>
      </c>
      <c r="S226" s="10" cm="1">
        <f t="array" ref="S226">ROUND(Q226*getKurs($A226),2)</f>
        <v>122733.94</v>
      </c>
      <c r="T226" s="10">
        <f t="shared" si="41"/>
        <v>126082.26</v>
      </c>
      <c r="U226" s="10" cm="1">
        <f t="array" ref="U226">getParm(Tarifart,"StoSatz")*(Dauer-C226)*Beitrag*Zahlweise*(C226&lt;BZDauer)</f>
        <v>864</v>
      </c>
      <c r="V226" s="10">
        <f t="shared" si="46"/>
        <v>121869.94</v>
      </c>
    </row>
    <row r="227" spans="1:22" x14ac:dyDescent="0.45">
      <c r="A227" s="15">
        <f t="shared" si="47"/>
        <v>43160</v>
      </c>
      <c r="B227">
        <f t="shared" si="37"/>
        <v>218</v>
      </c>
      <c r="C227">
        <f t="shared" si="42"/>
        <v>18</v>
      </c>
      <c r="D227">
        <f t="shared" si="38"/>
        <v>2</v>
      </c>
      <c r="E227">
        <f t="shared" si="39"/>
        <v>1</v>
      </c>
      <c r="F227" s="10">
        <f t="shared" si="40"/>
        <v>300</v>
      </c>
      <c r="G227" s="10" cm="1">
        <f t="array" ref="G227">ROUND(getParm(Tarifart,"alpha")/(2*Zahlweise)*BeiSum*(C227&lt;2)*E227,2)</f>
        <v>0</v>
      </c>
      <c r="H227" s="10" cm="1">
        <f t="array" ref="H227">ROUND(F227*getParm(Tarifart,"beta")*E227,2)</f>
        <v>15</v>
      </c>
      <c r="I227" s="10" cm="1">
        <f t="array" ref="I227">ROUND(F227*get_Üb(YEAR(A227),$I$8)*E227,2)</f>
        <v>3.6</v>
      </c>
      <c r="J227" s="10">
        <f t="shared" si="43"/>
        <v>15</v>
      </c>
      <c r="K227" s="10">
        <f t="shared" si="44"/>
        <v>288.60000000000002</v>
      </c>
      <c r="L227" s="10" cm="1">
        <f t="array" ref="L227">ROUND(1/12*MAX(MTSum-R227-K227,MRSum)*Act_qx(x+C227,Geschlecht,getParm(Tarifart,"Tafel"),YEAR(GebDat),x+Dauer,1),2)</f>
        <v>1.83</v>
      </c>
      <c r="M227" s="10" cm="1">
        <f t="array" ref="M227">ROUND(L227*get_Üb(YEAR(A227),$M$8),2)</f>
        <v>0.09</v>
      </c>
      <c r="N227" s="10" cm="1">
        <f t="array" ref="N227">ROUND(R227*getParm(Tarifart,IF(C227&lt;BZDauer,"gamma1","gamma2")),2)</f>
        <v>46.02</v>
      </c>
      <c r="O227" s="10" cm="1">
        <f t="array" ref="O227">ROUND(R227*get_Üb(YEAR(A227),$O$8),2)</f>
        <v>11.51</v>
      </c>
      <c r="P227" s="19">
        <f t="shared" si="45"/>
        <v>9.4382409217000003</v>
      </c>
      <c r="Q227" s="19" cm="1">
        <f t="array" ref="Q227">ROUND(P227+1/getKurs(EDATE(A227,-1))*(K227-L227-N227-getParm(Tarifart,"StK")+M227+O227),10)*(C227&lt;Dauer)</f>
        <v>9.4575697384000001</v>
      </c>
      <c r="R227" s="10" cm="1">
        <f t="array" ref="R227">ROUND(P227*getKurs($A227),2)</f>
        <v>115061.03</v>
      </c>
      <c r="S227" s="10" cm="1">
        <f t="array" ref="S227">ROUND(Q227*getKurs($A227),2)</f>
        <v>115296.67</v>
      </c>
      <c r="T227" s="10">
        <f t="shared" si="41"/>
        <v>118661.03</v>
      </c>
      <c r="U227" s="10" cm="1">
        <f t="array" ref="U227">getParm(Tarifart,"StoSatz")*(Dauer-C227)*Beitrag*Zahlweise*(C227&lt;BZDauer)</f>
        <v>864</v>
      </c>
      <c r="V227" s="10">
        <f t="shared" si="46"/>
        <v>114432.67</v>
      </c>
    </row>
    <row r="228" spans="1:22" x14ac:dyDescent="0.45">
      <c r="A228" s="15">
        <f t="shared" si="47"/>
        <v>43191</v>
      </c>
      <c r="B228">
        <f t="shared" si="37"/>
        <v>219</v>
      </c>
      <c r="C228">
        <f t="shared" si="42"/>
        <v>18</v>
      </c>
      <c r="D228">
        <f t="shared" si="38"/>
        <v>3</v>
      </c>
      <c r="E228">
        <f t="shared" si="39"/>
        <v>1</v>
      </c>
      <c r="F228" s="10">
        <f t="shared" si="40"/>
        <v>300</v>
      </c>
      <c r="G228" s="10" cm="1">
        <f t="array" ref="G228">ROUND(getParm(Tarifart,"alpha")/(2*Zahlweise)*BeiSum*(C228&lt;2)*E228,2)</f>
        <v>0</v>
      </c>
      <c r="H228" s="10" cm="1">
        <f t="array" ref="H228">ROUND(F228*getParm(Tarifart,"beta")*E228,2)</f>
        <v>15</v>
      </c>
      <c r="I228" s="10" cm="1">
        <f t="array" ref="I228">ROUND(F228*get_Üb(YEAR(A228),$I$8)*E228,2)</f>
        <v>3.6</v>
      </c>
      <c r="J228" s="10">
        <f t="shared" si="43"/>
        <v>15</v>
      </c>
      <c r="K228" s="10">
        <f t="shared" si="44"/>
        <v>288.60000000000002</v>
      </c>
      <c r="L228" s="10" cm="1">
        <f t="array" ref="L228">ROUND(1/12*MAX(MTSum-R228-K228,MRSum)*Act_qx(x+C228,Geschlecht,getParm(Tarifart,"Tafel"),YEAR(GebDat),x+Dauer,1),2)</f>
        <v>1.83</v>
      </c>
      <c r="M228" s="10" cm="1">
        <f t="array" ref="M228">ROUND(L228*get_Üb(YEAR(A228),$M$8),2)</f>
        <v>0.09</v>
      </c>
      <c r="N228" s="10" cm="1">
        <f t="array" ref="N228">ROUND(R228*getParm(Tarifart,IF(C228&lt;BZDauer,"gamma1","gamma2")),2)</f>
        <v>45.41</v>
      </c>
      <c r="O228" s="10" cm="1">
        <f t="array" ref="O228">ROUND(R228*get_Üb(YEAR(A228),$O$8),2)</f>
        <v>11.35</v>
      </c>
      <c r="P228" s="19">
        <f t="shared" si="45"/>
        <v>9.4575697384000001</v>
      </c>
      <c r="Q228" s="19" cm="1">
        <f t="array" ref="Q228">ROUND(P228+1/getKurs(EDATE(A228,-1))*(K228-L228-N228-getParm(Tarifart,"StK")+M228+O228),10)*(C228&lt;Dauer)</f>
        <v>9.4782244213000002</v>
      </c>
      <c r="R228" s="10" cm="1">
        <f t="array" ref="R228">ROUND(P228*getKurs($A228),2)</f>
        <v>113514.01</v>
      </c>
      <c r="S228" s="10" cm="1">
        <f t="array" ref="S228">ROUND(Q228*getKurs($A228),2)</f>
        <v>113761.91</v>
      </c>
      <c r="T228" s="10">
        <f t="shared" si="41"/>
        <v>117114.01</v>
      </c>
      <c r="U228" s="10" cm="1">
        <f t="array" ref="U228">getParm(Tarifart,"StoSatz")*(Dauer-C228)*Beitrag*Zahlweise*(C228&lt;BZDauer)</f>
        <v>864</v>
      </c>
      <c r="V228" s="10">
        <f t="shared" si="46"/>
        <v>112897.91</v>
      </c>
    </row>
    <row r="229" spans="1:22" x14ac:dyDescent="0.45">
      <c r="A229" s="15">
        <f t="shared" si="47"/>
        <v>43221</v>
      </c>
      <c r="B229">
        <f t="shared" si="37"/>
        <v>220</v>
      </c>
      <c r="C229">
        <f t="shared" si="42"/>
        <v>18</v>
      </c>
      <c r="D229">
        <f t="shared" si="38"/>
        <v>4</v>
      </c>
      <c r="E229">
        <f t="shared" si="39"/>
        <v>1</v>
      </c>
      <c r="F229" s="10">
        <f t="shared" si="40"/>
        <v>300</v>
      </c>
      <c r="G229" s="10" cm="1">
        <f t="array" ref="G229">ROUND(getParm(Tarifart,"alpha")/(2*Zahlweise)*BeiSum*(C229&lt;2)*E229,2)</f>
        <v>0</v>
      </c>
      <c r="H229" s="10" cm="1">
        <f t="array" ref="H229">ROUND(F229*getParm(Tarifart,"beta")*E229,2)</f>
        <v>15</v>
      </c>
      <c r="I229" s="10" cm="1">
        <f t="array" ref="I229">ROUND(F229*get_Üb(YEAR(A229),$I$8)*E229,2)</f>
        <v>3.6</v>
      </c>
      <c r="J229" s="10">
        <f t="shared" si="43"/>
        <v>15</v>
      </c>
      <c r="K229" s="10">
        <f t="shared" si="44"/>
        <v>288.60000000000002</v>
      </c>
      <c r="L229" s="10" cm="1">
        <f t="array" ref="L229">ROUND(1/12*MAX(MTSum-R229-K229,MRSum)*Act_qx(x+C229,Geschlecht,getParm(Tarifart,"Tafel"),YEAR(GebDat),x+Dauer,1),2)</f>
        <v>1.83</v>
      </c>
      <c r="M229" s="10" cm="1">
        <f t="array" ref="M229">ROUND(L229*get_Üb(YEAR(A229),$M$8),2)</f>
        <v>0.09</v>
      </c>
      <c r="N229" s="10" cm="1">
        <f t="array" ref="N229">ROUND(R229*getParm(Tarifart,IF(C229&lt;BZDauer,"gamma1","gamma2")),2)</f>
        <v>48.54</v>
      </c>
      <c r="O229" s="10" cm="1">
        <f t="array" ref="O229">ROUND(R229*get_Üb(YEAR(A229),$O$8),2)</f>
        <v>12.13</v>
      </c>
      <c r="P229" s="19">
        <f t="shared" si="45"/>
        <v>9.4782244213000002</v>
      </c>
      <c r="Q229" s="19" cm="1">
        <f t="array" ref="Q229">ROUND(P229+1/getKurs(EDATE(A229,-1))*(K229-L229-N229-getParm(Tarifart,"StK")+M229+O229),10)*(C229&lt;Dauer)</f>
        <v>9.4990076780999999</v>
      </c>
      <c r="R229" s="10" cm="1">
        <f t="array" ref="R229">ROUND(P229*getKurs($A229),2)</f>
        <v>121342.6</v>
      </c>
      <c r="S229" s="10" cm="1">
        <f t="array" ref="S229">ROUND(Q229*getKurs($A229),2)</f>
        <v>121608.67</v>
      </c>
      <c r="T229" s="10">
        <f t="shared" si="41"/>
        <v>124942.6</v>
      </c>
      <c r="U229" s="10" cm="1">
        <f t="array" ref="U229">getParm(Tarifart,"StoSatz")*(Dauer-C229)*Beitrag*Zahlweise*(C229&lt;BZDauer)</f>
        <v>864</v>
      </c>
      <c r="V229" s="10">
        <f t="shared" si="46"/>
        <v>120744.67</v>
      </c>
    </row>
    <row r="230" spans="1:22" x14ac:dyDescent="0.45">
      <c r="A230" s="15">
        <f t="shared" si="47"/>
        <v>43252</v>
      </c>
      <c r="B230">
        <f t="shared" si="37"/>
        <v>221</v>
      </c>
      <c r="C230">
        <f t="shared" si="42"/>
        <v>18</v>
      </c>
      <c r="D230">
        <f t="shared" si="38"/>
        <v>5</v>
      </c>
      <c r="E230">
        <f t="shared" si="39"/>
        <v>1</v>
      </c>
      <c r="F230" s="10">
        <f t="shared" si="40"/>
        <v>300</v>
      </c>
      <c r="G230" s="10" cm="1">
        <f t="array" ref="G230">ROUND(getParm(Tarifart,"alpha")/(2*Zahlweise)*BeiSum*(C230&lt;2)*E230,2)</f>
        <v>0</v>
      </c>
      <c r="H230" s="10" cm="1">
        <f t="array" ref="H230">ROUND(F230*getParm(Tarifart,"beta")*E230,2)</f>
        <v>15</v>
      </c>
      <c r="I230" s="10" cm="1">
        <f t="array" ref="I230">ROUND(F230*get_Üb(YEAR(A230),$I$8)*E230,2)</f>
        <v>3.6</v>
      </c>
      <c r="J230" s="10">
        <f t="shared" si="43"/>
        <v>15</v>
      </c>
      <c r="K230" s="10">
        <f t="shared" si="44"/>
        <v>288.60000000000002</v>
      </c>
      <c r="L230" s="10" cm="1">
        <f t="array" ref="L230">ROUND(1/12*MAX(MTSum-R230-K230,MRSum)*Act_qx(x+C230,Geschlecht,getParm(Tarifart,"Tafel"),YEAR(GebDat),x+Dauer,1),2)</f>
        <v>1.83</v>
      </c>
      <c r="M230" s="10" cm="1">
        <f t="array" ref="M230">ROUND(L230*get_Üb(YEAR(A230),$M$8),2)</f>
        <v>0.09</v>
      </c>
      <c r="N230" s="10" cm="1">
        <f t="array" ref="N230">ROUND(R230*getParm(Tarifart,IF(C230&lt;BZDauer,"gamma1","gamma2")),2)</f>
        <v>48.35</v>
      </c>
      <c r="O230" s="10" cm="1">
        <f t="array" ref="O230">ROUND(R230*get_Üb(YEAR(A230),$O$8),2)</f>
        <v>12.09</v>
      </c>
      <c r="P230" s="19">
        <f t="shared" si="45"/>
        <v>9.4990076780999999</v>
      </c>
      <c r="Q230" s="19" cm="1">
        <f t="array" ref="Q230">ROUND(P230+1/getKurs(EDATE(A230,-1))*(K230-L230-N230-getParm(Tarifart,"StK")+M230+O230),10)*(C230&lt;Dauer)</f>
        <v>9.5185042509999995</v>
      </c>
      <c r="R230" s="10" cm="1">
        <f t="array" ref="R230">ROUND(P230*getKurs($A230),2)</f>
        <v>120867.94</v>
      </c>
      <c r="S230" s="10" cm="1">
        <f t="array" ref="S230">ROUND(Q230*getKurs($A230),2)</f>
        <v>121116.02</v>
      </c>
      <c r="T230" s="10">
        <f t="shared" si="41"/>
        <v>124467.94</v>
      </c>
      <c r="U230" s="10" cm="1">
        <f t="array" ref="U230">getParm(Tarifart,"StoSatz")*(Dauer-C230)*Beitrag*Zahlweise*(C230&lt;BZDauer)</f>
        <v>864</v>
      </c>
      <c r="V230" s="10">
        <f t="shared" si="46"/>
        <v>120252.02</v>
      </c>
    </row>
    <row r="231" spans="1:22" x14ac:dyDescent="0.45">
      <c r="A231" s="15">
        <f t="shared" si="47"/>
        <v>43282</v>
      </c>
      <c r="B231">
        <f t="shared" si="37"/>
        <v>222</v>
      </c>
      <c r="C231">
        <f t="shared" si="42"/>
        <v>18</v>
      </c>
      <c r="D231">
        <f t="shared" si="38"/>
        <v>6</v>
      </c>
      <c r="E231">
        <f t="shared" si="39"/>
        <v>1</v>
      </c>
      <c r="F231" s="10">
        <f t="shared" si="40"/>
        <v>300</v>
      </c>
      <c r="G231" s="10" cm="1">
        <f t="array" ref="G231">ROUND(getParm(Tarifart,"alpha")/(2*Zahlweise)*BeiSum*(C231&lt;2)*E231,2)</f>
        <v>0</v>
      </c>
      <c r="H231" s="10" cm="1">
        <f t="array" ref="H231">ROUND(F231*getParm(Tarifart,"beta")*E231,2)</f>
        <v>15</v>
      </c>
      <c r="I231" s="10" cm="1">
        <f t="array" ref="I231">ROUND(F231*get_Üb(YEAR(A231),$I$8)*E231,2)</f>
        <v>3.6</v>
      </c>
      <c r="J231" s="10">
        <f t="shared" si="43"/>
        <v>15</v>
      </c>
      <c r="K231" s="10">
        <f t="shared" si="44"/>
        <v>288.60000000000002</v>
      </c>
      <c r="L231" s="10" cm="1">
        <f t="array" ref="L231">ROUND(1/12*MAX(MTSum-R231-K231,MRSum)*Act_qx(x+C231,Geschlecht,getParm(Tarifart,"Tafel"),YEAR(GebDat),x+Dauer,1),2)</f>
        <v>1.83</v>
      </c>
      <c r="M231" s="10" cm="1">
        <f t="array" ref="M231">ROUND(L231*get_Üb(YEAR(A231),$M$8),2)</f>
        <v>0.09</v>
      </c>
      <c r="N231" s="10" cm="1">
        <f t="array" ref="N231">ROUND(R231*getParm(Tarifart,IF(C231&lt;BZDauer,"gamma1","gamma2")),2)</f>
        <v>46.6</v>
      </c>
      <c r="O231" s="10" cm="1">
        <f t="array" ref="O231">ROUND(R231*get_Üb(YEAR(A231),$O$8),2)</f>
        <v>11.65</v>
      </c>
      <c r="P231" s="19">
        <f t="shared" si="45"/>
        <v>9.5185042509999995</v>
      </c>
      <c r="Q231" s="19" cm="1">
        <f t="array" ref="Q231">ROUND(P231+1/getKurs(EDATE(A231,-1))*(K231-L231-N231-getParm(Tarifart,"StK")+M231+O231),10)*(C231&lt;Dauer)</f>
        <v>9.5382232604000006</v>
      </c>
      <c r="R231" s="10" cm="1">
        <f t="array" ref="R231">ROUND(P231*getKurs($A231),2)</f>
        <v>116489.07</v>
      </c>
      <c r="S231" s="10" cm="1">
        <f t="array" ref="S231">ROUND(Q231*getKurs($A231),2)</f>
        <v>116730.4</v>
      </c>
      <c r="T231" s="10">
        <f t="shared" si="41"/>
        <v>120089.07</v>
      </c>
      <c r="U231" s="10" cm="1">
        <f t="array" ref="U231">getParm(Tarifart,"StoSatz")*(Dauer-C231)*Beitrag*Zahlweise*(C231&lt;BZDauer)</f>
        <v>864</v>
      </c>
      <c r="V231" s="10">
        <f t="shared" si="46"/>
        <v>115866.4</v>
      </c>
    </row>
    <row r="232" spans="1:22" x14ac:dyDescent="0.45">
      <c r="A232" s="15">
        <f t="shared" si="47"/>
        <v>43313</v>
      </c>
      <c r="B232">
        <f t="shared" si="37"/>
        <v>223</v>
      </c>
      <c r="C232">
        <f t="shared" si="42"/>
        <v>18</v>
      </c>
      <c r="D232">
        <f t="shared" si="38"/>
        <v>7</v>
      </c>
      <c r="E232">
        <f t="shared" si="39"/>
        <v>1</v>
      </c>
      <c r="F232" s="10">
        <f t="shared" si="40"/>
        <v>300</v>
      </c>
      <c r="G232" s="10" cm="1">
        <f t="array" ref="G232">ROUND(getParm(Tarifart,"alpha")/(2*Zahlweise)*BeiSum*(C232&lt;2)*E232,2)</f>
        <v>0</v>
      </c>
      <c r="H232" s="10" cm="1">
        <f t="array" ref="H232">ROUND(F232*getParm(Tarifart,"beta")*E232,2)</f>
        <v>15</v>
      </c>
      <c r="I232" s="10" cm="1">
        <f t="array" ref="I232">ROUND(F232*get_Üb(YEAR(A232),$I$8)*E232,2)</f>
        <v>3.6</v>
      </c>
      <c r="J232" s="10">
        <f t="shared" si="43"/>
        <v>15</v>
      </c>
      <c r="K232" s="10">
        <f t="shared" si="44"/>
        <v>288.60000000000002</v>
      </c>
      <c r="L232" s="10" cm="1">
        <f t="array" ref="L232">ROUND(1/12*MAX(MTSum-R232-K232,MRSum)*Act_qx(x+C232,Geschlecht,getParm(Tarifart,"Tafel"),YEAR(GebDat),x+Dauer,1),2)</f>
        <v>1.83</v>
      </c>
      <c r="M232" s="10" cm="1">
        <f t="array" ref="M232">ROUND(L232*get_Üb(YEAR(A232),$M$8),2)</f>
        <v>0.09</v>
      </c>
      <c r="N232" s="10" cm="1">
        <f t="array" ref="N232">ROUND(R232*getParm(Tarifart,IF(C232&lt;BZDauer,"gamma1","gamma2")),2)</f>
        <v>48.6</v>
      </c>
      <c r="O232" s="10" cm="1">
        <f t="array" ref="O232">ROUND(R232*get_Üb(YEAR(A232),$O$8),2)</f>
        <v>12.15</v>
      </c>
      <c r="P232" s="19">
        <f t="shared" si="45"/>
        <v>9.5382232604000006</v>
      </c>
      <c r="Q232" s="19" cm="1">
        <f t="array" ref="Q232">ROUND(P232+1/getKurs(EDATE(A232,-1))*(K232-L232-N232-getParm(Tarifart,"StK")+M232+O232),10)*(C232&lt;Dauer)</f>
        <v>9.5586029413000002</v>
      </c>
      <c r="R232" s="10" cm="1">
        <f t="array" ref="R232">ROUND(P232*getKurs($A232),2)</f>
        <v>121488.83</v>
      </c>
      <c r="S232" s="10" cm="1">
        <f t="array" ref="S232">ROUND(Q232*getKurs($A232),2)</f>
        <v>121748.4</v>
      </c>
      <c r="T232" s="10">
        <f t="shared" si="41"/>
        <v>125088.83</v>
      </c>
      <c r="U232" s="10" cm="1">
        <f t="array" ref="U232">getParm(Tarifart,"StoSatz")*(Dauer-C232)*Beitrag*Zahlweise*(C232&lt;BZDauer)</f>
        <v>864</v>
      </c>
      <c r="V232" s="10">
        <f t="shared" si="46"/>
        <v>120884.4</v>
      </c>
    </row>
    <row r="233" spans="1:22" x14ac:dyDescent="0.45">
      <c r="A233" s="15">
        <f t="shared" si="47"/>
        <v>43344</v>
      </c>
      <c r="B233">
        <f t="shared" si="37"/>
        <v>224</v>
      </c>
      <c r="C233">
        <f t="shared" si="42"/>
        <v>18</v>
      </c>
      <c r="D233">
        <f t="shared" si="38"/>
        <v>8</v>
      </c>
      <c r="E233">
        <f t="shared" si="39"/>
        <v>1</v>
      </c>
      <c r="F233" s="10">
        <f t="shared" si="40"/>
        <v>300</v>
      </c>
      <c r="G233" s="10" cm="1">
        <f t="array" ref="G233">ROUND(getParm(Tarifart,"alpha")/(2*Zahlweise)*BeiSum*(C233&lt;2)*E233,2)</f>
        <v>0</v>
      </c>
      <c r="H233" s="10" cm="1">
        <f t="array" ref="H233">ROUND(F233*getParm(Tarifart,"beta")*E233,2)</f>
        <v>15</v>
      </c>
      <c r="I233" s="10" cm="1">
        <f t="array" ref="I233">ROUND(F233*get_Üb(YEAR(A233),$I$8)*E233,2)</f>
        <v>3.6</v>
      </c>
      <c r="J233" s="10">
        <f t="shared" si="43"/>
        <v>15</v>
      </c>
      <c r="K233" s="10">
        <f t="shared" si="44"/>
        <v>288.60000000000002</v>
      </c>
      <c r="L233" s="10" cm="1">
        <f t="array" ref="L233">ROUND(1/12*MAX(MTSum-R233-K233,MRSum)*Act_qx(x+C233,Geschlecht,getParm(Tarifart,"Tafel"),YEAR(GebDat),x+Dauer,1),2)</f>
        <v>1.83</v>
      </c>
      <c r="M233" s="10" cm="1">
        <f t="array" ref="M233">ROUND(L233*get_Üb(YEAR(A233),$M$8),2)</f>
        <v>0.09</v>
      </c>
      <c r="N233" s="10" cm="1">
        <f t="array" ref="N233">ROUND(R233*getParm(Tarifart,IF(C233&lt;BZDauer,"gamma1","gamma2")),2)</f>
        <v>47.21</v>
      </c>
      <c r="O233" s="10" cm="1">
        <f t="array" ref="O233">ROUND(R233*get_Üb(YEAR(A233),$O$8),2)</f>
        <v>11.8</v>
      </c>
      <c r="P233" s="19">
        <f t="shared" si="45"/>
        <v>9.5586029413000002</v>
      </c>
      <c r="Q233" s="19" cm="1">
        <f t="array" ref="Q233">ROUND(P233+1/getKurs(EDATE(A233,-1))*(K233-L233-N233-getParm(Tarifart,"StK")+M233+O233),10)*(C233&lt;Dauer)</f>
        <v>9.5782660500999999</v>
      </c>
      <c r="R233" s="10" cm="1">
        <f t="array" ref="R233">ROUND(P233*getKurs($A233),2)</f>
        <v>118014.43</v>
      </c>
      <c r="S233" s="10" cm="1">
        <f t="array" ref="S233">ROUND(Q233*getKurs($A233),2)</f>
        <v>118257.2</v>
      </c>
      <c r="T233" s="10">
        <f t="shared" si="41"/>
        <v>121614.43</v>
      </c>
      <c r="U233" s="10" cm="1">
        <f t="array" ref="U233">getParm(Tarifart,"StoSatz")*(Dauer-C233)*Beitrag*Zahlweise*(C233&lt;BZDauer)</f>
        <v>864</v>
      </c>
      <c r="V233" s="10">
        <f t="shared" si="46"/>
        <v>117393.2</v>
      </c>
    </row>
    <row r="234" spans="1:22" x14ac:dyDescent="0.45">
      <c r="A234" s="15">
        <f t="shared" si="47"/>
        <v>43374</v>
      </c>
      <c r="B234">
        <f t="shared" si="37"/>
        <v>225</v>
      </c>
      <c r="C234">
        <f t="shared" si="42"/>
        <v>18</v>
      </c>
      <c r="D234">
        <f t="shared" si="38"/>
        <v>9</v>
      </c>
      <c r="E234">
        <f t="shared" si="39"/>
        <v>1</v>
      </c>
      <c r="F234" s="10">
        <f t="shared" si="40"/>
        <v>300</v>
      </c>
      <c r="G234" s="10" cm="1">
        <f t="array" ref="G234">ROUND(getParm(Tarifart,"alpha")/(2*Zahlweise)*BeiSum*(C234&lt;2)*E234,2)</f>
        <v>0</v>
      </c>
      <c r="H234" s="10" cm="1">
        <f t="array" ref="H234">ROUND(F234*getParm(Tarifart,"beta")*E234,2)</f>
        <v>15</v>
      </c>
      <c r="I234" s="10" cm="1">
        <f t="array" ref="I234">ROUND(F234*get_Üb(YEAR(A234),$I$8)*E234,2)</f>
        <v>3.6</v>
      </c>
      <c r="J234" s="10">
        <f t="shared" si="43"/>
        <v>15</v>
      </c>
      <c r="K234" s="10">
        <f t="shared" si="44"/>
        <v>288.60000000000002</v>
      </c>
      <c r="L234" s="10" cm="1">
        <f t="array" ref="L234">ROUND(1/12*MAX(MTSum-R234-K234,MRSum)*Act_qx(x+C234,Geschlecht,getParm(Tarifart,"Tafel"),YEAR(GebDat),x+Dauer,1),2)</f>
        <v>1.83</v>
      </c>
      <c r="M234" s="10" cm="1">
        <f t="array" ref="M234">ROUND(L234*get_Üb(YEAR(A234),$M$8),2)</f>
        <v>0.09</v>
      </c>
      <c r="N234" s="10" cm="1">
        <f t="array" ref="N234">ROUND(R234*getParm(Tarifart,IF(C234&lt;BZDauer,"gamma1","gamma2")),2)</f>
        <v>47.27</v>
      </c>
      <c r="O234" s="10" cm="1">
        <f t="array" ref="O234">ROUND(R234*get_Üb(YEAR(A234),$O$8),2)</f>
        <v>11.82</v>
      </c>
      <c r="P234" s="19">
        <f t="shared" si="45"/>
        <v>9.5782660500999999</v>
      </c>
      <c r="Q234" s="19" cm="1">
        <f t="array" ref="Q234">ROUND(P234+1/getKurs(EDATE(A234,-1))*(K234-L234-N234-getParm(Tarifart,"StK")+M234+O234),10)*(C234&lt;Dauer)</f>
        <v>9.5985480592000005</v>
      </c>
      <c r="R234" s="10" cm="1">
        <f t="array" ref="R234">ROUND(P234*getKurs($A234),2)</f>
        <v>118186.51</v>
      </c>
      <c r="S234" s="10" cm="1">
        <f t="array" ref="S234">ROUND(Q234*getKurs($A234),2)</f>
        <v>118436.77</v>
      </c>
      <c r="T234" s="10">
        <f t="shared" si="41"/>
        <v>121786.51</v>
      </c>
      <c r="U234" s="10" cm="1">
        <f t="array" ref="U234">getParm(Tarifart,"StoSatz")*(Dauer-C234)*Beitrag*Zahlweise*(C234&lt;BZDauer)</f>
        <v>864</v>
      </c>
      <c r="V234" s="10">
        <f t="shared" si="46"/>
        <v>117572.77</v>
      </c>
    </row>
    <row r="235" spans="1:22" x14ac:dyDescent="0.45">
      <c r="A235" s="15">
        <f t="shared" si="47"/>
        <v>43405</v>
      </c>
      <c r="B235">
        <f t="shared" si="37"/>
        <v>226</v>
      </c>
      <c r="C235">
        <f t="shared" si="42"/>
        <v>18</v>
      </c>
      <c r="D235">
        <f t="shared" si="38"/>
        <v>10</v>
      </c>
      <c r="E235">
        <f t="shared" si="39"/>
        <v>1</v>
      </c>
      <c r="F235" s="10">
        <f t="shared" si="40"/>
        <v>300</v>
      </c>
      <c r="G235" s="10" cm="1">
        <f t="array" ref="G235">ROUND(getParm(Tarifart,"alpha")/(2*Zahlweise)*BeiSum*(C235&lt;2)*E235,2)</f>
        <v>0</v>
      </c>
      <c r="H235" s="10" cm="1">
        <f t="array" ref="H235">ROUND(F235*getParm(Tarifart,"beta")*E235,2)</f>
        <v>15</v>
      </c>
      <c r="I235" s="10" cm="1">
        <f t="array" ref="I235">ROUND(F235*get_Üb(YEAR(A235),$I$8)*E235,2)</f>
        <v>3.6</v>
      </c>
      <c r="J235" s="10">
        <f t="shared" si="43"/>
        <v>15</v>
      </c>
      <c r="K235" s="10">
        <f t="shared" si="44"/>
        <v>288.60000000000002</v>
      </c>
      <c r="L235" s="10" cm="1">
        <f t="array" ref="L235">ROUND(1/12*MAX(MTSum-R235-K235,MRSum)*Act_qx(x+C235,Geschlecht,getParm(Tarifart,"Tafel"),YEAR(GebDat),x+Dauer,1),2)</f>
        <v>1.83</v>
      </c>
      <c r="M235" s="10" cm="1">
        <f t="array" ref="M235">ROUND(L235*get_Üb(YEAR(A235),$M$8),2)</f>
        <v>0.09</v>
      </c>
      <c r="N235" s="10" cm="1">
        <f t="array" ref="N235">ROUND(R235*getParm(Tarifart,IF(C235&lt;BZDauer,"gamma1","gamma2")),2)</f>
        <v>44.03</v>
      </c>
      <c r="O235" s="10" cm="1">
        <f t="array" ref="O235">ROUND(R235*get_Üb(YEAR(A235),$O$8),2)</f>
        <v>11.01</v>
      </c>
      <c r="P235" s="19">
        <f t="shared" si="45"/>
        <v>9.5985480592000005</v>
      </c>
      <c r="Q235" s="19" cm="1">
        <f t="array" ref="Q235">ROUND(P235+1/getKurs(EDATE(A235,-1))*(K235-L235-N235-getParm(Tarifart,"StK")+M235+O235),10)*(C235&lt;Dauer)</f>
        <v>9.6190391350999995</v>
      </c>
      <c r="R235" s="10" cm="1">
        <f t="array" ref="R235">ROUND(P235*getKurs($A235),2)</f>
        <v>110081.33</v>
      </c>
      <c r="S235" s="10" cm="1">
        <f t="array" ref="S235">ROUND(Q235*getKurs($A235),2)</f>
        <v>110316.34</v>
      </c>
      <c r="T235" s="10">
        <f t="shared" si="41"/>
        <v>113681.33</v>
      </c>
      <c r="U235" s="10" cm="1">
        <f t="array" ref="U235">getParm(Tarifart,"StoSatz")*(Dauer-C235)*Beitrag*Zahlweise*(C235&lt;BZDauer)</f>
        <v>864</v>
      </c>
      <c r="V235" s="10">
        <f t="shared" si="46"/>
        <v>109452.34</v>
      </c>
    </row>
    <row r="236" spans="1:22" x14ac:dyDescent="0.45">
      <c r="A236" s="15">
        <f t="shared" si="47"/>
        <v>43435</v>
      </c>
      <c r="B236">
        <f t="shared" si="37"/>
        <v>227</v>
      </c>
      <c r="C236">
        <f t="shared" si="42"/>
        <v>18</v>
      </c>
      <c r="D236">
        <f t="shared" si="38"/>
        <v>11</v>
      </c>
      <c r="E236">
        <f t="shared" si="39"/>
        <v>1</v>
      </c>
      <c r="F236" s="10">
        <f t="shared" si="40"/>
        <v>300</v>
      </c>
      <c r="G236" s="10" cm="1">
        <f t="array" ref="G236">ROUND(getParm(Tarifart,"alpha")/(2*Zahlweise)*BeiSum*(C236&lt;2)*E236,2)</f>
        <v>0</v>
      </c>
      <c r="H236" s="10" cm="1">
        <f t="array" ref="H236">ROUND(F236*getParm(Tarifart,"beta")*E236,2)</f>
        <v>15</v>
      </c>
      <c r="I236" s="10" cm="1">
        <f t="array" ref="I236">ROUND(F236*get_Üb(YEAR(A236),$I$8)*E236,2)</f>
        <v>3.6</v>
      </c>
      <c r="J236" s="10">
        <f t="shared" si="43"/>
        <v>15</v>
      </c>
      <c r="K236" s="10">
        <f t="shared" si="44"/>
        <v>288.60000000000002</v>
      </c>
      <c r="L236" s="10" cm="1">
        <f t="array" ref="L236">ROUND(1/12*MAX(MTSum-R236-K236,MRSum)*Act_qx(x+C236,Geschlecht,getParm(Tarifart,"Tafel"),YEAR(GebDat),x+Dauer,1),2)</f>
        <v>1.83</v>
      </c>
      <c r="M236" s="10" cm="1">
        <f t="array" ref="M236">ROUND(L236*get_Üb(YEAR(A236),$M$8),2)</f>
        <v>0.09</v>
      </c>
      <c r="N236" s="10" cm="1">
        <f t="array" ref="N236">ROUND(R236*getParm(Tarifart,IF(C236&lt;BZDauer,"gamma1","gamma2")),2)</f>
        <v>44.11</v>
      </c>
      <c r="O236" s="10" cm="1">
        <f t="array" ref="O236">ROUND(R236*get_Üb(YEAR(A236),$O$8),2)</f>
        <v>11.03</v>
      </c>
      <c r="P236" s="19">
        <f t="shared" si="45"/>
        <v>9.6190391350999995</v>
      </c>
      <c r="Q236" s="19" cm="1">
        <f t="array" ref="Q236">ROUND(P236+1/getKurs(EDATE(A236,-1))*(K236-L236-N236-getParm(Tarifart,"StK")+M236+O236),10)*(C236&lt;Dauer)</f>
        <v>9.6410803016000006</v>
      </c>
      <c r="R236" s="10" cm="1">
        <f t="array" ref="R236">ROUND(P236*getKurs($A236),2)</f>
        <v>110286.71</v>
      </c>
      <c r="S236" s="10" cm="1">
        <f t="array" ref="S236">ROUND(Q236*getKurs($A236),2)</f>
        <v>110539.42</v>
      </c>
      <c r="T236" s="10">
        <f t="shared" si="41"/>
        <v>113886.71</v>
      </c>
      <c r="U236" s="10" cm="1">
        <f t="array" ref="U236">getParm(Tarifart,"StoSatz")*(Dauer-C236)*Beitrag*Zahlweise*(C236&lt;BZDauer)</f>
        <v>864</v>
      </c>
      <c r="V236" s="10">
        <f t="shared" si="46"/>
        <v>109675.42</v>
      </c>
    </row>
    <row r="237" spans="1:22" x14ac:dyDescent="0.45">
      <c r="A237" s="15">
        <f t="shared" si="47"/>
        <v>43466</v>
      </c>
      <c r="B237">
        <f t="shared" si="37"/>
        <v>228</v>
      </c>
      <c r="C237">
        <f t="shared" si="42"/>
        <v>19</v>
      </c>
      <c r="D237">
        <f t="shared" si="38"/>
        <v>0</v>
      </c>
      <c r="E237">
        <f t="shared" si="39"/>
        <v>1</v>
      </c>
      <c r="F237" s="10">
        <f t="shared" si="40"/>
        <v>300</v>
      </c>
      <c r="G237" s="10" cm="1">
        <f t="array" ref="G237">ROUND(getParm(Tarifart,"alpha")/(2*Zahlweise)*BeiSum*(C237&lt;2)*E237,2)</f>
        <v>0</v>
      </c>
      <c r="H237" s="10" cm="1">
        <f t="array" ref="H237">ROUND(F237*getParm(Tarifart,"beta")*E237,2)</f>
        <v>15</v>
      </c>
      <c r="I237" s="10" cm="1">
        <f t="array" ref="I237">ROUND(F237*get_Üb(YEAR(A237),$I$8)*E237,2)</f>
        <v>3.6</v>
      </c>
      <c r="J237" s="10">
        <f t="shared" si="43"/>
        <v>15</v>
      </c>
      <c r="K237" s="10">
        <f t="shared" si="44"/>
        <v>288.60000000000002</v>
      </c>
      <c r="L237" s="10" cm="1">
        <f t="array" ref="L237">ROUND(1/12*MAX(MTSum-R237-K237,MRSum)*Act_qx(x+C237,Geschlecht,getParm(Tarifart,"Tafel"),YEAR(GebDat),x+Dauer,1),2)</f>
        <v>2.0299999999999998</v>
      </c>
      <c r="M237" s="10" cm="1">
        <f t="array" ref="M237">ROUND(L237*get_Üb(YEAR(A237),$M$8),2)</f>
        <v>0.1</v>
      </c>
      <c r="N237" s="10" cm="1">
        <f t="array" ref="N237">ROUND(R237*getParm(Tarifart,IF(C237&lt;BZDauer,"gamma1","gamma2")),2)</f>
        <v>40.799999999999997</v>
      </c>
      <c r="O237" s="10" cm="1">
        <f t="array" ref="O237">ROUND(R237*get_Üb(YEAR(A237),$O$8),2)</f>
        <v>10.199999999999999</v>
      </c>
      <c r="P237" s="19">
        <f t="shared" si="45"/>
        <v>9.6410803016000006</v>
      </c>
      <c r="Q237" s="19" cm="1">
        <f t="array" ref="Q237">ROUND(P237+1/getKurs(EDATE(A237,-1))*(K237-L237-N237-getParm(Tarifart,"StK")+M237+O237),10)*(C237&lt;Dauer)</f>
        <v>9.6633271193999999</v>
      </c>
      <c r="R237" s="10" cm="1">
        <f t="array" ref="R237">ROUND(P237*getKurs($A237),2)</f>
        <v>102004.46</v>
      </c>
      <c r="S237" s="10" cm="1">
        <f t="array" ref="S237">ROUND(Q237*getKurs($A237),2)</f>
        <v>102239.84</v>
      </c>
      <c r="T237" s="10">
        <f t="shared" si="41"/>
        <v>105604.46</v>
      </c>
      <c r="U237" s="10" cm="1">
        <f t="array" ref="U237">getParm(Tarifart,"StoSatz")*(Dauer-C237)*Beitrag*Zahlweise*(C237&lt;BZDauer)</f>
        <v>792</v>
      </c>
      <c r="V237" s="10">
        <f t="shared" si="46"/>
        <v>101447.84</v>
      </c>
    </row>
    <row r="238" spans="1:22" x14ac:dyDescent="0.45">
      <c r="A238" s="15">
        <f t="shared" si="47"/>
        <v>43497</v>
      </c>
      <c r="B238">
        <f t="shared" si="37"/>
        <v>229</v>
      </c>
      <c r="C238">
        <f t="shared" si="42"/>
        <v>19</v>
      </c>
      <c r="D238">
        <f t="shared" si="38"/>
        <v>1</v>
      </c>
      <c r="E238">
        <f t="shared" si="39"/>
        <v>1</v>
      </c>
      <c r="F238" s="10">
        <f t="shared" si="40"/>
        <v>300</v>
      </c>
      <c r="G238" s="10" cm="1">
        <f t="array" ref="G238">ROUND(getParm(Tarifart,"alpha")/(2*Zahlweise)*BeiSum*(C238&lt;2)*E238,2)</f>
        <v>0</v>
      </c>
      <c r="H238" s="10" cm="1">
        <f t="array" ref="H238">ROUND(F238*getParm(Tarifart,"beta")*E238,2)</f>
        <v>15</v>
      </c>
      <c r="I238" s="10" cm="1">
        <f t="array" ref="I238">ROUND(F238*get_Üb(YEAR(A238),$I$8)*E238,2)</f>
        <v>3.6</v>
      </c>
      <c r="J238" s="10">
        <f t="shared" si="43"/>
        <v>15</v>
      </c>
      <c r="K238" s="10">
        <f t="shared" si="44"/>
        <v>288.60000000000002</v>
      </c>
      <c r="L238" s="10" cm="1">
        <f t="array" ref="L238">ROUND(1/12*MAX(MTSum-R238-K238,MRSum)*Act_qx(x+C238,Geschlecht,getParm(Tarifart,"Tafel"),YEAR(GebDat),x+Dauer,1),2)</f>
        <v>2.0299999999999998</v>
      </c>
      <c r="M238" s="10" cm="1">
        <f t="array" ref="M238">ROUND(L238*get_Üb(YEAR(A238),$M$8),2)</f>
        <v>0.1</v>
      </c>
      <c r="N238" s="10" cm="1">
        <f t="array" ref="N238">ROUND(R238*getParm(Tarifart,IF(C238&lt;BZDauer,"gamma1","gamma2")),2)</f>
        <v>43.22</v>
      </c>
      <c r="O238" s="10" cm="1">
        <f t="array" ref="O238">ROUND(R238*get_Üb(YEAR(A238),$O$8),2)</f>
        <v>10.8</v>
      </c>
      <c r="P238" s="19">
        <f t="shared" si="45"/>
        <v>9.6633271193999999</v>
      </c>
      <c r="Q238" s="19" cm="1">
        <f t="array" ref="Q238">ROUND(P238+1/getKurs(EDATE(A238,-1))*(K238-L238-N238-getParm(Tarifart,"StK")+M238+O238),10)*(C238&lt;Dauer)</f>
        <v>9.6872633624999995</v>
      </c>
      <c r="R238" s="10" cm="1">
        <f t="array" ref="R238">ROUND(P238*getKurs($A238),2)</f>
        <v>108042.37</v>
      </c>
      <c r="S238" s="10" cm="1">
        <f t="array" ref="S238">ROUND(Q238*getKurs($A238),2)</f>
        <v>108310</v>
      </c>
      <c r="T238" s="10">
        <f t="shared" si="41"/>
        <v>111642.37</v>
      </c>
      <c r="U238" s="10" cm="1">
        <f t="array" ref="U238">getParm(Tarifart,"StoSatz")*(Dauer-C238)*Beitrag*Zahlweise*(C238&lt;BZDauer)</f>
        <v>792</v>
      </c>
      <c r="V238" s="10">
        <f t="shared" si="46"/>
        <v>107518</v>
      </c>
    </row>
    <row r="239" spans="1:22" x14ac:dyDescent="0.45">
      <c r="A239" s="15">
        <f t="shared" si="47"/>
        <v>43525</v>
      </c>
      <c r="B239">
        <f t="shared" si="37"/>
        <v>230</v>
      </c>
      <c r="C239">
        <f t="shared" si="42"/>
        <v>19</v>
      </c>
      <c r="D239">
        <f t="shared" si="38"/>
        <v>2</v>
      </c>
      <c r="E239">
        <f t="shared" si="39"/>
        <v>1</v>
      </c>
      <c r="F239" s="10">
        <f t="shared" si="40"/>
        <v>300</v>
      </c>
      <c r="G239" s="10" cm="1">
        <f t="array" ref="G239">ROUND(getParm(Tarifart,"alpha")/(2*Zahlweise)*BeiSum*(C239&lt;2)*E239,2)</f>
        <v>0</v>
      </c>
      <c r="H239" s="10" cm="1">
        <f t="array" ref="H239">ROUND(F239*getParm(Tarifart,"beta")*E239,2)</f>
        <v>15</v>
      </c>
      <c r="I239" s="10" cm="1">
        <f t="array" ref="I239">ROUND(F239*get_Üb(YEAR(A239),$I$8)*E239,2)</f>
        <v>3.6</v>
      </c>
      <c r="J239" s="10">
        <f t="shared" si="43"/>
        <v>15</v>
      </c>
      <c r="K239" s="10">
        <f t="shared" si="44"/>
        <v>288.60000000000002</v>
      </c>
      <c r="L239" s="10" cm="1">
        <f t="array" ref="L239">ROUND(1/12*MAX(MTSum-R239-K239,MRSum)*Act_qx(x+C239,Geschlecht,getParm(Tarifart,"Tafel"),YEAR(GebDat),x+Dauer,1),2)</f>
        <v>2.0299999999999998</v>
      </c>
      <c r="M239" s="10" cm="1">
        <f t="array" ref="M239">ROUND(L239*get_Üb(YEAR(A239),$M$8),2)</f>
        <v>0.1</v>
      </c>
      <c r="N239" s="10" cm="1">
        <f t="array" ref="N239">ROUND(R239*getParm(Tarifart,IF(C239&lt;BZDauer,"gamma1","gamma2")),2)</f>
        <v>44.96</v>
      </c>
      <c r="O239" s="10" cm="1">
        <f t="array" ref="O239">ROUND(R239*get_Üb(YEAR(A239),$O$8),2)</f>
        <v>11.24</v>
      </c>
      <c r="P239" s="19">
        <f t="shared" si="45"/>
        <v>9.6872633624999995</v>
      </c>
      <c r="Q239" s="19" cm="1">
        <f t="array" ref="Q239">ROUND(P239+1/getKurs(EDATE(A239,-1))*(K239-L239-N239-getParm(Tarifart,"StK")+M239+O239),10)*(C239&lt;Dauer)</f>
        <v>9.7097978103999996</v>
      </c>
      <c r="R239" s="10" cm="1">
        <f t="array" ref="R239">ROUND(P239*getKurs($A239),2)</f>
        <v>112388.53</v>
      </c>
      <c r="S239" s="10" cm="1">
        <f t="array" ref="S239">ROUND(Q239*getKurs($A239),2)</f>
        <v>112649.97</v>
      </c>
      <c r="T239" s="10">
        <f t="shared" si="41"/>
        <v>115988.53</v>
      </c>
      <c r="U239" s="10" cm="1">
        <f t="array" ref="U239">getParm(Tarifart,"StoSatz")*(Dauer-C239)*Beitrag*Zahlweise*(C239&lt;BZDauer)</f>
        <v>792</v>
      </c>
      <c r="V239" s="10">
        <f t="shared" si="46"/>
        <v>111857.97</v>
      </c>
    </row>
    <row r="240" spans="1:22" x14ac:dyDescent="0.45">
      <c r="A240" s="15">
        <f t="shared" si="47"/>
        <v>43556</v>
      </c>
      <c r="B240">
        <f t="shared" si="37"/>
        <v>231</v>
      </c>
      <c r="C240">
        <f t="shared" si="42"/>
        <v>19</v>
      </c>
      <c r="D240">
        <f t="shared" si="38"/>
        <v>3</v>
      </c>
      <c r="E240">
        <f t="shared" si="39"/>
        <v>1</v>
      </c>
      <c r="F240" s="10">
        <f t="shared" si="40"/>
        <v>300</v>
      </c>
      <c r="G240" s="10" cm="1">
        <f t="array" ref="G240">ROUND(getParm(Tarifart,"alpha")/(2*Zahlweise)*BeiSum*(C240&lt;2)*E240,2)</f>
        <v>0</v>
      </c>
      <c r="H240" s="10" cm="1">
        <f t="array" ref="H240">ROUND(F240*getParm(Tarifart,"beta")*E240,2)</f>
        <v>15</v>
      </c>
      <c r="I240" s="10" cm="1">
        <f t="array" ref="I240">ROUND(F240*get_Üb(YEAR(A240),$I$8)*E240,2)</f>
        <v>3.6</v>
      </c>
      <c r="J240" s="10">
        <f t="shared" si="43"/>
        <v>15</v>
      </c>
      <c r="K240" s="10">
        <f t="shared" si="44"/>
        <v>288.60000000000002</v>
      </c>
      <c r="L240" s="10" cm="1">
        <f t="array" ref="L240">ROUND(1/12*MAX(MTSum-R240-K240,MRSum)*Act_qx(x+C240,Geschlecht,getParm(Tarifart,"Tafel"),YEAR(GebDat),x+Dauer,1),2)</f>
        <v>2.0299999999999998</v>
      </c>
      <c r="M240" s="10" cm="1">
        <f t="array" ref="M240">ROUND(L240*get_Üb(YEAR(A240),$M$8),2)</f>
        <v>0.1</v>
      </c>
      <c r="N240" s="10" cm="1">
        <f t="array" ref="N240">ROUND(R240*getParm(Tarifart,IF(C240&lt;BZDauer,"gamma1","gamma2")),2)</f>
        <v>45.37</v>
      </c>
      <c r="O240" s="10" cm="1">
        <f t="array" ref="O240">ROUND(R240*get_Üb(YEAR(A240),$O$8),2)</f>
        <v>11.34</v>
      </c>
      <c r="P240" s="19">
        <f t="shared" si="45"/>
        <v>9.7097978103999996</v>
      </c>
      <c r="Q240" s="19" cm="1">
        <f t="array" ref="Q240">ROUND(P240+1/getKurs(EDATE(A240,-1))*(K240-L240-N240-getParm(Tarifart,"StK")+M240+O240),10)*(C240&lt;Dauer)</f>
        <v>9.7314877724999995</v>
      </c>
      <c r="R240" s="10" cm="1">
        <f t="array" ref="R240">ROUND(P240*getKurs($A240),2)</f>
        <v>113429.75999999999</v>
      </c>
      <c r="S240" s="10" cm="1">
        <f t="array" ref="S240">ROUND(Q240*getKurs($A240),2)</f>
        <v>113683.14</v>
      </c>
      <c r="T240" s="10">
        <f t="shared" si="41"/>
        <v>117029.75999999999</v>
      </c>
      <c r="U240" s="10" cm="1">
        <f t="array" ref="U240">getParm(Tarifart,"StoSatz")*(Dauer-C240)*Beitrag*Zahlweise*(C240&lt;BZDauer)</f>
        <v>792</v>
      </c>
      <c r="V240" s="10">
        <f t="shared" si="46"/>
        <v>112891.14</v>
      </c>
    </row>
    <row r="241" spans="1:22" x14ac:dyDescent="0.45">
      <c r="A241" s="15">
        <f t="shared" si="47"/>
        <v>43586</v>
      </c>
      <c r="B241">
        <f t="shared" si="37"/>
        <v>232</v>
      </c>
      <c r="C241">
        <f t="shared" si="42"/>
        <v>19</v>
      </c>
      <c r="D241">
        <f t="shared" si="38"/>
        <v>4</v>
      </c>
      <c r="E241">
        <f t="shared" si="39"/>
        <v>1</v>
      </c>
      <c r="F241" s="10">
        <f t="shared" si="40"/>
        <v>300</v>
      </c>
      <c r="G241" s="10" cm="1">
        <f t="array" ref="G241">ROUND(getParm(Tarifart,"alpha")/(2*Zahlweise)*BeiSum*(C241&lt;2)*E241,2)</f>
        <v>0</v>
      </c>
      <c r="H241" s="10" cm="1">
        <f t="array" ref="H241">ROUND(F241*getParm(Tarifart,"beta")*E241,2)</f>
        <v>15</v>
      </c>
      <c r="I241" s="10" cm="1">
        <f t="array" ref="I241">ROUND(F241*get_Üb(YEAR(A241),$I$8)*E241,2)</f>
        <v>3.6</v>
      </c>
      <c r="J241" s="10">
        <f t="shared" si="43"/>
        <v>15</v>
      </c>
      <c r="K241" s="10">
        <f t="shared" si="44"/>
        <v>288.60000000000002</v>
      </c>
      <c r="L241" s="10" cm="1">
        <f t="array" ref="L241">ROUND(1/12*MAX(MTSum-R241-K241,MRSum)*Act_qx(x+C241,Geschlecht,getParm(Tarifart,"Tafel"),YEAR(GebDat),x+Dauer,1),2)</f>
        <v>2.0299999999999998</v>
      </c>
      <c r="M241" s="10" cm="1">
        <f t="array" ref="M241">ROUND(L241*get_Üb(YEAR(A241),$M$8),2)</f>
        <v>0.1</v>
      </c>
      <c r="N241" s="10" cm="1">
        <f t="array" ref="N241">ROUND(R241*getParm(Tarifart,IF(C241&lt;BZDauer,"gamma1","gamma2")),2)</f>
        <v>48.06</v>
      </c>
      <c r="O241" s="10" cm="1">
        <f t="array" ref="O241">ROUND(R241*get_Üb(YEAR(A241),$O$8),2)</f>
        <v>12.01</v>
      </c>
      <c r="P241" s="19">
        <f t="shared" si="45"/>
        <v>9.7314877724999995</v>
      </c>
      <c r="Q241" s="19" cm="1">
        <f t="array" ref="Q241">ROUND(P241+1/getKurs(EDATE(A241,-1))*(K241-L241-N241-getParm(Tarifart,"StK")+M241+O241),10)*(C241&lt;Dauer)</f>
        <v>9.7528557072000002</v>
      </c>
      <c r="R241" s="10" cm="1">
        <f t="array" ref="R241">ROUND(P241*getKurs($A241),2)</f>
        <v>120139.3</v>
      </c>
      <c r="S241" s="10" cm="1">
        <f t="array" ref="S241">ROUND(Q241*getKurs($A241),2)</f>
        <v>120403.1</v>
      </c>
      <c r="T241" s="10">
        <f t="shared" si="41"/>
        <v>123739.3</v>
      </c>
      <c r="U241" s="10" cm="1">
        <f t="array" ref="U241">getParm(Tarifart,"StoSatz")*(Dauer-C241)*Beitrag*Zahlweise*(C241&lt;BZDauer)</f>
        <v>792</v>
      </c>
      <c r="V241" s="10">
        <f t="shared" si="46"/>
        <v>119611.1</v>
      </c>
    </row>
    <row r="242" spans="1:22" x14ac:dyDescent="0.45">
      <c r="A242" s="15">
        <f t="shared" si="47"/>
        <v>43617</v>
      </c>
      <c r="B242">
        <f t="shared" si="37"/>
        <v>233</v>
      </c>
      <c r="C242">
        <f t="shared" si="42"/>
        <v>19</v>
      </c>
      <c r="D242">
        <f t="shared" si="38"/>
        <v>5</v>
      </c>
      <c r="E242">
        <f t="shared" si="39"/>
        <v>1</v>
      </c>
      <c r="F242" s="10">
        <f t="shared" si="40"/>
        <v>300</v>
      </c>
      <c r="G242" s="10" cm="1">
        <f t="array" ref="G242">ROUND(getParm(Tarifart,"alpha")/(2*Zahlweise)*BeiSum*(C242&lt;2)*E242,2)</f>
        <v>0</v>
      </c>
      <c r="H242" s="10" cm="1">
        <f t="array" ref="H242">ROUND(F242*getParm(Tarifart,"beta")*E242,2)</f>
        <v>15</v>
      </c>
      <c r="I242" s="10" cm="1">
        <f t="array" ref="I242">ROUND(F242*get_Üb(YEAR(A242),$I$8)*E242,2)</f>
        <v>3.6</v>
      </c>
      <c r="J242" s="10">
        <f t="shared" si="43"/>
        <v>15</v>
      </c>
      <c r="K242" s="10">
        <f t="shared" si="44"/>
        <v>288.60000000000002</v>
      </c>
      <c r="L242" s="10" cm="1">
        <f t="array" ref="L242">ROUND(1/12*MAX(MTSum-R242-K242,MRSum)*Act_qx(x+C242,Geschlecht,getParm(Tarifart,"Tafel"),YEAR(GebDat),x+Dauer,1),2)</f>
        <v>2.0299999999999998</v>
      </c>
      <c r="M242" s="10" cm="1">
        <f t="array" ref="M242">ROUND(L242*get_Üb(YEAR(A242),$M$8),2)</f>
        <v>0.1</v>
      </c>
      <c r="N242" s="10" cm="1">
        <f t="array" ref="N242">ROUND(R242*getParm(Tarifart,IF(C242&lt;BZDauer,"gamma1","gamma2")),2)</f>
        <v>46.01</v>
      </c>
      <c r="O242" s="10" cm="1">
        <f t="array" ref="O242">ROUND(R242*get_Üb(YEAR(A242),$O$8),2)</f>
        <v>11.5</v>
      </c>
      <c r="P242" s="19">
        <f t="shared" si="45"/>
        <v>9.7528557072000002</v>
      </c>
      <c r="Q242" s="19" cm="1">
        <f t="array" ref="Q242">ROUND(P242+1/getKurs(EDATE(A242,-1))*(K242-L242-N242-getParm(Tarifart,"StK")+M242+O242),10)*(C242&lt;Dauer)</f>
        <v>9.7732000939999999</v>
      </c>
      <c r="R242" s="10" cm="1">
        <f t="array" ref="R242">ROUND(P242*getKurs($A242),2)</f>
        <v>115013.57</v>
      </c>
      <c r="S242" s="10" cm="1">
        <f t="array" ref="S242">ROUND(Q242*getKurs($A242),2)</f>
        <v>115253.49</v>
      </c>
      <c r="T242" s="10">
        <f t="shared" si="41"/>
        <v>118613.57</v>
      </c>
      <c r="U242" s="10" cm="1">
        <f t="array" ref="U242">getParm(Tarifart,"StoSatz")*(Dauer-C242)*Beitrag*Zahlweise*(C242&lt;BZDauer)</f>
        <v>792</v>
      </c>
      <c r="V242" s="10">
        <f t="shared" si="46"/>
        <v>114461.49</v>
      </c>
    </row>
    <row r="243" spans="1:22" x14ac:dyDescent="0.45">
      <c r="A243" s="15">
        <f t="shared" si="47"/>
        <v>43647</v>
      </c>
      <c r="B243">
        <f t="shared" si="37"/>
        <v>234</v>
      </c>
      <c r="C243">
        <f t="shared" si="42"/>
        <v>19</v>
      </c>
      <c r="D243">
        <f t="shared" si="38"/>
        <v>6</v>
      </c>
      <c r="E243">
        <f t="shared" si="39"/>
        <v>1</v>
      </c>
      <c r="F243" s="10">
        <f t="shared" si="40"/>
        <v>300</v>
      </c>
      <c r="G243" s="10" cm="1">
        <f t="array" ref="G243">ROUND(getParm(Tarifart,"alpha")/(2*Zahlweise)*BeiSum*(C243&lt;2)*E243,2)</f>
        <v>0</v>
      </c>
      <c r="H243" s="10" cm="1">
        <f t="array" ref="H243">ROUND(F243*getParm(Tarifart,"beta")*E243,2)</f>
        <v>15</v>
      </c>
      <c r="I243" s="10" cm="1">
        <f t="array" ref="I243">ROUND(F243*get_Üb(YEAR(A243),$I$8)*E243,2)</f>
        <v>3.6</v>
      </c>
      <c r="J243" s="10">
        <f t="shared" si="43"/>
        <v>15</v>
      </c>
      <c r="K243" s="10">
        <f t="shared" si="44"/>
        <v>288.60000000000002</v>
      </c>
      <c r="L243" s="10" cm="1">
        <f t="array" ref="L243">ROUND(1/12*MAX(MTSum-R243-K243,MRSum)*Act_qx(x+C243,Geschlecht,getParm(Tarifart,"Tafel"),YEAR(GebDat),x+Dauer,1),2)</f>
        <v>2.0299999999999998</v>
      </c>
      <c r="M243" s="10" cm="1">
        <f t="array" ref="M243">ROUND(L243*get_Üb(YEAR(A243),$M$8),2)</f>
        <v>0.1</v>
      </c>
      <c r="N243" s="10" cm="1">
        <f t="array" ref="N243">ROUND(R243*getParm(Tarifart,IF(C243&lt;BZDauer,"gamma1","gamma2")),2)</f>
        <v>48.95</v>
      </c>
      <c r="O243" s="10" cm="1">
        <f t="array" ref="O243">ROUND(R243*get_Üb(YEAR(A243),$O$8),2)</f>
        <v>12.24</v>
      </c>
      <c r="P243" s="19">
        <f t="shared" si="45"/>
        <v>9.7732000939999999</v>
      </c>
      <c r="Q243" s="19" cm="1">
        <f t="array" ref="Q243">ROUND(P243+1/getKurs(EDATE(A243,-1))*(K243-L243-N243-getParm(Tarifart,"StK")+M243+O243),10)*(C243&lt;Dauer)</f>
        <v>9.7943112626000008</v>
      </c>
      <c r="R243" s="10" cm="1">
        <f t="array" ref="R243">ROUND(P243*getKurs($A243),2)</f>
        <v>122373.95</v>
      </c>
      <c r="S243" s="10" cm="1">
        <f t="array" ref="S243">ROUND(Q243*getKurs($A243),2)</f>
        <v>122638.29</v>
      </c>
      <c r="T243" s="10">
        <f t="shared" si="41"/>
        <v>125973.95</v>
      </c>
      <c r="U243" s="10" cm="1">
        <f t="array" ref="U243">getParm(Tarifart,"StoSatz")*(Dauer-C243)*Beitrag*Zahlweise*(C243&lt;BZDauer)</f>
        <v>792</v>
      </c>
      <c r="V243" s="10">
        <f t="shared" si="46"/>
        <v>121846.29</v>
      </c>
    </row>
    <row r="244" spans="1:22" x14ac:dyDescent="0.45">
      <c r="A244" s="15">
        <f t="shared" si="47"/>
        <v>43678</v>
      </c>
      <c r="B244">
        <f t="shared" si="37"/>
        <v>235</v>
      </c>
      <c r="C244">
        <f t="shared" si="42"/>
        <v>19</v>
      </c>
      <c r="D244">
        <f t="shared" si="38"/>
        <v>7</v>
      </c>
      <c r="E244">
        <f t="shared" si="39"/>
        <v>1</v>
      </c>
      <c r="F244" s="10">
        <f t="shared" si="40"/>
        <v>300</v>
      </c>
      <c r="G244" s="10" cm="1">
        <f t="array" ref="G244">ROUND(getParm(Tarifart,"alpha")/(2*Zahlweise)*BeiSum*(C244&lt;2)*E244,2)</f>
        <v>0</v>
      </c>
      <c r="H244" s="10" cm="1">
        <f t="array" ref="H244">ROUND(F244*getParm(Tarifart,"beta")*E244,2)</f>
        <v>15</v>
      </c>
      <c r="I244" s="10" cm="1">
        <f t="array" ref="I244">ROUND(F244*get_Üb(YEAR(A244),$I$8)*E244,2)</f>
        <v>3.6</v>
      </c>
      <c r="J244" s="10">
        <f t="shared" si="43"/>
        <v>15</v>
      </c>
      <c r="K244" s="10">
        <f t="shared" si="44"/>
        <v>288.60000000000002</v>
      </c>
      <c r="L244" s="10" cm="1">
        <f t="array" ref="L244">ROUND(1/12*MAX(MTSum-R244-K244,MRSum)*Act_qx(x+C244,Geschlecht,getParm(Tarifart,"Tafel"),YEAR(GebDat),x+Dauer,1),2)</f>
        <v>2.0299999999999998</v>
      </c>
      <c r="M244" s="10" cm="1">
        <f t="array" ref="M244">ROUND(L244*get_Üb(YEAR(A244),$M$8),2)</f>
        <v>0.1</v>
      </c>
      <c r="N244" s="10" cm="1">
        <f t="array" ref="N244">ROUND(R244*getParm(Tarifart,IF(C244&lt;BZDauer,"gamma1","gamma2")),2)</f>
        <v>48</v>
      </c>
      <c r="O244" s="10" cm="1">
        <f t="array" ref="O244">ROUND(R244*get_Üb(YEAR(A244),$O$8),2)</f>
        <v>12</v>
      </c>
      <c r="P244" s="19">
        <f t="shared" si="45"/>
        <v>9.7943112626000008</v>
      </c>
      <c r="Q244" s="19" cm="1">
        <f t="array" ref="Q244">ROUND(P244+1/getKurs(EDATE(A244,-1))*(K244-L244-N244-getParm(Tarifart,"StK")+M244+O244),10)*(C244&lt;Dauer)</f>
        <v>9.8142507581</v>
      </c>
      <c r="R244" s="10" cm="1">
        <f t="array" ref="R244">ROUND(P244*getKurs($A244),2)</f>
        <v>120011.17</v>
      </c>
      <c r="S244" s="10" cm="1">
        <f t="array" ref="S244">ROUND(Q244*getKurs($A244),2)</f>
        <v>120255.49</v>
      </c>
      <c r="T244" s="10">
        <f t="shared" si="41"/>
        <v>123611.17</v>
      </c>
      <c r="U244" s="10" cm="1">
        <f t="array" ref="U244">getParm(Tarifart,"StoSatz")*(Dauer-C244)*Beitrag*Zahlweise*(C244&lt;BZDauer)</f>
        <v>792</v>
      </c>
      <c r="V244" s="10">
        <f t="shared" si="46"/>
        <v>119463.49</v>
      </c>
    </row>
    <row r="245" spans="1:22" x14ac:dyDescent="0.45">
      <c r="A245" s="15">
        <f t="shared" si="47"/>
        <v>43709</v>
      </c>
      <c r="B245">
        <f t="shared" si="37"/>
        <v>236</v>
      </c>
      <c r="C245">
        <f t="shared" si="42"/>
        <v>19</v>
      </c>
      <c r="D245">
        <f t="shared" si="38"/>
        <v>8</v>
      </c>
      <c r="E245">
        <f t="shared" si="39"/>
        <v>1</v>
      </c>
      <c r="F245" s="10">
        <f t="shared" si="40"/>
        <v>300</v>
      </c>
      <c r="G245" s="10" cm="1">
        <f t="array" ref="G245">ROUND(getParm(Tarifart,"alpha")/(2*Zahlweise)*BeiSum*(C245&lt;2)*E245,2)</f>
        <v>0</v>
      </c>
      <c r="H245" s="10" cm="1">
        <f t="array" ref="H245">ROUND(F245*getParm(Tarifart,"beta")*E245,2)</f>
        <v>15</v>
      </c>
      <c r="I245" s="10" cm="1">
        <f t="array" ref="I245">ROUND(F245*get_Üb(YEAR(A245),$I$8)*E245,2)</f>
        <v>3.6</v>
      </c>
      <c r="J245" s="10">
        <f t="shared" si="43"/>
        <v>15</v>
      </c>
      <c r="K245" s="10">
        <f t="shared" si="44"/>
        <v>288.60000000000002</v>
      </c>
      <c r="L245" s="10" cm="1">
        <f t="array" ref="L245">ROUND(1/12*MAX(MTSum-R245-K245,MRSum)*Act_qx(x+C245,Geschlecht,getParm(Tarifart,"Tafel"),YEAR(GebDat),x+Dauer,1),2)</f>
        <v>2.0299999999999998</v>
      </c>
      <c r="M245" s="10" cm="1">
        <f t="array" ref="M245">ROUND(L245*get_Üb(YEAR(A245),$M$8),2)</f>
        <v>0.1</v>
      </c>
      <c r="N245" s="10" cm="1">
        <f t="array" ref="N245">ROUND(R245*getParm(Tarifart,IF(C245&lt;BZDauer,"gamma1","gamma2")),2)</f>
        <v>46.93</v>
      </c>
      <c r="O245" s="10" cm="1">
        <f t="array" ref="O245">ROUND(R245*get_Üb(YEAR(A245),$O$8),2)</f>
        <v>11.73</v>
      </c>
      <c r="P245" s="19">
        <f t="shared" si="45"/>
        <v>9.8142507581</v>
      </c>
      <c r="Q245" s="19" cm="1">
        <f t="array" ref="Q245">ROUND(P245+1/getKurs(EDATE(A245,-1))*(K245-L245-N245-getParm(Tarifart,"StK")+M245+O245),10)*(C245&lt;Dauer)</f>
        <v>9.8346920323999996</v>
      </c>
      <c r="R245" s="10" cm="1">
        <f t="array" ref="R245">ROUND(P245*getKurs($A245),2)</f>
        <v>117317.39</v>
      </c>
      <c r="S245" s="10" cm="1">
        <f t="array" ref="S245">ROUND(Q245*getKurs($A245),2)</f>
        <v>117561.74</v>
      </c>
      <c r="T245" s="10">
        <f t="shared" si="41"/>
        <v>120917.39</v>
      </c>
      <c r="U245" s="10" cm="1">
        <f t="array" ref="U245">getParm(Tarifart,"StoSatz")*(Dauer-C245)*Beitrag*Zahlweise*(C245&lt;BZDauer)</f>
        <v>792</v>
      </c>
      <c r="V245" s="10">
        <f t="shared" si="46"/>
        <v>116769.74</v>
      </c>
    </row>
    <row r="246" spans="1:22" x14ac:dyDescent="0.45">
      <c r="A246" s="15">
        <f t="shared" si="47"/>
        <v>43739</v>
      </c>
      <c r="B246">
        <f t="shared" si="37"/>
        <v>237</v>
      </c>
      <c r="C246">
        <f t="shared" si="42"/>
        <v>19</v>
      </c>
      <c r="D246">
        <f t="shared" si="38"/>
        <v>9</v>
      </c>
      <c r="E246">
        <f t="shared" si="39"/>
        <v>1</v>
      </c>
      <c r="F246" s="10">
        <f t="shared" si="40"/>
        <v>300</v>
      </c>
      <c r="G246" s="10" cm="1">
        <f t="array" ref="G246">ROUND(getParm(Tarifart,"alpha")/(2*Zahlweise)*BeiSum*(C246&lt;2)*E246,2)</f>
        <v>0</v>
      </c>
      <c r="H246" s="10" cm="1">
        <f t="array" ref="H246">ROUND(F246*getParm(Tarifart,"beta")*E246,2)</f>
        <v>15</v>
      </c>
      <c r="I246" s="10" cm="1">
        <f t="array" ref="I246">ROUND(F246*get_Üb(YEAR(A246),$I$8)*E246,2)</f>
        <v>3.6</v>
      </c>
      <c r="J246" s="10">
        <f t="shared" si="43"/>
        <v>15</v>
      </c>
      <c r="K246" s="10">
        <f t="shared" si="44"/>
        <v>288.60000000000002</v>
      </c>
      <c r="L246" s="10" cm="1">
        <f t="array" ref="L246">ROUND(1/12*MAX(MTSum-R246-K246,MRSum)*Act_qx(x+C246,Geschlecht,getParm(Tarifart,"Tafel"),YEAR(GebDat),x+Dauer,1),2)</f>
        <v>2.0299999999999998</v>
      </c>
      <c r="M246" s="10" cm="1">
        <f t="array" ref="M246">ROUND(L246*get_Üb(YEAR(A246),$M$8),2)</f>
        <v>0.1</v>
      </c>
      <c r="N246" s="10" cm="1">
        <f t="array" ref="N246">ROUND(R246*getParm(Tarifart,IF(C246&lt;BZDauer,"gamma1","gamma2")),2)</f>
        <v>48.24</v>
      </c>
      <c r="O246" s="10" cm="1">
        <f t="array" ref="O246">ROUND(R246*get_Üb(YEAR(A246),$O$8),2)</f>
        <v>12.06</v>
      </c>
      <c r="P246" s="19">
        <f t="shared" si="45"/>
        <v>9.8346920323999996</v>
      </c>
      <c r="Q246" s="19" cm="1">
        <f t="array" ref="Q246">ROUND(P246+1/getKurs(EDATE(A246,-1))*(K246-L246-N246-getParm(Tarifart,"StK")+M246+O246),10)*(C246&lt;Dauer)</f>
        <v>9.8555632546999998</v>
      </c>
      <c r="R246" s="10" cm="1">
        <f t="array" ref="R246">ROUND(P246*getKurs($A246),2)</f>
        <v>120610.99</v>
      </c>
      <c r="S246" s="10" cm="1">
        <f t="array" ref="S246">ROUND(Q246*getKurs($A246),2)</f>
        <v>120866.95</v>
      </c>
      <c r="T246" s="10">
        <f t="shared" si="41"/>
        <v>124210.99</v>
      </c>
      <c r="U246" s="10" cm="1">
        <f t="array" ref="U246">getParm(Tarifart,"StoSatz")*(Dauer-C246)*Beitrag*Zahlweise*(C246&lt;BZDauer)</f>
        <v>792</v>
      </c>
      <c r="V246" s="10">
        <f t="shared" si="46"/>
        <v>120074.95</v>
      </c>
    </row>
    <row r="247" spans="1:22" x14ac:dyDescent="0.45">
      <c r="A247" s="15">
        <f t="shared" si="47"/>
        <v>43770</v>
      </c>
      <c r="B247">
        <f t="shared" si="37"/>
        <v>238</v>
      </c>
      <c r="C247">
        <f t="shared" si="42"/>
        <v>19</v>
      </c>
      <c r="D247">
        <f t="shared" si="38"/>
        <v>10</v>
      </c>
      <c r="E247">
        <f t="shared" si="39"/>
        <v>1</v>
      </c>
      <c r="F247" s="10">
        <f t="shared" si="40"/>
        <v>300</v>
      </c>
      <c r="G247" s="10" cm="1">
        <f t="array" ref="G247">ROUND(getParm(Tarifart,"alpha")/(2*Zahlweise)*BeiSum*(C247&lt;2)*E247,2)</f>
        <v>0</v>
      </c>
      <c r="H247" s="10" cm="1">
        <f t="array" ref="H247">ROUND(F247*getParm(Tarifart,"beta")*E247,2)</f>
        <v>15</v>
      </c>
      <c r="I247" s="10" cm="1">
        <f t="array" ref="I247">ROUND(F247*get_Üb(YEAR(A247),$I$8)*E247,2)</f>
        <v>3.6</v>
      </c>
      <c r="J247" s="10">
        <f t="shared" si="43"/>
        <v>15</v>
      </c>
      <c r="K247" s="10">
        <f t="shared" si="44"/>
        <v>288.60000000000002</v>
      </c>
      <c r="L247" s="10" cm="1">
        <f t="array" ref="L247">ROUND(1/12*MAX(MTSum-R247-K247,MRSum)*Act_qx(x+C247,Geschlecht,getParm(Tarifart,"Tafel"),YEAR(GebDat),x+Dauer,1),2)</f>
        <v>2.0299999999999998</v>
      </c>
      <c r="M247" s="10" cm="1">
        <f t="array" ref="M247">ROUND(L247*get_Üb(YEAR(A247),$M$8),2)</f>
        <v>0.1</v>
      </c>
      <c r="N247" s="10" cm="1">
        <f t="array" ref="N247">ROUND(R247*getParm(Tarifart,IF(C247&lt;BZDauer,"gamma1","gamma2")),2)</f>
        <v>51.1</v>
      </c>
      <c r="O247" s="10" cm="1">
        <f t="array" ref="O247">ROUND(R247*get_Üb(YEAR(A247),$O$8),2)</f>
        <v>12.77</v>
      </c>
      <c r="P247" s="19">
        <f t="shared" si="45"/>
        <v>9.8555632546999998</v>
      </c>
      <c r="Q247" s="19" cm="1">
        <f t="array" ref="Q247">ROUND(P247+1/getKurs(EDATE(A247,-1))*(K247-L247-N247-getParm(Tarifart,"StK")+M247+O247),10)*(C247&lt;Dauer)</f>
        <v>9.8757315055999992</v>
      </c>
      <c r="R247" s="10" cm="1">
        <f t="array" ref="R247">ROUND(P247*getKurs($A247),2)</f>
        <v>127738.45</v>
      </c>
      <c r="S247" s="10" cm="1">
        <f t="array" ref="S247">ROUND(Q247*getKurs($A247),2)</f>
        <v>127999.85</v>
      </c>
      <c r="T247" s="10">
        <f t="shared" si="41"/>
        <v>131338.45000000001</v>
      </c>
      <c r="U247" s="10" cm="1">
        <f t="array" ref="U247">getParm(Tarifart,"StoSatz")*(Dauer-C247)*Beitrag*Zahlweise*(C247&lt;BZDauer)</f>
        <v>792</v>
      </c>
      <c r="V247" s="10">
        <f t="shared" si="46"/>
        <v>127207.85</v>
      </c>
    </row>
    <row r="248" spans="1:22" x14ac:dyDescent="0.45">
      <c r="A248" s="15">
        <f t="shared" si="47"/>
        <v>43800</v>
      </c>
      <c r="B248">
        <f t="shared" si="37"/>
        <v>239</v>
      </c>
      <c r="C248">
        <f t="shared" si="42"/>
        <v>19</v>
      </c>
      <c r="D248">
        <f t="shared" si="38"/>
        <v>11</v>
      </c>
      <c r="E248">
        <f t="shared" si="39"/>
        <v>1</v>
      </c>
      <c r="F248" s="10">
        <f t="shared" si="40"/>
        <v>300</v>
      </c>
      <c r="G248" s="10" cm="1">
        <f t="array" ref="G248">ROUND(getParm(Tarifart,"alpha")/(2*Zahlweise)*BeiSum*(C248&lt;2)*E248,2)</f>
        <v>0</v>
      </c>
      <c r="H248" s="10" cm="1">
        <f t="array" ref="H248">ROUND(F248*getParm(Tarifart,"beta")*E248,2)</f>
        <v>15</v>
      </c>
      <c r="I248" s="10" cm="1">
        <f t="array" ref="I248">ROUND(F248*get_Üb(YEAR(A248),$I$8)*E248,2)</f>
        <v>3.6</v>
      </c>
      <c r="J248" s="10">
        <f t="shared" si="43"/>
        <v>15</v>
      </c>
      <c r="K248" s="10">
        <f t="shared" si="44"/>
        <v>288.60000000000002</v>
      </c>
      <c r="L248" s="10" cm="1">
        <f t="array" ref="L248">ROUND(1/12*MAX(MTSum-R248-K248,MRSum)*Act_qx(x+C248,Geschlecht,getParm(Tarifart,"Tafel"),YEAR(GebDat),x+Dauer,1),2)</f>
        <v>2.0299999999999998</v>
      </c>
      <c r="M248" s="10" cm="1">
        <f t="array" ref="M248">ROUND(L248*get_Üb(YEAR(A248),$M$8),2)</f>
        <v>0.1</v>
      </c>
      <c r="N248" s="10" cm="1">
        <f t="array" ref="N248">ROUND(R248*getParm(Tarifart,IF(C248&lt;BZDauer,"gamma1","gamma2")),2)</f>
        <v>51.21</v>
      </c>
      <c r="O248" s="10" cm="1">
        <f t="array" ref="O248">ROUND(R248*get_Üb(YEAR(A248),$O$8),2)</f>
        <v>12.8</v>
      </c>
      <c r="P248" s="19">
        <f t="shared" si="45"/>
        <v>9.8757315055999992</v>
      </c>
      <c r="Q248" s="19" cm="1">
        <f t="array" ref="Q248">ROUND(P248+1/getKurs(EDATE(A248,-1))*(K248-L248-N248-getParm(Tarifart,"StK")+M248+O248),10)*(C248&lt;Dauer)</f>
        <v>9.8948086636999992</v>
      </c>
      <c r="R248" s="10" cm="1">
        <f t="array" ref="R248">ROUND(P248*getKurs($A248),2)</f>
        <v>128035.7</v>
      </c>
      <c r="S248" s="10" cm="1">
        <f t="array" ref="S248">ROUND(Q248*getKurs($A248),2)</f>
        <v>128283.03</v>
      </c>
      <c r="T248" s="10">
        <f t="shared" si="41"/>
        <v>131635.70000000001</v>
      </c>
      <c r="U248" s="10" cm="1">
        <f t="array" ref="U248">getParm(Tarifart,"StoSatz")*(Dauer-C248)*Beitrag*Zahlweise*(C248&lt;BZDauer)</f>
        <v>792</v>
      </c>
      <c r="V248" s="10">
        <f t="shared" si="46"/>
        <v>127491.03</v>
      </c>
    </row>
    <row r="249" spans="1:22" x14ac:dyDescent="0.45">
      <c r="A249" s="15">
        <f t="shared" si="47"/>
        <v>43831</v>
      </c>
      <c r="B249">
        <f t="shared" si="37"/>
        <v>240</v>
      </c>
      <c r="C249">
        <f t="shared" si="42"/>
        <v>20</v>
      </c>
      <c r="D249">
        <f t="shared" si="38"/>
        <v>0</v>
      </c>
      <c r="E249">
        <f t="shared" si="39"/>
        <v>1</v>
      </c>
      <c r="F249" s="10">
        <f t="shared" si="40"/>
        <v>0</v>
      </c>
      <c r="G249" s="10" cm="1">
        <f t="array" ref="G249">ROUND(getParm(Tarifart,"alpha")/(2*Zahlweise)*BeiSum*(C249&lt;2)*E249,2)</f>
        <v>0</v>
      </c>
      <c r="H249" s="10" cm="1">
        <f t="array" ref="H249">ROUND(F249*getParm(Tarifart,"beta")*E249,2)</f>
        <v>0</v>
      </c>
      <c r="I249" s="10" cm="1">
        <f t="array" ref="I249">ROUND(F249*get_Üb(YEAR(A249),$I$8)*E249,2)</f>
        <v>0</v>
      </c>
      <c r="J249" s="10">
        <f t="shared" si="43"/>
        <v>0</v>
      </c>
      <c r="K249" s="10">
        <f t="shared" si="44"/>
        <v>0</v>
      </c>
      <c r="L249" s="10" cm="1">
        <f t="array" ref="L249">ROUND(1/12*MAX(MTSum-R249-K249,MRSum)*Act_qx(x+C249,Geschlecht,getParm(Tarifart,"Tafel"),YEAR(GebDat),x+Dauer,1),2)</f>
        <v>2.25</v>
      </c>
      <c r="M249" s="10" cm="1">
        <f t="array" ref="M249">ROUND(L249*get_Üb(YEAR(A249),$M$8),2)</f>
        <v>0.11</v>
      </c>
      <c r="N249" s="10" cm="1">
        <f t="array" ref="N249">ROUND(R249*getParm(Tarifart,IF(C249&lt;BZDauer,"gamma1","gamma2")),2)</f>
        <v>79.47</v>
      </c>
      <c r="O249" s="10" cm="1">
        <f t="array" ref="O249">ROUND(R249*get_Üb(YEAR(A249),$O$8),2)</f>
        <v>13.25</v>
      </c>
      <c r="P249" s="19">
        <f t="shared" si="45"/>
        <v>9.8948086636999992</v>
      </c>
      <c r="Q249" s="19" cm="1">
        <f t="array" ref="Q249">ROUND(P249+1/getKurs(EDATE(A249,-1))*(K249-L249-N249-getParm(Tarifart,"StK")+M249+O249),10)*(C249&lt;Dauer)</f>
        <v>9.8894587438000006</v>
      </c>
      <c r="R249" s="10" cm="1">
        <f t="array" ref="R249">ROUND(P249*getKurs($A249),2)</f>
        <v>132451.22</v>
      </c>
      <c r="S249" s="10" cm="1">
        <f t="array" ref="S249">ROUND(Q249*getKurs($A249),2)</f>
        <v>132379.6</v>
      </c>
      <c r="T249" s="10">
        <f t="shared" si="41"/>
        <v>136051.22</v>
      </c>
      <c r="U249" s="10" cm="1">
        <f t="array" ref="U249">getParm(Tarifart,"StoSatz")*(Dauer-C249)*Beitrag*Zahlweise*(C249&lt;BZDauer)</f>
        <v>0</v>
      </c>
      <c r="V249" s="10">
        <f t="shared" si="46"/>
        <v>132379.6</v>
      </c>
    </row>
    <row r="250" spans="1:22" x14ac:dyDescent="0.45">
      <c r="A250" s="15">
        <f t="shared" si="47"/>
        <v>43862</v>
      </c>
      <c r="B250">
        <f t="shared" ref="B250:B313" si="48">B249+1</f>
        <v>241</v>
      </c>
      <c r="C250">
        <f t="shared" si="42"/>
        <v>20</v>
      </c>
      <c r="D250">
        <f t="shared" ref="D250:D313" si="49">MOD(B250,12)</f>
        <v>1</v>
      </c>
      <c r="E250">
        <f t="shared" si="39"/>
        <v>1</v>
      </c>
      <c r="F250" s="10">
        <f t="shared" si="40"/>
        <v>0</v>
      </c>
      <c r="G250" s="10" cm="1">
        <f t="array" ref="G250">ROUND(getParm(Tarifart,"alpha")/(2*Zahlweise)*BeiSum*(C250&lt;2)*E250,2)</f>
        <v>0</v>
      </c>
      <c r="H250" s="10" cm="1">
        <f t="array" ref="H250">ROUND(F250*getParm(Tarifart,"beta")*E250,2)</f>
        <v>0</v>
      </c>
      <c r="I250" s="10" cm="1">
        <f t="array" ref="I250">ROUND(F250*get_Üb(YEAR(A250),$I$8)*E250,2)</f>
        <v>0</v>
      </c>
      <c r="J250" s="10">
        <f t="shared" si="43"/>
        <v>0</v>
      </c>
      <c r="K250" s="10">
        <f t="shared" si="44"/>
        <v>0</v>
      </c>
      <c r="L250" s="10" cm="1">
        <f t="array" ref="L250">ROUND(1/12*MAX(MTSum-R250-K250,MRSum)*Act_qx(x+C250,Geschlecht,getParm(Tarifart,"Tafel"),YEAR(GebDat),x+Dauer,1),2)</f>
        <v>2.25</v>
      </c>
      <c r="M250" s="10" cm="1">
        <f t="array" ref="M250">ROUND(L250*get_Üb(YEAR(A250),$M$8),2)</f>
        <v>0.11</v>
      </c>
      <c r="N250" s="10" cm="1">
        <f t="array" ref="N250">ROUND(R250*getParm(Tarifart,IF(C250&lt;BZDauer,"gamma1","gamma2")),2)</f>
        <v>77.41</v>
      </c>
      <c r="O250" s="10" cm="1">
        <f t="array" ref="O250">ROUND(R250*get_Üb(YEAR(A250),$O$8),2)</f>
        <v>12.9</v>
      </c>
      <c r="P250" s="19">
        <f t="shared" si="45"/>
        <v>9.8894587438000006</v>
      </c>
      <c r="Q250" s="19" cm="1">
        <f t="array" ref="Q250">ROUND(P250+1/getKurs(EDATE(A250,-1))*(K250-L250-N250-getParm(Tarifart,"StK")+M250+O250),10)*(C250&lt;Dauer)</f>
        <v>9.8844049298000005</v>
      </c>
      <c r="R250" s="10" cm="1">
        <f t="array" ref="R250">ROUND(P250*getKurs($A250),2)</f>
        <v>129009.87</v>
      </c>
      <c r="S250" s="10" cm="1">
        <f t="array" ref="S250">ROUND(Q250*getKurs($A250),2)</f>
        <v>128943.94</v>
      </c>
      <c r="T250" s="10">
        <f t="shared" si="41"/>
        <v>132609.87</v>
      </c>
      <c r="U250" s="10" cm="1">
        <f t="array" ref="U250">getParm(Tarifart,"StoSatz")*(Dauer-C250)*Beitrag*Zahlweise*(C250&lt;BZDauer)</f>
        <v>0</v>
      </c>
      <c r="V250" s="10">
        <f t="shared" si="46"/>
        <v>128943.94</v>
      </c>
    </row>
    <row r="251" spans="1:22" x14ac:dyDescent="0.45">
      <c r="A251" s="15">
        <f t="shared" si="47"/>
        <v>43891</v>
      </c>
      <c r="B251">
        <f t="shared" si="48"/>
        <v>242</v>
      </c>
      <c r="C251">
        <f t="shared" si="42"/>
        <v>20</v>
      </c>
      <c r="D251">
        <f t="shared" si="49"/>
        <v>2</v>
      </c>
      <c r="E251">
        <f t="shared" si="39"/>
        <v>1</v>
      </c>
      <c r="F251" s="10">
        <f t="shared" si="40"/>
        <v>0</v>
      </c>
      <c r="G251" s="10" cm="1">
        <f t="array" ref="G251">ROUND(getParm(Tarifart,"alpha")/(2*Zahlweise)*BeiSum*(C251&lt;2)*E251,2)</f>
        <v>0</v>
      </c>
      <c r="H251" s="10" cm="1">
        <f t="array" ref="H251">ROUND(F251*getParm(Tarifart,"beta")*E251,2)</f>
        <v>0</v>
      </c>
      <c r="I251" s="10" cm="1">
        <f t="array" ref="I251">ROUND(F251*get_Üb(YEAR(A251),$I$8)*E251,2)</f>
        <v>0</v>
      </c>
      <c r="J251" s="10">
        <f t="shared" si="43"/>
        <v>0</v>
      </c>
      <c r="K251" s="10">
        <f t="shared" si="44"/>
        <v>0</v>
      </c>
      <c r="L251" s="10" cm="1">
        <f t="array" ref="L251">ROUND(1/12*MAX(MTSum-R251-K251,MRSum)*Act_qx(x+C251,Geschlecht,getParm(Tarifart,"Tafel"),YEAR(GebDat),x+Dauer,1),2)</f>
        <v>2.25</v>
      </c>
      <c r="M251" s="10" cm="1">
        <f t="array" ref="M251">ROUND(L251*get_Üb(YEAR(A251),$M$8),2)</f>
        <v>0.11</v>
      </c>
      <c r="N251" s="10" cm="1">
        <f t="array" ref="N251">ROUND(R251*getParm(Tarifart,IF(C251&lt;BZDauer,"gamma1","gamma2")),2)</f>
        <v>70.319999999999993</v>
      </c>
      <c r="O251" s="10" cm="1">
        <f t="array" ref="O251">ROUND(R251*get_Üb(YEAR(A251),$O$8),2)</f>
        <v>11.72</v>
      </c>
      <c r="P251" s="19">
        <f t="shared" si="45"/>
        <v>9.8844049298000005</v>
      </c>
      <c r="Q251" s="19" cm="1">
        <f t="array" ref="Q251">ROUND(P251+1/getKurs(EDATE(A251,-1))*(K251-L251-N251-getParm(Tarifart,"StK")+M251+O251),10)*(C251&lt;Dauer)</f>
        <v>9.8796721508999994</v>
      </c>
      <c r="R251" s="10" cm="1">
        <f t="array" ref="R251">ROUND(P251*getKurs($A251),2)</f>
        <v>117207.99</v>
      </c>
      <c r="S251" s="10" cm="1">
        <f t="array" ref="S251">ROUND(Q251*getKurs($A251),2)</f>
        <v>117151.87</v>
      </c>
      <c r="T251" s="10">
        <f t="shared" si="41"/>
        <v>120807.99</v>
      </c>
      <c r="U251" s="10" cm="1">
        <f t="array" ref="U251">getParm(Tarifart,"StoSatz")*(Dauer-C251)*Beitrag*Zahlweise*(C251&lt;BZDauer)</f>
        <v>0</v>
      </c>
      <c r="V251" s="10">
        <f t="shared" si="46"/>
        <v>117151.87</v>
      </c>
    </row>
    <row r="252" spans="1:22" x14ac:dyDescent="0.45">
      <c r="A252" s="15">
        <f t="shared" si="47"/>
        <v>43922</v>
      </c>
      <c r="B252">
        <f t="shared" si="48"/>
        <v>243</v>
      </c>
      <c r="C252">
        <f t="shared" si="42"/>
        <v>20</v>
      </c>
      <c r="D252">
        <f t="shared" si="49"/>
        <v>3</v>
      </c>
      <c r="E252">
        <f t="shared" si="39"/>
        <v>1</v>
      </c>
      <c r="F252" s="10">
        <f t="shared" si="40"/>
        <v>0</v>
      </c>
      <c r="G252" s="10" cm="1">
        <f t="array" ref="G252">ROUND(getParm(Tarifart,"alpha")/(2*Zahlweise)*BeiSum*(C252&lt;2)*E252,2)</f>
        <v>0</v>
      </c>
      <c r="H252" s="10" cm="1">
        <f t="array" ref="H252">ROUND(F252*getParm(Tarifart,"beta")*E252,2)</f>
        <v>0</v>
      </c>
      <c r="I252" s="10" cm="1">
        <f t="array" ref="I252">ROUND(F252*get_Üb(YEAR(A252),$I$8)*E252,2)</f>
        <v>0</v>
      </c>
      <c r="J252" s="10">
        <f t="shared" si="43"/>
        <v>0</v>
      </c>
      <c r="K252" s="10">
        <f t="shared" si="44"/>
        <v>0</v>
      </c>
      <c r="L252" s="10" cm="1">
        <f t="array" ref="L252">ROUND(1/12*MAX(MTSum-R252-K252,MRSum)*Act_qx(x+C252,Geschlecht,getParm(Tarifart,"Tafel"),YEAR(GebDat),x+Dauer,1),2)</f>
        <v>2.25</v>
      </c>
      <c r="M252" s="10" cm="1">
        <f t="array" ref="M252">ROUND(L252*get_Üb(YEAR(A252),$M$8),2)</f>
        <v>0.11</v>
      </c>
      <c r="N252" s="10" cm="1">
        <f t="array" ref="N252">ROUND(R252*getParm(Tarifart,IF(C252&lt;BZDauer,"gamma1","gamma2")),2)</f>
        <v>56.58</v>
      </c>
      <c r="O252" s="10" cm="1">
        <f t="array" ref="O252">ROUND(R252*get_Üb(YEAR(A252),$O$8),2)</f>
        <v>9.43</v>
      </c>
      <c r="P252" s="19">
        <f t="shared" si="45"/>
        <v>9.8796721508999994</v>
      </c>
      <c r="Q252" s="19" cm="1">
        <f t="array" ref="Q252">ROUND(P252+1/getKurs(EDATE(A252,-1))*(K252-L252-N252-getParm(Tarifart,"StK")+M252+O252),10)*(C252&lt;Dauer)</f>
        <v>9.8754310857000007</v>
      </c>
      <c r="R252" s="10" cm="1">
        <f t="array" ref="R252">ROUND(P252*getKurs($A252),2)</f>
        <v>94299</v>
      </c>
      <c r="S252" s="10" cm="1">
        <f t="array" ref="S252">ROUND(Q252*getKurs($A252),2)</f>
        <v>94258.52</v>
      </c>
      <c r="T252" s="10">
        <f t="shared" si="41"/>
        <v>97899</v>
      </c>
      <c r="U252" s="10" cm="1">
        <f t="array" ref="U252">getParm(Tarifart,"StoSatz")*(Dauer-C252)*Beitrag*Zahlweise*(C252&lt;BZDauer)</f>
        <v>0</v>
      </c>
      <c r="V252" s="10">
        <f t="shared" si="46"/>
        <v>94258.52</v>
      </c>
    </row>
    <row r="253" spans="1:22" x14ac:dyDescent="0.45">
      <c r="A253" s="15">
        <f t="shared" si="47"/>
        <v>43952</v>
      </c>
      <c r="B253">
        <f t="shared" si="48"/>
        <v>244</v>
      </c>
      <c r="C253">
        <f t="shared" si="42"/>
        <v>20</v>
      </c>
      <c r="D253">
        <f t="shared" si="49"/>
        <v>4</v>
      </c>
      <c r="E253">
        <f t="shared" si="39"/>
        <v>1</v>
      </c>
      <c r="F253" s="10">
        <f t="shared" si="40"/>
        <v>0</v>
      </c>
      <c r="G253" s="10" cm="1">
        <f t="array" ref="G253">ROUND(getParm(Tarifart,"alpha")/(2*Zahlweise)*BeiSum*(C253&lt;2)*E253,2)</f>
        <v>0</v>
      </c>
      <c r="H253" s="10" cm="1">
        <f t="array" ref="H253">ROUND(F253*getParm(Tarifart,"beta")*E253,2)</f>
        <v>0</v>
      </c>
      <c r="I253" s="10" cm="1">
        <f t="array" ref="I253">ROUND(F253*get_Üb(YEAR(A253),$I$8)*E253,2)</f>
        <v>0</v>
      </c>
      <c r="J253" s="10">
        <f t="shared" si="43"/>
        <v>0</v>
      </c>
      <c r="K253" s="10">
        <f t="shared" si="44"/>
        <v>0</v>
      </c>
      <c r="L253" s="10" cm="1">
        <f t="array" ref="L253">ROUND(1/12*MAX(MTSum-R253-K253,MRSum)*Act_qx(x+C253,Geschlecht,getParm(Tarifart,"Tafel"),YEAR(GebDat),x+Dauer,1),2)</f>
        <v>2.25</v>
      </c>
      <c r="M253" s="10" cm="1">
        <f t="array" ref="M253">ROUND(L253*get_Üb(YEAR(A253),$M$8),2)</f>
        <v>0.11</v>
      </c>
      <c r="N253" s="10" cm="1">
        <f t="array" ref="N253">ROUND(R253*getParm(Tarifart,IF(C253&lt;BZDauer,"gamma1","gamma2")),2)</f>
        <v>62.02</v>
      </c>
      <c r="O253" s="10" cm="1">
        <f t="array" ref="O253">ROUND(R253*get_Üb(YEAR(A253),$O$8),2)</f>
        <v>10.34</v>
      </c>
      <c r="P253" s="19">
        <f t="shared" si="45"/>
        <v>9.8754310857000007</v>
      </c>
      <c r="Q253" s="19" cm="1">
        <f t="array" ref="Q253">ROUND(P253+1/getKurs(EDATE(A253,-1))*(K253-L253-N253-getParm(Tarifart,"StK")+M253+O253),10)*(C253&lt;Dauer)</f>
        <v>9.8696876142000001</v>
      </c>
      <c r="R253" s="10" cm="1">
        <f t="array" ref="R253">ROUND(P253*getKurs($A253),2)</f>
        <v>103364.16</v>
      </c>
      <c r="S253" s="10" cm="1">
        <f t="array" ref="S253">ROUND(Q253*getKurs($A253),2)</f>
        <v>103304.05</v>
      </c>
      <c r="T253" s="10">
        <f t="shared" si="41"/>
        <v>106964.16</v>
      </c>
      <c r="U253" s="10" cm="1">
        <f t="array" ref="U253">getParm(Tarifart,"StoSatz")*(Dauer-C253)*Beitrag*Zahlweise*(C253&lt;BZDauer)</f>
        <v>0</v>
      </c>
      <c r="V253" s="10">
        <f t="shared" si="46"/>
        <v>103304.05</v>
      </c>
    </row>
    <row r="254" spans="1:22" x14ac:dyDescent="0.45">
      <c r="A254" s="15">
        <f t="shared" si="47"/>
        <v>43983</v>
      </c>
      <c r="B254">
        <f t="shared" si="48"/>
        <v>245</v>
      </c>
      <c r="C254">
        <f t="shared" si="42"/>
        <v>20</v>
      </c>
      <c r="D254">
        <f t="shared" si="49"/>
        <v>5</v>
      </c>
      <c r="E254">
        <f t="shared" si="39"/>
        <v>1</v>
      </c>
      <c r="F254" s="10">
        <f t="shared" si="40"/>
        <v>0</v>
      </c>
      <c r="G254" s="10" cm="1">
        <f t="array" ref="G254">ROUND(getParm(Tarifart,"alpha")/(2*Zahlweise)*BeiSum*(C254&lt;2)*E254,2)</f>
        <v>0</v>
      </c>
      <c r="H254" s="10" cm="1">
        <f t="array" ref="H254">ROUND(F254*getParm(Tarifart,"beta")*E254,2)</f>
        <v>0</v>
      </c>
      <c r="I254" s="10" cm="1">
        <f t="array" ref="I254">ROUND(F254*get_Üb(YEAR(A254),$I$8)*E254,2)</f>
        <v>0</v>
      </c>
      <c r="J254" s="10">
        <f t="shared" si="43"/>
        <v>0</v>
      </c>
      <c r="K254" s="10">
        <f t="shared" si="44"/>
        <v>0</v>
      </c>
      <c r="L254" s="10" cm="1">
        <f t="array" ref="L254">ROUND(1/12*MAX(MTSum-R254-K254,MRSum)*Act_qx(x+C254,Geschlecht,getParm(Tarifart,"Tafel"),YEAR(GebDat),x+Dauer,1),2)</f>
        <v>2.25</v>
      </c>
      <c r="M254" s="10" cm="1">
        <f t="array" ref="M254">ROUND(L254*get_Üb(YEAR(A254),$M$8),2)</f>
        <v>0.11</v>
      </c>
      <c r="N254" s="10" cm="1">
        <f t="array" ref="N254">ROUND(R254*getParm(Tarifart,IF(C254&lt;BZDauer,"gamma1","gamma2")),2)</f>
        <v>71.19</v>
      </c>
      <c r="O254" s="10" cm="1">
        <f t="array" ref="O254">ROUND(R254*get_Üb(YEAR(A254),$O$8),2)</f>
        <v>11.86</v>
      </c>
      <c r="P254" s="19">
        <f t="shared" si="45"/>
        <v>9.8696876142000001</v>
      </c>
      <c r="Q254" s="19" cm="1">
        <f t="array" ref="Q254">ROUND(P254+1/getKurs(EDATE(A254,-1))*(K254-L254-N254-getParm(Tarifart,"StK")+M254+O254),10)*(C254&lt;Dauer)</f>
        <v>9.8637192189</v>
      </c>
      <c r="R254" s="10" cm="1">
        <f t="array" ref="R254">ROUND(P254*getKurs($A254),2)</f>
        <v>118646.28</v>
      </c>
      <c r="S254" s="10" cm="1">
        <f t="array" ref="S254">ROUND(Q254*getKurs($A254),2)</f>
        <v>118574.53</v>
      </c>
      <c r="T254" s="10">
        <f t="shared" si="41"/>
        <v>122246.28</v>
      </c>
      <c r="U254" s="10" cm="1">
        <f t="array" ref="U254">getParm(Tarifart,"StoSatz")*(Dauer-C254)*Beitrag*Zahlweise*(C254&lt;BZDauer)</f>
        <v>0</v>
      </c>
      <c r="V254" s="10">
        <f t="shared" si="46"/>
        <v>118574.53</v>
      </c>
    </row>
    <row r="255" spans="1:22" x14ac:dyDescent="0.45">
      <c r="A255" s="15">
        <f t="shared" si="47"/>
        <v>44013</v>
      </c>
      <c r="B255">
        <f t="shared" si="48"/>
        <v>246</v>
      </c>
      <c r="C255">
        <f t="shared" si="42"/>
        <v>20</v>
      </c>
      <c r="D255">
        <f t="shared" si="49"/>
        <v>6</v>
      </c>
      <c r="E255">
        <f t="shared" si="39"/>
        <v>1</v>
      </c>
      <c r="F255" s="10">
        <f t="shared" si="40"/>
        <v>0</v>
      </c>
      <c r="G255" s="10" cm="1">
        <f t="array" ref="G255">ROUND(getParm(Tarifart,"alpha")/(2*Zahlweise)*BeiSum*(C255&lt;2)*E255,2)</f>
        <v>0</v>
      </c>
      <c r="H255" s="10" cm="1">
        <f t="array" ref="H255">ROUND(F255*getParm(Tarifart,"beta")*E255,2)</f>
        <v>0</v>
      </c>
      <c r="I255" s="10" cm="1">
        <f t="array" ref="I255">ROUND(F255*get_Üb(YEAR(A255),$I$8)*E255,2)</f>
        <v>0</v>
      </c>
      <c r="J255" s="10">
        <f t="shared" si="43"/>
        <v>0</v>
      </c>
      <c r="K255" s="10">
        <f t="shared" si="44"/>
        <v>0</v>
      </c>
      <c r="L255" s="10" cm="1">
        <f t="array" ref="L255">ROUND(1/12*MAX(MTSum-R255-K255,MRSum)*Act_qx(x+C255,Geschlecht,getParm(Tarifart,"Tafel"),YEAR(GebDat),x+Dauer,1),2)</f>
        <v>2.25</v>
      </c>
      <c r="M255" s="10" cm="1">
        <f t="array" ref="M255">ROUND(L255*get_Üb(YEAR(A255),$M$8),2)</f>
        <v>0.11</v>
      </c>
      <c r="N255" s="10" cm="1">
        <f t="array" ref="N255">ROUND(R255*getParm(Tarifart,IF(C255&lt;BZDauer,"gamma1","gamma2")),2)</f>
        <v>72.56</v>
      </c>
      <c r="O255" s="10" cm="1">
        <f t="array" ref="O255">ROUND(R255*get_Üb(YEAR(A255),$O$8),2)</f>
        <v>12.09</v>
      </c>
      <c r="P255" s="19">
        <f t="shared" si="45"/>
        <v>9.8637192189</v>
      </c>
      <c r="Q255" s="19" cm="1">
        <f t="array" ref="Q255">ROUND(P255+1/getKurs(EDATE(A255,-1))*(K255-L255-N255-getParm(Tarifart,"StK")+M255+O255),10)*(C255&lt;Dauer)</f>
        <v>9.8584277691000004</v>
      </c>
      <c r="R255" s="10" cm="1">
        <f t="array" ref="R255">ROUND(P255*getKurs($A255),2)</f>
        <v>120934.82</v>
      </c>
      <c r="S255" s="10" cm="1">
        <f t="array" ref="S255">ROUND(Q255*getKurs($A255),2)</f>
        <v>120869.94</v>
      </c>
      <c r="T255" s="10">
        <f t="shared" si="41"/>
        <v>124534.82</v>
      </c>
      <c r="U255" s="10" cm="1">
        <f t="array" ref="U255">getParm(Tarifart,"StoSatz")*(Dauer-C255)*Beitrag*Zahlweise*(C255&lt;BZDauer)</f>
        <v>0</v>
      </c>
      <c r="V255" s="10">
        <f t="shared" si="46"/>
        <v>120869.94</v>
      </c>
    </row>
    <row r="256" spans="1:22" x14ac:dyDescent="0.45">
      <c r="A256" s="15">
        <f t="shared" si="47"/>
        <v>44044</v>
      </c>
      <c r="B256">
        <f t="shared" si="48"/>
        <v>247</v>
      </c>
      <c r="C256">
        <f t="shared" si="42"/>
        <v>20</v>
      </c>
      <c r="D256">
        <f t="shared" si="49"/>
        <v>7</v>
      </c>
      <c r="E256">
        <f t="shared" si="39"/>
        <v>1</v>
      </c>
      <c r="F256" s="10">
        <f t="shared" si="40"/>
        <v>0</v>
      </c>
      <c r="G256" s="10" cm="1">
        <f t="array" ref="G256">ROUND(getParm(Tarifart,"alpha")/(2*Zahlweise)*BeiSum*(C256&lt;2)*E256,2)</f>
        <v>0</v>
      </c>
      <c r="H256" s="10" cm="1">
        <f t="array" ref="H256">ROUND(F256*getParm(Tarifart,"beta")*E256,2)</f>
        <v>0</v>
      </c>
      <c r="I256" s="10" cm="1">
        <f t="array" ref="I256">ROUND(F256*get_Üb(YEAR(A256),$I$8)*E256,2)</f>
        <v>0</v>
      </c>
      <c r="J256" s="10">
        <f t="shared" si="43"/>
        <v>0</v>
      </c>
      <c r="K256" s="10">
        <f t="shared" si="44"/>
        <v>0</v>
      </c>
      <c r="L256" s="10" cm="1">
        <f t="array" ref="L256">ROUND(1/12*MAX(MTSum-R256-K256,MRSum)*Act_qx(x+C256,Geschlecht,getParm(Tarifart,"Tafel"),YEAR(GebDat),x+Dauer,1),2)</f>
        <v>2.25</v>
      </c>
      <c r="M256" s="10" cm="1">
        <f t="array" ref="M256">ROUND(L256*get_Üb(YEAR(A256),$M$8),2)</f>
        <v>0.11</v>
      </c>
      <c r="N256" s="10" cm="1">
        <f t="array" ref="N256">ROUND(R256*getParm(Tarifart,IF(C256&lt;BZDauer,"gamma1","gamma2")),2)</f>
        <v>74.81</v>
      </c>
      <c r="O256" s="10" cm="1">
        <f t="array" ref="O256">ROUND(R256*get_Üb(YEAR(A256),$O$8),2)</f>
        <v>12.47</v>
      </c>
      <c r="P256" s="19">
        <f t="shared" si="45"/>
        <v>9.8584277691000004</v>
      </c>
      <c r="Q256" s="19" cm="1">
        <f t="array" ref="Q256">ROUND(P256+1/getKurs(EDATE(A256,-1))*(K256-L256-N256-getParm(Tarifart,"StK")+M256+O256),10)*(C256&lt;Dauer)</f>
        <v>9.8530870711999992</v>
      </c>
      <c r="R256" s="10" cm="1">
        <f t="array" ref="R256">ROUND(P256*getKurs($A256),2)</f>
        <v>124679.34</v>
      </c>
      <c r="S256" s="10" cm="1">
        <f t="array" ref="S256">ROUND(Q256*getKurs($A256),2)</f>
        <v>124611.8</v>
      </c>
      <c r="T256" s="10">
        <f t="shared" si="41"/>
        <v>128279.34</v>
      </c>
      <c r="U256" s="10" cm="1">
        <f t="array" ref="U256">getParm(Tarifart,"StoSatz")*(Dauer-C256)*Beitrag*Zahlweise*(C256&lt;BZDauer)</f>
        <v>0</v>
      </c>
      <c r="V256" s="10">
        <f t="shared" si="46"/>
        <v>124611.8</v>
      </c>
    </row>
    <row r="257" spans="1:22" x14ac:dyDescent="0.45">
      <c r="A257" s="15">
        <f t="shared" si="47"/>
        <v>44075</v>
      </c>
      <c r="B257">
        <f t="shared" si="48"/>
        <v>248</v>
      </c>
      <c r="C257">
        <f t="shared" si="42"/>
        <v>20</v>
      </c>
      <c r="D257">
        <f t="shared" si="49"/>
        <v>8</v>
      </c>
      <c r="E257">
        <f t="shared" si="39"/>
        <v>1</v>
      </c>
      <c r="F257" s="10">
        <f t="shared" si="40"/>
        <v>0</v>
      </c>
      <c r="G257" s="10" cm="1">
        <f t="array" ref="G257">ROUND(getParm(Tarifart,"alpha")/(2*Zahlweise)*BeiSum*(C257&lt;2)*E257,2)</f>
        <v>0</v>
      </c>
      <c r="H257" s="10" cm="1">
        <f t="array" ref="H257">ROUND(F257*getParm(Tarifart,"beta")*E257,2)</f>
        <v>0</v>
      </c>
      <c r="I257" s="10" cm="1">
        <f t="array" ref="I257">ROUND(F257*get_Üb(YEAR(A257),$I$8)*E257,2)</f>
        <v>0</v>
      </c>
      <c r="J257" s="10">
        <f t="shared" si="43"/>
        <v>0</v>
      </c>
      <c r="K257" s="10">
        <f t="shared" si="44"/>
        <v>0</v>
      </c>
      <c r="L257" s="10" cm="1">
        <f t="array" ref="L257">ROUND(1/12*MAX(MTSum-R257-K257,MRSum)*Act_qx(x+C257,Geschlecht,getParm(Tarifart,"Tafel"),YEAR(GebDat),x+Dauer,1),2)</f>
        <v>2.25</v>
      </c>
      <c r="M257" s="10" cm="1">
        <f t="array" ref="M257">ROUND(L257*get_Üb(YEAR(A257),$M$8),2)</f>
        <v>0.11</v>
      </c>
      <c r="N257" s="10" cm="1">
        <f t="array" ref="N257">ROUND(R257*getParm(Tarifart,IF(C257&lt;BZDauer,"gamma1","gamma2")),2)</f>
        <v>76.7</v>
      </c>
      <c r="O257" s="10" cm="1">
        <f t="array" ref="O257">ROUND(R257*get_Üb(YEAR(A257),$O$8),2)</f>
        <v>12.78</v>
      </c>
      <c r="P257" s="19">
        <f t="shared" si="45"/>
        <v>9.8530870711999992</v>
      </c>
      <c r="Q257" s="19" cm="1">
        <f t="array" ref="Q257">ROUND(P257+1/getKurs(EDATE(A257,-1))*(K257-L257-N257-getParm(Tarifart,"StK")+M257+O257),10)*(C257&lt;Dauer)</f>
        <v>9.8477846195000005</v>
      </c>
      <c r="R257" s="10" cm="1">
        <f t="array" ref="R257">ROUND(P257*getKurs($A257),2)</f>
        <v>127836.41</v>
      </c>
      <c r="S257" s="10" cm="1">
        <f t="array" ref="S257">ROUND(Q257*getKurs($A257),2)</f>
        <v>127767.62</v>
      </c>
      <c r="T257" s="10">
        <f t="shared" si="41"/>
        <v>131436.41</v>
      </c>
      <c r="U257" s="10" cm="1">
        <f t="array" ref="U257">getParm(Tarifart,"StoSatz")*(Dauer-C257)*Beitrag*Zahlweise*(C257&lt;BZDauer)</f>
        <v>0</v>
      </c>
      <c r="V257" s="10">
        <f t="shared" si="46"/>
        <v>127767.62</v>
      </c>
    </row>
    <row r="258" spans="1:22" x14ac:dyDescent="0.45">
      <c r="A258" s="15">
        <f t="shared" si="47"/>
        <v>44105</v>
      </c>
      <c r="B258">
        <f t="shared" si="48"/>
        <v>249</v>
      </c>
      <c r="C258">
        <f t="shared" si="42"/>
        <v>20</v>
      </c>
      <c r="D258">
        <f t="shared" si="49"/>
        <v>9</v>
      </c>
      <c r="E258">
        <f t="shared" si="39"/>
        <v>1</v>
      </c>
      <c r="F258" s="10">
        <f t="shared" si="40"/>
        <v>0</v>
      </c>
      <c r="G258" s="10" cm="1">
        <f t="array" ref="G258">ROUND(getParm(Tarifart,"alpha")/(2*Zahlweise)*BeiSum*(C258&lt;2)*E258,2)</f>
        <v>0</v>
      </c>
      <c r="H258" s="10" cm="1">
        <f t="array" ref="H258">ROUND(F258*getParm(Tarifart,"beta")*E258,2)</f>
        <v>0</v>
      </c>
      <c r="I258" s="10" cm="1">
        <f t="array" ref="I258">ROUND(F258*get_Üb(YEAR(A258),$I$8)*E258,2)</f>
        <v>0</v>
      </c>
      <c r="J258" s="10">
        <f t="shared" si="43"/>
        <v>0</v>
      </c>
      <c r="K258" s="10">
        <f t="shared" si="44"/>
        <v>0</v>
      </c>
      <c r="L258" s="10" cm="1">
        <f t="array" ref="L258">ROUND(1/12*MAX(MTSum-R258-K258,MRSum)*Act_qx(x+C258,Geschlecht,getParm(Tarifart,"Tafel"),YEAR(GebDat),x+Dauer,1),2)</f>
        <v>2.25</v>
      </c>
      <c r="M258" s="10" cm="1">
        <f t="array" ref="M258">ROUND(L258*get_Üb(YEAR(A258),$M$8),2)</f>
        <v>0.11</v>
      </c>
      <c r="N258" s="10" cm="1">
        <f t="array" ref="N258">ROUND(R258*getParm(Tarifart,IF(C258&lt;BZDauer,"gamma1","gamma2")),2)</f>
        <v>75.22</v>
      </c>
      <c r="O258" s="10" cm="1">
        <f t="array" ref="O258">ROUND(R258*get_Üb(YEAR(A258),$O$8),2)</f>
        <v>12.54</v>
      </c>
      <c r="P258" s="19">
        <f t="shared" si="45"/>
        <v>9.8477846195000005</v>
      </c>
      <c r="Q258" s="19" cm="1">
        <f t="array" ref="Q258">ROUND(P258+1/getKurs(EDATE(A258,-1))*(K258-L258-N258-getParm(Tarifart,"StK")+M258+O258),10)*(C258&lt;Dauer)</f>
        <v>9.8427114938999996</v>
      </c>
      <c r="R258" s="10" cm="1">
        <f t="array" ref="R258">ROUND(P258*getKurs($A258),2)</f>
        <v>125369.88</v>
      </c>
      <c r="S258" s="10" cm="1">
        <f t="array" ref="S258">ROUND(Q258*getKurs($A258),2)</f>
        <v>125305.3</v>
      </c>
      <c r="T258" s="10">
        <f t="shared" si="41"/>
        <v>128969.88</v>
      </c>
      <c r="U258" s="10" cm="1">
        <f t="array" ref="U258">getParm(Tarifart,"StoSatz")*(Dauer-C258)*Beitrag*Zahlweise*(C258&lt;BZDauer)</f>
        <v>0</v>
      </c>
      <c r="V258" s="10">
        <f t="shared" si="46"/>
        <v>125305.3</v>
      </c>
    </row>
    <row r="259" spans="1:22" x14ac:dyDescent="0.45">
      <c r="A259" s="15">
        <f t="shared" si="47"/>
        <v>44136</v>
      </c>
      <c r="B259">
        <f t="shared" si="48"/>
        <v>250</v>
      </c>
      <c r="C259">
        <f t="shared" si="42"/>
        <v>20</v>
      </c>
      <c r="D259">
        <f t="shared" si="49"/>
        <v>10</v>
      </c>
      <c r="E259">
        <f t="shared" si="39"/>
        <v>1</v>
      </c>
      <c r="F259" s="10">
        <f t="shared" si="40"/>
        <v>0</v>
      </c>
      <c r="G259" s="10" cm="1">
        <f t="array" ref="G259">ROUND(getParm(Tarifart,"alpha")/(2*Zahlweise)*BeiSum*(C259&lt;2)*E259,2)</f>
        <v>0</v>
      </c>
      <c r="H259" s="10" cm="1">
        <f t="array" ref="H259">ROUND(F259*getParm(Tarifart,"beta")*E259,2)</f>
        <v>0</v>
      </c>
      <c r="I259" s="10" cm="1">
        <f t="array" ref="I259">ROUND(F259*get_Üb(YEAR(A259),$I$8)*E259,2)</f>
        <v>0</v>
      </c>
      <c r="J259" s="10">
        <f t="shared" si="43"/>
        <v>0</v>
      </c>
      <c r="K259" s="10">
        <f t="shared" si="44"/>
        <v>0</v>
      </c>
      <c r="L259" s="10" cm="1">
        <f t="array" ref="L259">ROUND(1/12*MAX(MTSum-R259-K259,MRSum)*Act_qx(x+C259,Geschlecht,getParm(Tarifart,"Tafel"),YEAR(GebDat),x+Dauer,1),2)</f>
        <v>2.25</v>
      </c>
      <c r="M259" s="10" cm="1">
        <f t="array" ref="M259">ROUND(L259*get_Üb(YEAR(A259),$M$8),2)</f>
        <v>0.11</v>
      </c>
      <c r="N259" s="10" cm="1">
        <f t="array" ref="N259">ROUND(R259*getParm(Tarifart,IF(C259&lt;BZDauer,"gamma1","gamma2")),2)</f>
        <v>69.62</v>
      </c>
      <c r="O259" s="10" cm="1">
        <f t="array" ref="O259">ROUND(R259*get_Üb(YEAR(A259),$O$8),2)</f>
        <v>11.6</v>
      </c>
      <c r="P259" s="19">
        <f t="shared" si="45"/>
        <v>9.8427114938999996</v>
      </c>
      <c r="Q259" s="19" cm="1">
        <f t="array" ref="Q259">ROUND(P259+1/getKurs(EDATE(A259,-1))*(K259-L259-N259-getParm(Tarifart,"StK")+M259+O259),10)*(C259&lt;Dauer)</f>
        <v>9.8379073853999994</v>
      </c>
      <c r="R259" s="10" cm="1">
        <f t="array" ref="R259">ROUND(P259*getKurs($A259),2)</f>
        <v>116028.64</v>
      </c>
      <c r="S259" s="10" cm="1">
        <f t="array" ref="S259">ROUND(Q259*getKurs($A259),2)</f>
        <v>115972.01</v>
      </c>
      <c r="T259" s="10">
        <f t="shared" si="41"/>
        <v>119628.64</v>
      </c>
      <c r="U259" s="10" cm="1">
        <f t="array" ref="U259">getParm(Tarifart,"StoSatz")*(Dauer-C259)*Beitrag*Zahlweise*(C259&lt;BZDauer)</f>
        <v>0</v>
      </c>
      <c r="V259" s="10">
        <f t="shared" si="46"/>
        <v>115972.01</v>
      </c>
    </row>
    <row r="260" spans="1:22" x14ac:dyDescent="0.45">
      <c r="A260" s="15">
        <f t="shared" si="47"/>
        <v>44166</v>
      </c>
      <c r="B260">
        <f t="shared" si="48"/>
        <v>251</v>
      </c>
      <c r="C260">
        <f t="shared" si="42"/>
        <v>20</v>
      </c>
      <c r="D260">
        <f t="shared" si="49"/>
        <v>11</v>
      </c>
      <c r="E260">
        <f t="shared" si="39"/>
        <v>1</v>
      </c>
      <c r="F260" s="10">
        <f t="shared" si="40"/>
        <v>0</v>
      </c>
      <c r="G260" s="10" cm="1">
        <f t="array" ref="G260">ROUND(getParm(Tarifart,"alpha")/(2*Zahlweise)*BeiSum*(C260&lt;2)*E260,2)</f>
        <v>0</v>
      </c>
      <c r="H260" s="10" cm="1">
        <f t="array" ref="H260">ROUND(F260*getParm(Tarifart,"beta")*E260,2)</f>
        <v>0</v>
      </c>
      <c r="I260" s="10" cm="1">
        <f t="array" ref="I260">ROUND(F260*get_Üb(YEAR(A260),$I$8)*E260,2)</f>
        <v>0</v>
      </c>
      <c r="J260" s="10">
        <f t="shared" si="43"/>
        <v>0</v>
      </c>
      <c r="K260" s="10">
        <f t="shared" si="44"/>
        <v>0</v>
      </c>
      <c r="L260" s="10" cm="1">
        <f t="array" ref="L260">ROUND(1/12*MAX(MTSum-R260-K260,MRSum)*Act_qx(x+C260,Geschlecht,getParm(Tarifart,"Tafel"),YEAR(GebDat),x+Dauer,1),2)</f>
        <v>2.25</v>
      </c>
      <c r="M260" s="10" cm="1">
        <f t="array" ref="M260">ROUND(L260*get_Üb(YEAR(A260),$M$8),2)</f>
        <v>0.11</v>
      </c>
      <c r="N260" s="10" cm="1">
        <f t="array" ref="N260">ROUND(R260*getParm(Tarifart,IF(C260&lt;BZDauer,"gamma1","gamma2")),2)</f>
        <v>78.989999999999995</v>
      </c>
      <c r="O260" s="10" cm="1">
        <f t="array" ref="O260">ROUND(R260*get_Üb(YEAR(A260),$O$8),2)</f>
        <v>13.17</v>
      </c>
      <c r="P260" s="19">
        <f t="shared" si="45"/>
        <v>9.8379073853999994</v>
      </c>
      <c r="Q260" s="19" cm="1">
        <f t="array" ref="Q260">ROUND(P260+1/getKurs(EDATE(A260,-1))*(K260-L260-N260-getParm(Tarifart,"StK")+M260+O260),10)*(C260&lt;Dauer)</f>
        <v>9.8320575074000001</v>
      </c>
      <c r="R260" s="10" cm="1">
        <f t="array" ref="R260">ROUND(P260*getKurs($A260),2)</f>
        <v>131653.82999999999</v>
      </c>
      <c r="S260" s="10" cm="1">
        <f t="array" ref="S260">ROUND(Q260*getKurs($A260),2)</f>
        <v>131575.54</v>
      </c>
      <c r="T260" s="10">
        <f t="shared" si="41"/>
        <v>135253.82999999999</v>
      </c>
      <c r="U260" s="10" cm="1">
        <f t="array" ref="U260">getParm(Tarifart,"StoSatz")*(Dauer-C260)*Beitrag*Zahlweise*(C260&lt;BZDauer)</f>
        <v>0</v>
      </c>
      <c r="V260" s="10">
        <f t="shared" si="46"/>
        <v>131575.54</v>
      </c>
    </row>
    <row r="261" spans="1:22" x14ac:dyDescent="0.45">
      <c r="A261" s="15">
        <f t="shared" si="47"/>
        <v>44197</v>
      </c>
      <c r="B261">
        <f t="shared" si="48"/>
        <v>252</v>
      </c>
      <c r="C261">
        <f t="shared" si="42"/>
        <v>21</v>
      </c>
      <c r="D261">
        <f t="shared" si="49"/>
        <v>0</v>
      </c>
      <c r="E261">
        <f t="shared" si="39"/>
        <v>1</v>
      </c>
      <c r="F261" s="10">
        <f t="shared" si="40"/>
        <v>0</v>
      </c>
      <c r="G261" s="10" cm="1">
        <f t="array" ref="G261">ROUND(getParm(Tarifart,"alpha")/(2*Zahlweise)*BeiSum*(C261&lt;2)*E261,2)</f>
        <v>0</v>
      </c>
      <c r="H261" s="10" cm="1">
        <f t="array" ref="H261">ROUND(F261*getParm(Tarifart,"beta")*E261,2)</f>
        <v>0</v>
      </c>
      <c r="I261" s="10" cm="1">
        <f t="array" ref="I261">ROUND(F261*get_Üb(YEAR(A261),$I$8)*E261,2)</f>
        <v>0</v>
      </c>
      <c r="J261" s="10">
        <f t="shared" si="43"/>
        <v>0</v>
      </c>
      <c r="K261" s="10">
        <f t="shared" si="44"/>
        <v>0</v>
      </c>
      <c r="L261" s="10" cm="1">
        <f t="array" ref="L261">ROUND(1/12*MAX(MTSum-R261-K261,MRSum)*Act_qx(x+C261,Geschlecht,getParm(Tarifart,"Tafel"),YEAR(GebDat),x+Dauer,1),2)</f>
        <v>2.4900000000000002</v>
      </c>
      <c r="M261" s="10" cm="1">
        <f t="array" ref="M261">ROUND(L261*get_Üb(YEAR(A261),$M$8),2)</f>
        <v>0.12</v>
      </c>
      <c r="N261" s="10" cm="1">
        <f t="array" ref="N261">ROUND(R261*getParm(Tarifart,IF(C261&lt;BZDauer,"gamma1","gamma2")),2)</f>
        <v>80.98</v>
      </c>
      <c r="O261" s="10" cm="1">
        <f t="array" ref="O261">ROUND(R261*get_Üb(YEAR(A261),$O$8),2)</f>
        <v>13.5</v>
      </c>
      <c r="P261" s="19">
        <f t="shared" si="45"/>
        <v>9.8320575074000001</v>
      </c>
      <c r="Q261" s="19" cm="1">
        <f t="array" ref="Q261">ROUND(P261+1/getKurs(EDATE(A261,-1))*(K261-L261-N261-getParm(Tarifart,"StK")+M261+O261),10)*(C261&lt;Dauer)</f>
        <v>9.8267632007000003</v>
      </c>
      <c r="R261" s="10" cm="1">
        <f t="array" ref="R261">ROUND(P261*getKurs($A261),2)</f>
        <v>134962.1</v>
      </c>
      <c r="S261" s="10" cm="1">
        <f t="array" ref="S261">ROUND(Q261*getKurs($A261),2)</f>
        <v>134889.42000000001</v>
      </c>
      <c r="T261" s="10">
        <f t="shared" si="41"/>
        <v>138562.1</v>
      </c>
      <c r="U261" s="10" cm="1">
        <f t="array" ref="U261">getParm(Tarifart,"StoSatz")*(Dauer-C261)*Beitrag*Zahlweise*(C261&lt;BZDauer)</f>
        <v>0</v>
      </c>
      <c r="V261" s="10">
        <f t="shared" si="46"/>
        <v>134889.42000000001</v>
      </c>
    </row>
    <row r="262" spans="1:22" x14ac:dyDescent="0.45">
      <c r="A262" s="15">
        <f t="shared" si="47"/>
        <v>44228</v>
      </c>
      <c r="B262">
        <f t="shared" si="48"/>
        <v>253</v>
      </c>
      <c r="C262">
        <f t="shared" si="42"/>
        <v>21</v>
      </c>
      <c r="D262">
        <f t="shared" si="49"/>
        <v>1</v>
      </c>
      <c r="E262">
        <f t="shared" si="39"/>
        <v>1</v>
      </c>
      <c r="F262" s="10">
        <f t="shared" si="40"/>
        <v>0</v>
      </c>
      <c r="G262" s="10" cm="1">
        <f t="array" ref="G262">ROUND(getParm(Tarifart,"alpha")/(2*Zahlweise)*BeiSum*(C262&lt;2)*E262,2)</f>
        <v>0</v>
      </c>
      <c r="H262" s="10" cm="1">
        <f t="array" ref="H262">ROUND(F262*getParm(Tarifart,"beta")*E262,2)</f>
        <v>0</v>
      </c>
      <c r="I262" s="10" cm="1">
        <f t="array" ref="I262">ROUND(F262*get_Üb(YEAR(A262),$I$8)*E262,2)</f>
        <v>0</v>
      </c>
      <c r="J262" s="10">
        <f t="shared" si="43"/>
        <v>0</v>
      </c>
      <c r="K262" s="10">
        <f t="shared" si="44"/>
        <v>0</v>
      </c>
      <c r="L262" s="10" cm="1">
        <f t="array" ref="L262">ROUND(1/12*MAX(MTSum-R262-K262,MRSum)*Act_qx(x+C262,Geschlecht,getParm(Tarifart,"Tafel"),YEAR(GebDat),x+Dauer,1),2)</f>
        <v>2.4900000000000002</v>
      </c>
      <c r="M262" s="10" cm="1">
        <f t="array" ref="M262">ROUND(L262*get_Üb(YEAR(A262),$M$8),2)</f>
        <v>0.12</v>
      </c>
      <c r="N262" s="10" cm="1">
        <f t="array" ref="N262">ROUND(R262*getParm(Tarifart,IF(C262&lt;BZDauer,"gamma1","gamma2")),2)</f>
        <v>80.319999999999993</v>
      </c>
      <c r="O262" s="10" cm="1">
        <f t="array" ref="O262">ROUND(R262*get_Üb(YEAR(A262),$O$8),2)</f>
        <v>13.39</v>
      </c>
      <c r="P262" s="19">
        <f t="shared" si="45"/>
        <v>9.8267632007000003</v>
      </c>
      <c r="Q262" s="19" cm="1">
        <f t="array" ref="Q262">ROUND(P262+1/getKurs(EDATE(A262,-1))*(K262-L262-N262-getParm(Tarifart,"StK")+M262+O262),10)*(C262&lt;Dauer)</f>
        <v>9.8216418098999991</v>
      </c>
      <c r="R262" s="10" cm="1">
        <f t="array" ref="R262">ROUND(P262*getKurs($A262),2)</f>
        <v>133860.35999999999</v>
      </c>
      <c r="S262" s="10" cm="1">
        <f t="array" ref="S262">ROUND(Q262*getKurs($A262),2)</f>
        <v>133790.6</v>
      </c>
      <c r="T262" s="10">
        <f t="shared" si="41"/>
        <v>137460.35999999999</v>
      </c>
      <c r="U262" s="10" cm="1">
        <f t="array" ref="U262">getParm(Tarifart,"StoSatz")*(Dauer-C262)*Beitrag*Zahlweise*(C262&lt;BZDauer)</f>
        <v>0</v>
      </c>
      <c r="V262" s="10">
        <f t="shared" si="46"/>
        <v>133790.6</v>
      </c>
    </row>
    <row r="263" spans="1:22" x14ac:dyDescent="0.45">
      <c r="A263" s="15">
        <f t="shared" si="47"/>
        <v>44256</v>
      </c>
      <c r="B263">
        <f t="shared" si="48"/>
        <v>254</v>
      </c>
      <c r="C263">
        <f t="shared" si="42"/>
        <v>21</v>
      </c>
      <c r="D263">
        <f t="shared" si="49"/>
        <v>2</v>
      </c>
      <c r="E263">
        <f t="shared" si="39"/>
        <v>1</v>
      </c>
      <c r="F263" s="10">
        <f t="shared" si="40"/>
        <v>0</v>
      </c>
      <c r="G263" s="10" cm="1">
        <f t="array" ref="G263">ROUND(getParm(Tarifart,"alpha")/(2*Zahlweise)*BeiSum*(C263&lt;2)*E263,2)</f>
        <v>0</v>
      </c>
      <c r="H263" s="10" cm="1">
        <f t="array" ref="H263">ROUND(F263*getParm(Tarifart,"beta")*E263,2)</f>
        <v>0</v>
      </c>
      <c r="I263" s="10" cm="1">
        <f t="array" ref="I263">ROUND(F263*get_Üb(YEAR(A263),$I$8)*E263,2)</f>
        <v>0</v>
      </c>
      <c r="J263" s="10">
        <f t="shared" si="43"/>
        <v>0</v>
      </c>
      <c r="K263" s="10">
        <f t="shared" si="44"/>
        <v>0</v>
      </c>
      <c r="L263" s="10" cm="1">
        <f t="array" ref="L263">ROUND(1/12*MAX(MTSum-R263-K263,MRSum)*Act_qx(x+C263,Geschlecht,getParm(Tarifart,"Tafel"),YEAR(GebDat),x+Dauer,1),2)</f>
        <v>2.4900000000000002</v>
      </c>
      <c r="M263" s="10" cm="1">
        <f t="array" ref="M263">ROUND(L263*get_Üb(YEAR(A263),$M$8),2)</f>
        <v>0.12</v>
      </c>
      <c r="N263" s="10" cm="1">
        <f t="array" ref="N263">ROUND(R263*getParm(Tarifart,IF(C263&lt;BZDauer,"gamma1","gamma2")),2)</f>
        <v>82.58</v>
      </c>
      <c r="O263" s="10" cm="1">
        <f t="array" ref="O263">ROUND(R263*get_Üb(YEAR(A263),$O$8),2)</f>
        <v>13.76</v>
      </c>
      <c r="P263" s="19">
        <f t="shared" si="45"/>
        <v>9.8216418098999991</v>
      </c>
      <c r="Q263" s="19" cm="1">
        <f t="array" ref="Q263">ROUND(P263+1/getKurs(EDATE(A263,-1))*(K263-L263-N263-getParm(Tarifart,"StK")+M263+O263),10)*(C263&lt;Dauer)</f>
        <v>9.8163423022000007</v>
      </c>
      <c r="R263" s="10" cm="1">
        <f t="array" ref="R263">ROUND(P263*getKurs($A263),2)</f>
        <v>137628.9</v>
      </c>
      <c r="S263" s="10" cm="1">
        <f t="array" ref="S263">ROUND(Q263*getKurs($A263),2)</f>
        <v>137554.64000000001</v>
      </c>
      <c r="T263" s="10">
        <f t="shared" si="41"/>
        <v>141228.9</v>
      </c>
      <c r="U263" s="10" cm="1">
        <f t="array" ref="U263">getParm(Tarifart,"StoSatz")*(Dauer-C263)*Beitrag*Zahlweise*(C263&lt;BZDauer)</f>
        <v>0</v>
      </c>
      <c r="V263" s="10">
        <f t="shared" si="46"/>
        <v>137554.64000000001</v>
      </c>
    </row>
    <row r="264" spans="1:22" x14ac:dyDescent="0.45">
      <c r="A264" s="15">
        <f t="shared" si="47"/>
        <v>44287</v>
      </c>
      <c r="B264">
        <f t="shared" si="48"/>
        <v>255</v>
      </c>
      <c r="C264">
        <f t="shared" si="42"/>
        <v>21</v>
      </c>
      <c r="D264">
        <f t="shared" si="49"/>
        <v>3</v>
      </c>
      <c r="E264">
        <f t="shared" si="39"/>
        <v>1</v>
      </c>
      <c r="F264" s="10">
        <f t="shared" si="40"/>
        <v>0</v>
      </c>
      <c r="G264" s="10" cm="1">
        <f t="array" ref="G264">ROUND(getParm(Tarifart,"alpha")/(2*Zahlweise)*BeiSum*(C264&lt;2)*E264,2)</f>
        <v>0</v>
      </c>
      <c r="H264" s="10" cm="1">
        <f t="array" ref="H264">ROUND(F264*getParm(Tarifart,"beta")*E264,2)</f>
        <v>0</v>
      </c>
      <c r="I264" s="10" cm="1">
        <f t="array" ref="I264">ROUND(F264*get_Üb(YEAR(A264),$I$8)*E264,2)</f>
        <v>0</v>
      </c>
      <c r="J264" s="10">
        <f t="shared" si="43"/>
        <v>0</v>
      </c>
      <c r="K264" s="10">
        <f t="shared" si="44"/>
        <v>0</v>
      </c>
      <c r="L264" s="10" cm="1">
        <f t="array" ref="L264">ROUND(1/12*MAX(MTSum-R264-K264,MRSum)*Act_qx(x+C264,Geschlecht,getParm(Tarifart,"Tafel"),YEAR(GebDat),x+Dauer,1),2)</f>
        <v>2.4900000000000002</v>
      </c>
      <c r="M264" s="10" cm="1">
        <f t="array" ref="M264">ROUND(L264*get_Üb(YEAR(A264),$M$8),2)</f>
        <v>0.12</v>
      </c>
      <c r="N264" s="10" cm="1">
        <f t="array" ref="N264">ROUND(R264*getParm(Tarifart,IF(C264&lt;BZDauer,"gamma1","gamma2")),2)</f>
        <v>88.98</v>
      </c>
      <c r="O264" s="10" cm="1">
        <f t="array" ref="O264">ROUND(R264*get_Üb(YEAR(A264),$O$8),2)</f>
        <v>14.83</v>
      </c>
      <c r="P264" s="19">
        <f t="shared" si="45"/>
        <v>9.8163423022000007</v>
      </c>
      <c r="Q264" s="19" cm="1">
        <f t="array" ref="Q264">ROUND(P264+1/getKurs(EDATE(A264,-1))*(K264-L264-N264-getParm(Tarifart,"StK")+M264+O264),10)*(C264&lt;Dauer)</f>
        <v>9.8108102250999991</v>
      </c>
      <c r="R264" s="10" cm="1">
        <f t="array" ref="R264">ROUND(P264*getKurs($A264),2)</f>
        <v>148297.15</v>
      </c>
      <c r="S264" s="10" cm="1">
        <f t="array" ref="S264">ROUND(Q264*getKurs($A264),2)</f>
        <v>148213.57999999999</v>
      </c>
      <c r="T264" s="10">
        <f t="shared" si="41"/>
        <v>151897.15</v>
      </c>
      <c r="U264" s="10" cm="1">
        <f t="array" ref="U264">getParm(Tarifart,"StoSatz")*(Dauer-C264)*Beitrag*Zahlweise*(C264&lt;BZDauer)</f>
        <v>0</v>
      </c>
      <c r="V264" s="10">
        <f t="shared" si="46"/>
        <v>148213.57999999999</v>
      </c>
    </row>
    <row r="265" spans="1:22" x14ac:dyDescent="0.45">
      <c r="A265" s="15">
        <f t="shared" si="47"/>
        <v>44317</v>
      </c>
      <c r="B265">
        <f t="shared" si="48"/>
        <v>256</v>
      </c>
      <c r="C265">
        <f t="shared" si="42"/>
        <v>21</v>
      </c>
      <c r="D265">
        <f t="shared" si="49"/>
        <v>4</v>
      </c>
      <c r="E265">
        <f t="shared" ref="E265:E328" si="50">IF(MOD(B265,12/Zahlweise)=0,1,0)</f>
        <v>1</v>
      </c>
      <c r="F265" s="10">
        <f t="shared" ref="F265:F328" si="51">Beitrag*E265*(C265&lt;BZDauer)</f>
        <v>0</v>
      </c>
      <c r="G265" s="10" cm="1">
        <f t="array" ref="G265">ROUND(getParm(Tarifart,"alpha")/(2*Zahlweise)*BeiSum*(C265&lt;2)*E265,2)</f>
        <v>0</v>
      </c>
      <c r="H265" s="10" cm="1">
        <f t="array" ref="H265">ROUND(F265*getParm(Tarifart,"beta")*E265,2)</f>
        <v>0</v>
      </c>
      <c r="I265" s="10" cm="1">
        <f t="array" ref="I265">ROUND(F265*get_Üb(YEAR(A265),$I$8)*E265,2)</f>
        <v>0</v>
      </c>
      <c r="J265" s="10">
        <f t="shared" si="43"/>
        <v>0</v>
      </c>
      <c r="K265" s="10">
        <f t="shared" si="44"/>
        <v>0</v>
      </c>
      <c r="L265" s="10" cm="1">
        <f t="array" ref="L265">ROUND(1/12*MAX(MTSum-R265-K265,MRSum)*Act_qx(x+C265,Geschlecht,getParm(Tarifart,"Tafel"),YEAR(GebDat),x+Dauer,1),2)</f>
        <v>2.4900000000000002</v>
      </c>
      <c r="M265" s="10" cm="1">
        <f t="array" ref="M265">ROUND(L265*get_Üb(YEAR(A265),$M$8),2)</f>
        <v>0.12</v>
      </c>
      <c r="N265" s="10" cm="1">
        <f t="array" ref="N265">ROUND(R265*getParm(Tarifart,IF(C265&lt;BZDauer,"gamma1","gamma2")),2)</f>
        <v>89.69</v>
      </c>
      <c r="O265" s="10" cm="1">
        <f t="array" ref="O265">ROUND(R265*get_Üb(YEAR(A265),$O$8),2)</f>
        <v>14.95</v>
      </c>
      <c r="P265" s="19">
        <f t="shared" si="45"/>
        <v>9.8108102250999991</v>
      </c>
      <c r="Q265" s="19" cm="1">
        <f t="array" ref="Q265">ROUND(P265+1/getKurs(EDATE(A265,-1))*(K265-L265-N265-getParm(Tarifart,"StK")+M265+O265),10)*(C265&lt;Dauer)</f>
        <v>9.8056398325000007</v>
      </c>
      <c r="R265" s="10" cm="1">
        <f t="array" ref="R265">ROUND(P265*getKurs($A265),2)</f>
        <v>149482.12</v>
      </c>
      <c r="S265" s="10" cm="1">
        <f t="array" ref="S265">ROUND(Q265*getKurs($A265),2)</f>
        <v>149403.34</v>
      </c>
      <c r="T265" s="10">
        <f t="shared" ref="T265:T328" si="52">ROUND(MAX(MTSum,R265+MRSum),2)</f>
        <v>153082.12</v>
      </c>
      <c r="U265" s="10" cm="1">
        <f t="array" ref="U265">getParm(Tarifart,"StoSatz")*(Dauer-C265)*Beitrag*Zahlweise*(C265&lt;BZDauer)</f>
        <v>0</v>
      </c>
      <c r="V265" s="10">
        <f t="shared" si="46"/>
        <v>149403.34</v>
      </c>
    </row>
    <row r="266" spans="1:22" x14ac:dyDescent="0.45">
      <c r="A266" s="15">
        <f t="shared" si="47"/>
        <v>44348</v>
      </c>
      <c r="B266">
        <f t="shared" si="48"/>
        <v>257</v>
      </c>
      <c r="C266">
        <f t="shared" ref="C266:C329" si="53">QUOTIENT(B266,12)</f>
        <v>21</v>
      </c>
      <c r="D266">
        <f t="shared" si="49"/>
        <v>5</v>
      </c>
      <c r="E266">
        <f t="shared" si="50"/>
        <v>1</v>
      </c>
      <c r="F266" s="10">
        <f t="shared" si="51"/>
        <v>0</v>
      </c>
      <c r="G266" s="10" cm="1">
        <f t="array" ref="G266">ROUND(getParm(Tarifart,"alpha")/(2*Zahlweise)*BeiSum*(C266&lt;2)*E266,2)</f>
        <v>0</v>
      </c>
      <c r="H266" s="10" cm="1">
        <f t="array" ref="H266">ROUND(F266*getParm(Tarifart,"beta")*E266,2)</f>
        <v>0</v>
      </c>
      <c r="I266" s="10" cm="1">
        <f t="array" ref="I266">ROUND(F266*get_Üb(YEAR(A266),$I$8)*E266,2)</f>
        <v>0</v>
      </c>
      <c r="J266" s="10">
        <f t="shared" ref="J266:J329" si="54">G266+H266</f>
        <v>0</v>
      </c>
      <c r="K266" s="10">
        <f t="shared" ref="K266:K329" si="55">F266-J266+I266</f>
        <v>0</v>
      </c>
      <c r="L266" s="10" cm="1">
        <f t="array" ref="L266">ROUND(1/12*MAX(MTSum-R266-K266,MRSum)*Act_qx(x+C266,Geschlecht,getParm(Tarifart,"Tafel"),YEAR(GebDat),x+Dauer,1),2)</f>
        <v>2.4900000000000002</v>
      </c>
      <c r="M266" s="10" cm="1">
        <f t="array" ref="M266">ROUND(L266*get_Üb(YEAR(A266),$M$8),2)</f>
        <v>0.12</v>
      </c>
      <c r="N266" s="10" cm="1">
        <f t="array" ref="N266">ROUND(R266*getParm(Tarifart,IF(C266&lt;BZDauer,"gamma1","gamma2")),2)</f>
        <v>91.59</v>
      </c>
      <c r="O266" s="10" cm="1">
        <f t="array" ref="O266">ROUND(R266*get_Üb(YEAR(A266),$O$8),2)</f>
        <v>15.26</v>
      </c>
      <c r="P266" s="19">
        <f t="shared" ref="P266:P329" si="56">Q265*(C266&lt;Dauer)</f>
        <v>9.8056398325000007</v>
      </c>
      <c r="Q266" s="19" cm="1">
        <f t="array" ref="Q266">ROUND(P266+1/getKurs(EDATE(A266,-1))*(K266-L266-N266-getParm(Tarifart,"StK")+M266+O266),10)*(C266&lt;Dauer)</f>
        <v>9.8004089621000006</v>
      </c>
      <c r="R266" s="10" cm="1">
        <f t="array" ref="R266">ROUND(P266*getKurs($A266),2)</f>
        <v>152647.93</v>
      </c>
      <c r="S266" s="10" cm="1">
        <f t="array" ref="S266">ROUND(Q266*getKurs($A266),2)</f>
        <v>152566.49</v>
      </c>
      <c r="T266" s="10">
        <f t="shared" si="52"/>
        <v>156247.93</v>
      </c>
      <c r="U266" s="10" cm="1">
        <f t="array" ref="U266">getParm(Tarifart,"StoSatz")*(Dauer-C266)*Beitrag*Zahlweise*(C266&lt;BZDauer)</f>
        <v>0</v>
      </c>
      <c r="V266" s="10">
        <f t="shared" ref="V266:V329" si="57">MAX(S266-U266,0)</f>
        <v>152566.49</v>
      </c>
    </row>
    <row r="267" spans="1:22" x14ac:dyDescent="0.45">
      <c r="A267" s="15">
        <f t="shared" ref="A267:A330" si="58">EDATE(A266,1)</f>
        <v>44378</v>
      </c>
      <c r="B267">
        <f t="shared" si="48"/>
        <v>258</v>
      </c>
      <c r="C267">
        <f t="shared" si="53"/>
        <v>21</v>
      </c>
      <c r="D267">
        <f t="shared" si="49"/>
        <v>6</v>
      </c>
      <c r="E267">
        <f t="shared" si="50"/>
        <v>1</v>
      </c>
      <c r="F267" s="10">
        <f t="shared" si="51"/>
        <v>0</v>
      </c>
      <c r="G267" s="10" cm="1">
        <f t="array" ref="G267">ROUND(getParm(Tarifart,"alpha")/(2*Zahlweise)*BeiSum*(C267&lt;2)*E267,2)</f>
        <v>0</v>
      </c>
      <c r="H267" s="10" cm="1">
        <f t="array" ref="H267">ROUND(F267*getParm(Tarifart,"beta")*E267,2)</f>
        <v>0</v>
      </c>
      <c r="I267" s="10" cm="1">
        <f t="array" ref="I267">ROUND(F267*get_Üb(YEAR(A267),$I$8)*E267,2)</f>
        <v>0</v>
      </c>
      <c r="J267" s="10">
        <f t="shared" si="54"/>
        <v>0</v>
      </c>
      <c r="K267" s="10">
        <f t="shared" si="55"/>
        <v>0</v>
      </c>
      <c r="L267" s="10" cm="1">
        <f t="array" ref="L267">ROUND(1/12*MAX(MTSum-R267-K267,MRSum)*Act_qx(x+C267,Geschlecht,getParm(Tarifart,"Tafel"),YEAR(GebDat),x+Dauer,1),2)</f>
        <v>2.4900000000000002</v>
      </c>
      <c r="M267" s="10" cm="1">
        <f t="array" ref="M267">ROUND(L267*get_Üb(YEAR(A267),$M$8),2)</f>
        <v>0.12</v>
      </c>
      <c r="N267" s="10" cm="1">
        <f t="array" ref="N267">ROUND(R267*getParm(Tarifart,IF(C267&lt;BZDauer,"gamma1","gamma2")),2)</f>
        <v>91.75</v>
      </c>
      <c r="O267" s="10" cm="1">
        <f t="array" ref="O267">ROUND(R267*get_Üb(YEAR(A267),$O$8),2)</f>
        <v>15.29</v>
      </c>
      <c r="P267" s="19">
        <f t="shared" si="56"/>
        <v>9.8004089621000006</v>
      </c>
      <c r="Q267" s="19" cm="1">
        <f t="array" ref="Q267">ROUND(P267+1/getKurs(EDATE(A267,-1))*(K267-L267-N267-getParm(Tarifart,"StK")+M267+O267),10)*(C267&lt;Dauer)</f>
        <v>9.7952809250000001</v>
      </c>
      <c r="R267" s="10" cm="1">
        <f t="array" ref="R267">ROUND(P267*getKurs($A267),2)</f>
        <v>152923.72</v>
      </c>
      <c r="S267" s="10" cm="1">
        <f t="array" ref="S267">ROUND(Q267*getKurs($A267),2)</f>
        <v>152843.70000000001</v>
      </c>
      <c r="T267" s="10">
        <f t="shared" si="52"/>
        <v>156523.72</v>
      </c>
      <c r="U267" s="10" cm="1">
        <f t="array" ref="U267">getParm(Tarifart,"StoSatz")*(Dauer-C267)*Beitrag*Zahlweise*(C267&lt;BZDauer)</f>
        <v>0</v>
      </c>
      <c r="V267" s="10">
        <f t="shared" si="57"/>
        <v>152843.70000000001</v>
      </c>
    </row>
    <row r="268" spans="1:22" x14ac:dyDescent="0.45">
      <c r="A268" s="15">
        <f t="shared" si="58"/>
        <v>44409</v>
      </c>
      <c r="B268">
        <f t="shared" si="48"/>
        <v>259</v>
      </c>
      <c r="C268">
        <f t="shared" si="53"/>
        <v>21</v>
      </c>
      <c r="D268">
        <f t="shared" si="49"/>
        <v>7</v>
      </c>
      <c r="E268">
        <f t="shared" si="50"/>
        <v>1</v>
      </c>
      <c r="F268" s="10">
        <f t="shared" si="51"/>
        <v>0</v>
      </c>
      <c r="G268" s="10" cm="1">
        <f t="array" ref="G268">ROUND(getParm(Tarifart,"alpha")/(2*Zahlweise)*BeiSum*(C268&lt;2)*E268,2)</f>
        <v>0</v>
      </c>
      <c r="H268" s="10" cm="1">
        <f t="array" ref="H268">ROUND(F268*getParm(Tarifart,"beta")*E268,2)</f>
        <v>0</v>
      </c>
      <c r="I268" s="10" cm="1">
        <f t="array" ref="I268">ROUND(F268*get_Üb(YEAR(A268),$I$8)*E268,2)</f>
        <v>0</v>
      </c>
      <c r="J268" s="10">
        <f t="shared" si="54"/>
        <v>0</v>
      </c>
      <c r="K268" s="10">
        <f t="shared" si="55"/>
        <v>0</v>
      </c>
      <c r="L268" s="10" cm="1">
        <f t="array" ref="L268">ROUND(1/12*MAX(MTSum-R268-K268,MRSum)*Act_qx(x+C268,Geschlecht,getParm(Tarifart,"Tafel"),YEAR(GebDat),x+Dauer,1),2)</f>
        <v>2.4900000000000002</v>
      </c>
      <c r="M268" s="10" cm="1">
        <f t="array" ref="M268">ROUND(L268*get_Üb(YEAR(A268),$M$8),2)</f>
        <v>0.12</v>
      </c>
      <c r="N268" s="10" cm="1">
        <f t="array" ref="N268">ROUND(R268*getParm(Tarifart,IF(C268&lt;BZDauer,"gamma1","gamma2")),2)</f>
        <v>91.5</v>
      </c>
      <c r="O268" s="10" cm="1">
        <f t="array" ref="O268">ROUND(R268*get_Üb(YEAR(A268),$O$8),2)</f>
        <v>15.25</v>
      </c>
      <c r="P268" s="19">
        <f t="shared" si="56"/>
        <v>9.7952809250000001</v>
      </c>
      <c r="Q268" s="19" cm="1">
        <f t="array" ref="Q268">ROUND(P268+1/getKurs(EDATE(A268,-1))*(K268-L268-N268-getParm(Tarifart,"StK")+M268+O268),10)*(C268&lt;Dauer)</f>
        <v>9.7901783250999994</v>
      </c>
      <c r="R268" s="10" cm="1">
        <f t="array" ref="R268">ROUND(P268*getKurs($A268),2)</f>
        <v>152500.07999999999</v>
      </c>
      <c r="S268" s="10" cm="1">
        <f t="array" ref="S268">ROUND(Q268*getKurs($A268),2)</f>
        <v>152420.64000000001</v>
      </c>
      <c r="T268" s="10">
        <f t="shared" si="52"/>
        <v>156100.07999999999</v>
      </c>
      <c r="U268" s="10" cm="1">
        <f t="array" ref="U268">getParm(Tarifart,"StoSatz")*(Dauer-C268)*Beitrag*Zahlweise*(C268&lt;BZDauer)</f>
        <v>0</v>
      </c>
      <c r="V268" s="10">
        <f t="shared" si="57"/>
        <v>152420.64000000001</v>
      </c>
    </row>
    <row r="269" spans="1:22" x14ac:dyDescent="0.45">
      <c r="A269" s="15">
        <f t="shared" si="58"/>
        <v>44440</v>
      </c>
      <c r="B269">
        <f t="shared" si="48"/>
        <v>260</v>
      </c>
      <c r="C269">
        <f t="shared" si="53"/>
        <v>21</v>
      </c>
      <c r="D269">
        <f t="shared" si="49"/>
        <v>8</v>
      </c>
      <c r="E269">
        <f t="shared" si="50"/>
        <v>1</v>
      </c>
      <c r="F269" s="10">
        <f t="shared" si="51"/>
        <v>0</v>
      </c>
      <c r="G269" s="10" cm="1">
        <f t="array" ref="G269">ROUND(getParm(Tarifart,"alpha")/(2*Zahlweise)*BeiSum*(C269&lt;2)*E269,2)</f>
        <v>0</v>
      </c>
      <c r="H269" s="10" cm="1">
        <f t="array" ref="H269">ROUND(F269*getParm(Tarifart,"beta")*E269,2)</f>
        <v>0</v>
      </c>
      <c r="I269" s="10" cm="1">
        <f t="array" ref="I269">ROUND(F269*get_Üb(YEAR(A269),$I$8)*E269,2)</f>
        <v>0</v>
      </c>
      <c r="J269" s="10">
        <f t="shared" si="54"/>
        <v>0</v>
      </c>
      <c r="K269" s="10">
        <f t="shared" si="55"/>
        <v>0</v>
      </c>
      <c r="L269" s="10" cm="1">
        <f t="array" ref="L269">ROUND(1/12*MAX(MTSum-R269-K269,MRSum)*Act_qx(x+C269,Geschlecht,getParm(Tarifart,"Tafel"),YEAR(GebDat),x+Dauer,1),2)</f>
        <v>2.4900000000000002</v>
      </c>
      <c r="M269" s="10" cm="1">
        <f t="array" ref="M269">ROUND(L269*get_Üb(YEAR(A269),$M$8),2)</f>
        <v>0.12</v>
      </c>
      <c r="N269" s="10" cm="1">
        <f t="array" ref="N269">ROUND(R269*getParm(Tarifart,IF(C269&lt;BZDauer,"gamma1","gamma2")),2)</f>
        <v>92.95</v>
      </c>
      <c r="O269" s="10" cm="1">
        <f t="array" ref="O269">ROUND(R269*get_Üb(YEAR(A269),$O$8),2)</f>
        <v>15.49</v>
      </c>
      <c r="P269" s="19">
        <f t="shared" si="56"/>
        <v>9.7901783250999994</v>
      </c>
      <c r="Q269" s="19" cm="1">
        <f t="array" ref="Q269">ROUND(P269+1/getKurs(EDATE(A269,-1))*(K269-L269-N269-getParm(Tarifart,"StK")+M269+O269),10)*(C269&lt;Dauer)</f>
        <v>9.7849865078999994</v>
      </c>
      <c r="R269" s="10" cm="1">
        <f t="array" ref="R269">ROUND(P269*getKurs($A269),2)</f>
        <v>154922.62</v>
      </c>
      <c r="S269" s="10" cm="1">
        <f t="array" ref="S269">ROUND(Q269*getKurs($A269),2)</f>
        <v>154840.46</v>
      </c>
      <c r="T269" s="10">
        <f t="shared" si="52"/>
        <v>158522.62</v>
      </c>
      <c r="U269" s="10" cm="1">
        <f t="array" ref="U269">getParm(Tarifart,"StoSatz")*(Dauer-C269)*Beitrag*Zahlweise*(C269&lt;BZDauer)</f>
        <v>0</v>
      </c>
      <c r="V269" s="10">
        <f t="shared" si="57"/>
        <v>154840.46</v>
      </c>
    </row>
    <row r="270" spans="1:22" x14ac:dyDescent="0.45">
      <c r="A270" s="15">
        <f t="shared" si="58"/>
        <v>44470</v>
      </c>
      <c r="B270">
        <f t="shared" si="48"/>
        <v>261</v>
      </c>
      <c r="C270">
        <f t="shared" si="53"/>
        <v>21</v>
      </c>
      <c r="D270">
        <f t="shared" si="49"/>
        <v>9</v>
      </c>
      <c r="E270">
        <f t="shared" si="50"/>
        <v>1</v>
      </c>
      <c r="F270" s="10">
        <f t="shared" si="51"/>
        <v>0</v>
      </c>
      <c r="G270" s="10" cm="1">
        <f t="array" ref="G270">ROUND(getParm(Tarifart,"alpha")/(2*Zahlweise)*BeiSum*(C270&lt;2)*E270,2)</f>
        <v>0</v>
      </c>
      <c r="H270" s="10" cm="1">
        <f t="array" ref="H270">ROUND(F270*getParm(Tarifart,"beta")*E270,2)</f>
        <v>0</v>
      </c>
      <c r="I270" s="10" cm="1">
        <f t="array" ref="I270">ROUND(F270*get_Üb(YEAR(A270),$I$8)*E270,2)</f>
        <v>0</v>
      </c>
      <c r="J270" s="10">
        <f t="shared" si="54"/>
        <v>0</v>
      </c>
      <c r="K270" s="10">
        <f t="shared" si="55"/>
        <v>0</v>
      </c>
      <c r="L270" s="10" cm="1">
        <f t="array" ref="L270">ROUND(1/12*MAX(MTSum-R270-K270,MRSum)*Act_qx(x+C270,Geschlecht,getParm(Tarifart,"Tafel"),YEAR(GebDat),x+Dauer,1),2)</f>
        <v>2.4900000000000002</v>
      </c>
      <c r="M270" s="10" cm="1">
        <f t="array" ref="M270">ROUND(L270*get_Üb(YEAR(A270),$M$8),2)</f>
        <v>0.12</v>
      </c>
      <c r="N270" s="10" cm="1">
        <f t="array" ref="N270">ROUND(R270*getParm(Tarifart,IF(C270&lt;BZDauer,"gamma1","gamma2")),2)</f>
        <v>88.98</v>
      </c>
      <c r="O270" s="10" cm="1">
        <f t="array" ref="O270">ROUND(R270*get_Üb(YEAR(A270),$O$8),2)</f>
        <v>14.83</v>
      </c>
      <c r="P270" s="19">
        <f t="shared" si="56"/>
        <v>9.7849865078999994</v>
      </c>
      <c r="Q270" s="19" cm="1">
        <f t="array" ref="Q270">ROUND(P270+1/getKurs(EDATE(A270,-1))*(K270-L270-N270-getParm(Tarifart,"StK")+M270+O270),10)*(C270&lt;Dauer)</f>
        <v>9.7800877099000001</v>
      </c>
      <c r="R270" s="10" cm="1">
        <f t="array" ref="R270">ROUND(P270*getKurs($A270),2)</f>
        <v>148305.56</v>
      </c>
      <c r="S270" s="10" cm="1">
        <f t="array" ref="S270">ROUND(Q270*getKurs($A270),2)</f>
        <v>148231.31</v>
      </c>
      <c r="T270" s="10">
        <f t="shared" si="52"/>
        <v>151905.56</v>
      </c>
      <c r="U270" s="10" cm="1">
        <f t="array" ref="U270">getParm(Tarifart,"StoSatz")*(Dauer-C270)*Beitrag*Zahlweise*(C270&lt;BZDauer)</f>
        <v>0</v>
      </c>
      <c r="V270" s="10">
        <f t="shared" si="57"/>
        <v>148231.31</v>
      </c>
    </row>
    <row r="271" spans="1:22" x14ac:dyDescent="0.45">
      <c r="A271" s="15">
        <f t="shared" si="58"/>
        <v>44501</v>
      </c>
      <c r="B271">
        <f t="shared" si="48"/>
        <v>262</v>
      </c>
      <c r="C271">
        <f t="shared" si="53"/>
        <v>21</v>
      </c>
      <c r="D271">
        <f t="shared" si="49"/>
        <v>10</v>
      </c>
      <c r="E271">
        <f t="shared" si="50"/>
        <v>1</v>
      </c>
      <c r="F271" s="10">
        <f t="shared" si="51"/>
        <v>0</v>
      </c>
      <c r="G271" s="10" cm="1">
        <f t="array" ref="G271">ROUND(getParm(Tarifart,"alpha")/(2*Zahlweise)*BeiSum*(C271&lt;2)*E271,2)</f>
        <v>0</v>
      </c>
      <c r="H271" s="10" cm="1">
        <f t="array" ref="H271">ROUND(F271*getParm(Tarifart,"beta")*E271,2)</f>
        <v>0</v>
      </c>
      <c r="I271" s="10" cm="1">
        <f t="array" ref="I271">ROUND(F271*get_Üb(YEAR(A271),$I$8)*E271,2)</f>
        <v>0</v>
      </c>
      <c r="J271" s="10">
        <f t="shared" si="54"/>
        <v>0</v>
      </c>
      <c r="K271" s="10">
        <f t="shared" si="55"/>
        <v>0</v>
      </c>
      <c r="L271" s="10" cm="1">
        <f t="array" ref="L271">ROUND(1/12*MAX(MTSum-R271-K271,MRSum)*Act_qx(x+C271,Geschlecht,getParm(Tarifart,"Tafel"),YEAR(GebDat),x+Dauer,1),2)</f>
        <v>2.4900000000000002</v>
      </c>
      <c r="M271" s="10" cm="1">
        <f t="array" ref="M271">ROUND(L271*get_Üb(YEAR(A271),$M$8),2)</f>
        <v>0.12</v>
      </c>
      <c r="N271" s="10" cm="1">
        <f t="array" ref="N271">ROUND(R271*getParm(Tarifart,IF(C271&lt;BZDauer,"gamma1","gamma2")),2)</f>
        <v>92.75</v>
      </c>
      <c r="O271" s="10" cm="1">
        <f t="array" ref="O271">ROUND(R271*get_Üb(YEAR(A271),$O$8),2)</f>
        <v>15.46</v>
      </c>
      <c r="P271" s="19">
        <f t="shared" si="56"/>
        <v>9.7800877099000001</v>
      </c>
      <c r="Q271" s="19" cm="1">
        <f t="array" ref="Q271">ROUND(P271+1/getKurs(EDATE(A271,-1))*(K271-L271-N271-getParm(Tarifart,"StK")+M271+O271),10)*(C271&lt;Dauer)</f>
        <v>9.7747658797000003</v>
      </c>
      <c r="R271" s="10" cm="1">
        <f t="array" ref="R271">ROUND(P271*getKurs($A271),2)</f>
        <v>154586.9</v>
      </c>
      <c r="S271" s="10" cm="1">
        <f t="array" ref="S271">ROUND(Q271*getKurs($A271),2)</f>
        <v>154502.78</v>
      </c>
      <c r="T271" s="10">
        <f t="shared" si="52"/>
        <v>158186.9</v>
      </c>
      <c r="U271" s="10" cm="1">
        <f t="array" ref="U271">getParm(Tarifart,"StoSatz")*(Dauer-C271)*Beitrag*Zahlweise*(C271&lt;BZDauer)</f>
        <v>0</v>
      </c>
      <c r="V271" s="10">
        <f t="shared" si="57"/>
        <v>154502.78</v>
      </c>
    </row>
    <row r="272" spans="1:22" x14ac:dyDescent="0.45">
      <c r="A272" s="15">
        <f t="shared" si="58"/>
        <v>44531</v>
      </c>
      <c r="B272">
        <f t="shared" si="48"/>
        <v>263</v>
      </c>
      <c r="C272">
        <f t="shared" si="53"/>
        <v>21</v>
      </c>
      <c r="D272">
        <f t="shared" si="49"/>
        <v>11</v>
      </c>
      <c r="E272">
        <f t="shared" si="50"/>
        <v>1</v>
      </c>
      <c r="F272" s="10">
        <f t="shared" si="51"/>
        <v>0</v>
      </c>
      <c r="G272" s="10" cm="1">
        <f t="array" ref="G272">ROUND(getParm(Tarifart,"alpha")/(2*Zahlweise)*BeiSum*(C272&lt;2)*E272,2)</f>
        <v>0</v>
      </c>
      <c r="H272" s="10" cm="1">
        <f t="array" ref="H272">ROUND(F272*getParm(Tarifart,"beta")*E272,2)</f>
        <v>0</v>
      </c>
      <c r="I272" s="10" cm="1">
        <f t="array" ref="I272">ROUND(F272*get_Üb(YEAR(A272),$I$8)*E272,2)</f>
        <v>0</v>
      </c>
      <c r="J272" s="10">
        <f t="shared" si="54"/>
        <v>0</v>
      </c>
      <c r="K272" s="10">
        <f t="shared" si="55"/>
        <v>0</v>
      </c>
      <c r="L272" s="10" cm="1">
        <f t="array" ref="L272">ROUND(1/12*MAX(MTSum-R272-K272,MRSum)*Act_qx(x+C272,Geschlecht,getParm(Tarifart,"Tafel"),YEAR(GebDat),x+Dauer,1),2)</f>
        <v>2.4900000000000002</v>
      </c>
      <c r="M272" s="10" cm="1">
        <f t="array" ref="M272">ROUND(L272*get_Üb(YEAR(A272),$M$8),2)</f>
        <v>0.12</v>
      </c>
      <c r="N272" s="10" cm="1">
        <f t="array" ref="N272">ROUND(R272*getParm(Tarifart,IF(C272&lt;BZDauer,"gamma1","gamma2")),2)</f>
        <v>90.75</v>
      </c>
      <c r="O272" s="10" cm="1">
        <f t="array" ref="O272">ROUND(R272*get_Üb(YEAR(A272),$O$8),2)</f>
        <v>15.12</v>
      </c>
      <c r="P272" s="19">
        <f t="shared" si="56"/>
        <v>9.7747658797000003</v>
      </c>
      <c r="Q272" s="19" cm="1">
        <f t="array" ref="Q272">ROUND(P272+1/getKurs(EDATE(A272,-1))*(K272-L272-N272-getParm(Tarifart,"StK")+M272+O272),10)*(C272&lt;Dauer)</f>
        <v>9.7697678694000007</v>
      </c>
      <c r="R272" s="10" cm="1">
        <f t="array" ref="R272">ROUND(P272*getKurs($A272),2)</f>
        <v>151241.73000000001</v>
      </c>
      <c r="S272" s="10" cm="1">
        <f t="array" ref="S272">ROUND(Q272*getKurs($A272),2)</f>
        <v>151164.39000000001</v>
      </c>
      <c r="T272" s="10">
        <f t="shared" si="52"/>
        <v>154841.73000000001</v>
      </c>
      <c r="U272" s="10" cm="1">
        <f t="array" ref="U272">getParm(Tarifart,"StoSatz")*(Dauer-C272)*Beitrag*Zahlweise*(C272&lt;BZDauer)</f>
        <v>0</v>
      </c>
      <c r="V272" s="10">
        <f t="shared" si="57"/>
        <v>151164.39000000001</v>
      </c>
    </row>
    <row r="273" spans="1:22" x14ac:dyDescent="0.45">
      <c r="A273" s="15">
        <f t="shared" si="58"/>
        <v>44562</v>
      </c>
      <c r="B273">
        <f t="shared" si="48"/>
        <v>264</v>
      </c>
      <c r="C273">
        <f t="shared" si="53"/>
        <v>22</v>
      </c>
      <c r="D273">
        <f t="shared" si="49"/>
        <v>0</v>
      </c>
      <c r="E273">
        <f t="shared" si="50"/>
        <v>1</v>
      </c>
      <c r="F273" s="10">
        <f t="shared" si="51"/>
        <v>0</v>
      </c>
      <c r="G273" s="10" cm="1">
        <f t="array" ref="G273">ROUND(getParm(Tarifart,"alpha")/(2*Zahlweise)*BeiSum*(C273&lt;2)*E273,2)</f>
        <v>0</v>
      </c>
      <c r="H273" s="10" cm="1">
        <f t="array" ref="H273">ROUND(F273*getParm(Tarifart,"beta")*E273,2)</f>
        <v>0</v>
      </c>
      <c r="I273" s="10" cm="1">
        <f t="array" ref="I273">ROUND(F273*get_Üb(YEAR(A273),$I$8)*E273,2)</f>
        <v>0</v>
      </c>
      <c r="J273" s="10">
        <f t="shared" si="54"/>
        <v>0</v>
      </c>
      <c r="K273" s="10">
        <f t="shared" si="55"/>
        <v>0</v>
      </c>
      <c r="L273" s="10" cm="1">
        <f t="array" ref="L273">ROUND(1/12*MAX(MTSum-R273-K273,MRSum)*Act_qx(x+C273,Geschlecht,getParm(Tarifart,"Tafel"),YEAR(GebDat),x+Dauer,1),2)</f>
        <v>2.76</v>
      </c>
      <c r="M273" s="10" cm="1">
        <f t="array" ref="M273">ROUND(L273*get_Üb(YEAR(A273),$M$8),2)</f>
        <v>0.14000000000000001</v>
      </c>
      <c r="N273" s="10" cm="1">
        <f t="array" ref="N273">ROUND(R273*getParm(Tarifart,IF(C273&lt;BZDauer,"gamma1","gamma2")),2)</f>
        <v>93.91</v>
      </c>
      <c r="O273" s="10" cm="1">
        <f t="array" ref="O273">ROUND(R273*get_Üb(YEAR(A273),$O$8),2)</f>
        <v>15.65</v>
      </c>
      <c r="P273" s="19">
        <f t="shared" si="56"/>
        <v>9.7697678694000007</v>
      </c>
      <c r="Q273" s="19" cm="1">
        <f t="array" ref="Q273">ROUND(P273+1/getKurs(EDATE(A273,-1))*(K273-L273-N273-getParm(Tarifart,"StK")+M273+O273),10)*(C273&lt;Dauer)</f>
        <v>9.7644759579000002</v>
      </c>
      <c r="R273" s="10" cm="1">
        <f t="array" ref="R273">ROUND(P273*getKurs($A273),2)</f>
        <v>156518.81</v>
      </c>
      <c r="S273" s="10" cm="1">
        <f t="array" ref="S273">ROUND(Q273*getKurs($A273),2)</f>
        <v>156434.03</v>
      </c>
      <c r="T273" s="10">
        <f t="shared" si="52"/>
        <v>160118.81</v>
      </c>
      <c r="U273" s="10" cm="1">
        <f t="array" ref="U273">getParm(Tarifart,"StoSatz")*(Dauer-C273)*Beitrag*Zahlweise*(C273&lt;BZDauer)</f>
        <v>0</v>
      </c>
      <c r="V273" s="10">
        <f t="shared" si="57"/>
        <v>156434.03</v>
      </c>
    </row>
    <row r="274" spans="1:22" x14ac:dyDescent="0.45">
      <c r="A274" s="15">
        <f t="shared" si="58"/>
        <v>44593</v>
      </c>
      <c r="B274">
        <f t="shared" si="48"/>
        <v>265</v>
      </c>
      <c r="C274">
        <f t="shared" si="53"/>
        <v>22</v>
      </c>
      <c r="D274">
        <f t="shared" si="49"/>
        <v>1</v>
      </c>
      <c r="E274">
        <f t="shared" si="50"/>
        <v>1</v>
      </c>
      <c r="F274" s="10">
        <f t="shared" si="51"/>
        <v>0</v>
      </c>
      <c r="G274" s="10" cm="1">
        <f t="array" ref="G274">ROUND(getParm(Tarifart,"alpha")/(2*Zahlweise)*BeiSum*(C274&lt;2)*E274,2)</f>
        <v>0</v>
      </c>
      <c r="H274" s="10" cm="1">
        <f t="array" ref="H274">ROUND(F274*getParm(Tarifart,"beta")*E274,2)</f>
        <v>0</v>
      </c>
      <c r="I274" s="10" cm="1">
        <f t="array" ref="I274">ROUND(F274*get_Üb(YEAR(A274),$I$8)*E274,2)</f>
        <v>0</v>
      </c>
      <c r="J274" s="10">
        <f t="shared" si="54"/>
        <v>0</v>
      </c>
      <c r="K274" s="10">
        <f t="shared" si="55"/>
        <v>0</v>
      </c>
      <c r="L274" s="10" cm="1">
        <f t="array" ref="L274">ROUND(1/12*MAX(MTSum-R274-K274,MRSum)*Act_qx(x+C274,Geschlecht,getParm(Tarifart,"Tafel"),YEAR(GebDat),x+Dauer,1),2)</f>
        <v>2.76</v>
      </c>
      <c r="M274" s="10" cm="1">
        <f t="array" ref="M274">ROUND(L274*get_Üb(YEAR(A274),$M$8),2)</f>
        <v>0.14000000000000001</v>
      </c>
      <c r="N274" s="10" cm="1">
        <f t="array" ref="N274">ROUND(R274*getParm(Tarifart,IF(C274&lt;BZDauer,"gamma1","gamma2")),2)</f>
        <v>91.51</v>
      </c>
      <c r="O274" s="10" cm="1">
        <f t="array" ref="O274">ROUND(R274*get_Üb(YEAR(A274),$O$8),2)</f>
        <v>15.25</v>
      </c>
      <c r="P274" s="19">
        <f t="shared" si="56"/>
        <v>9.7644759579000002</v>
      </c>
      <c r="Q274" s="19" cm="1">
        <f t="array" ref="Q274">ROUND(P274+1/getKurs(EDATE(A274,-1))*(K274-L274-N274-getParm(Tarifart,"StK")+M274+O274),10)*(C274&lt;Dauer)</f>
        <v>9.7594899178999999</v>
      </c>
      <c r="R274" s="10" cm="1">
        <f t="array" ref="R274">ROUND(P274*getKurs($A274),2)</f>
        <v>152515.16</v>
      </c>
      <c r="S274" s="10" cm="1">
        <f t="array" ref="S274">ROUND(Q274*getKurs($A274),2)</f>
        <v>152437.28</v>
      </c>
      <c r="T274" s="10">
        <f t="shared" si="52"/>
        <v>156115.16</v>
      </c>
      <c r="U274" s="10" cm="1">
        <f t="array" ref="U274">getParm(Tarifart,"StoSatz")*(Dauer-C274)*Beitrag*Zahlweise*(C274&lt;BZDauer)</f>
        <v>0</v>
      </c>
      <c r="V274" s="10">
        <f t="shared" si="57"/>
        <v>152437.28</v>
      </c>
    </row>
    <row r="275" spans="1:22" x14ac:dyDescent="0.45">
      <c r="A275" s="15">
        <f t="shared" si="58"/>
        <v>44621</v>
      </c>
      <c r="B275">
        <f t="shared" si="48"/>
        <v>266</v>
      </c>
      <c r="C275">
        <f t="shared" si="53"/>
        <v>22</v>
      </c>
      <c r="D275">
        <f t="shared" si="49"/>
        <v>2</v>
      </c>
      <c r="E275">
        <f t="shared" si="50"/>
        <v>1</v>
      </c>
      <c r="F275" s="10">
        <f t="shared" si="51"/>
        <v>0</v>
      </c>
      <c r="G275" s="10" cm="1">
        <f t="array" ref="G275">ROUND(getParm(Tarifart,"alpha")/(2*Zahlweise)*BeiSum*(C275&lt;2)*E275,2)</f>
        <v>0</v>
      </c>
      <c r="H275" s="10" cm="1">
        <f t="array" ref="H275">ROUND(F275*getParm(Tarifart,"beta")*E275,2)</f>
        <v>0</v>
      </c>
      <c r="I275" s="10" cm="1">
        <f t="array" ref="I275">ROUND(F275*get_Üb(YEAR(A275),$I$8)*E275,2)</f>
        <v>0</v>
      </c>
      <c r="J275" s="10">
        <f t="shared" si="54"/>
        <v>0</v>
      </c>
      <c r="K275" s="10">
        <f t="shared" si="55"/>
        <v>0</v>
      </c>
      <c r="L275" s="10" cm="1">
        <f t="array" ref="L275">ROUND(1/12*MAX(MTSum-R275-K275,MRSum)*Act_qx(x+C275,Geschlecht,getParm(Tarifart,"Tafel"),YEAR(GebDat),x+Dauer,1),2)</f>
        <v>2.76</v>
      </c>
      <c r="M275" s="10" cm="1">
        <f t="array" ref="M275">ROUND(L275*get_Üb(YEAR(A275),$M$8),2)</f>
        <v>0.14000000000000001</v>
      </c>
      <c r="N275" s="10" cm="1">
        <f t="array" ref="N275">ROUND(R275*getParm(Tarifart,IF(C275&lt;BZDauer,"gamma1","gamma2")),2)</f>
        <v>81.42</v>
      </c>
      <c r="O275" s="10" cm="1">
        <f t="array" ref="O275">ROUND(R275*get_Üb(YEAR(A275),$O$8),2)</f>
        <v>13.57</v>
      </c>
      <c r="P275" s="19">
        <f t="shared" si="56"/>
        <v>9.7594899178999999</v>
      </c>
      <c r="Q275" s="19" cm="1">
        <f t="array" ref="Q275">ROUND(P275+1/getKurs(EDATE(A275,-1))*(K275-L275-N275-getParm(Tarifart,"StK")+M275+O275),10)*(C275&lt;Dauer)</f>
        <v>9.7549141949999996</v>
      </c>
      <c r="R275" s="10" cm="1">
        <f t="array" ref="R275">ROUND(P275*getKurs($A275),2)</f>
        <v>135704.24</v>
      </c>
      <c r="S275" s="10" cm="1">
        <f t="array" ref="S275">ROUND(Q275*getKurs($A275),2)</f>
        <v>135640.62</v>
      </c>
      <c r="T275" s="10">
        <f t="shared" si="52"/>
        <v>139304.24</v>
      </c>
      <c r="U275" s="10" cm="1">
        <f t="array" ref="U275">getParm(Tarifart,"StoSatz")*(Dauer-C275)*Beitrag*Zahlweise*(C275&lt;BZDauer)</f>
        <v>0</v>
      </c>
      <c r="V275" s="10">
        <f t="shared" si="57"/>
        <v>135640.62</v>
      </c>
    </row>
    <row r="276" spans="1:22" x14ac:dyDescent="0.45">
      <c r="A276" s="15">
        <f t="shared" si="58"/>
        <v>44652</v>
      </c>
      <c r="B276">
        <f t="shared" si="48"/>
        <v>267</v>
      </c>
      <c r="C276">
        <f t="shared" si="53"/>
        <v>22</v>
      </c>
      <c r="D276">
        <f t="shared" si="49"/>
        <v>3</v>
      </c>
      <c r="E276">
        <f t="shared" si="50"/>
        <v>1</v>
      </c>
      <c r="F276" s="10">
        <f t="shared" si="51"/>
        <v>0</v>
      </c>
      <c r="G276" s="10" cm="1">
        <f t="array" ref="G276">ROUND(getParm(Tarifart,"alpha")/(2*Zahlweise)*BeiSum*(C276&lt;2)*E276,2)</f>
        <v>0</v>
      </c>
      <c r="H276" s="10" cm="1">
        <f t="array" ref="H276">ROUND(F276*getParm(Tarifart,"beta")*E276,2)</f>
        <v>0</v>
      </c>
      <c r="I276" s="10" cm="1">
        <f t="array" ref="I276">ROUND(F276*get_Üb(YEAR(A276),$I$8)*E276,2)</f>
        <v>0</v>
      </c>
      <c r="J276" s="10">
        <f t="shared" si="54"/>
        <v>0</v>
      </c>
      <c r="K276" s="10">
        <f t="shared" si="55"/>
        <v>0</v>
      </c>
      <c r="L276" s="10" cm="1">
        <f t="array" ref="L276">ROUND(1/12*MAX(MTSum-R276-K276,MRSum)*Act_qx(x+C276,Geschlecht,getParm(Tarifart,"Tafel"),YEAR(GebDat),x+Dauer,1),2)</f>
        <v>2.76</v>
      </c>
      <c r="M276" s="10" cm="1">
        <f t="array" ref="M276">ROUND(L276*get_Üb(YEAR(A276),$M$8),2)</f>
        <v>0.14000000000000001</v>
      </c>
      <c r="N276" s="10" cm="1">
        <f t="array" ref="N276">ROUND(R276*getParm(Tarifart,IF(C276&lt;BZDauer,"gamma1","gamma2")),2)</f>
        <v>84.55</v>
      </c>
      <c r="O276" s="10" cm="1">
        <f t="array" ref="O276">ROUND(R276*get_Üb(YEAR(A276),$O$8),2)</f>
        <v>14.09</v>
      </c>
      <c r="P276" s="19">
        <f t="shared" si="56"/>
        <v>9.7549141949999996</v>
      </c>
      <c r="Q276" s="19" cm="1">
        <f t="array" ref="Q276">ROUND(P276+1/getKurs(EDATE(A276,-1))*(K276-L276-N276-getParm(Tarifart,"StK")+M276+O276),10)*(C276&lt;Dauer)</f>
        <v>9.7495865575000007</v>
      </c>
      <c r="R276" s="10" cm="1">
        <f t="array" ref="R276">ROUND(P276*getKurs($A276),2)</f>
        <v>140924.17000000001</v>
      </c>
      <c r="S276" s="10" cm="1">
        <f t="array" ref="S276">ROUND(Q276*getKurs($A276),2)</f>
        <v>140847.21</v>
      </c>
      <c r="T276" s="10">
        <f t="shared" si="52"/>
        <v>144524.17000000001</v>
      </c>
      <c r="U276" s="10" cm="1">
        <f t="array" ref="U276">getParm(Tarifart,"StoSatz")*(Dauer-C276)*Beitrag*Zahlweise*(C276&lt;BZDauer)</f>
        <v>0</v>
      </c>
      <c r="V276" s="10">
        <f t="shared" si="57"/>
        <v>140847.21</v>
      </c>
    </row>
    <row r="277" spans="1:22" x14ac:dyDescent="0.45">
      <c r="A277" s="15">
        <f t="shared" si="58"/>
        <v>44682</v>
      </c>
      <c r="B277">
        <f t="shared" si="48"/>
        <v>268</v>
      </c>
      <c r="C277">
        <f t="shared" si="53"/>
        <v>22</v>
      </c>
      <c r="D277">
        <f t="shared" si="49"/>
        <v>4</v>
      </c>
      <c r="E277">
        <f t="shared" si="50"/>
        <v>1</v>
      </c>
      <c r="F277" s="10">
        <f t="shared" si="51"/>
        <v>0</v>
      </c>
      <c r="G277" s="10" cm="1">
        <f t="array" ref="G277">ROUND(getParm(Tarifart,"alpha")/(2*Zahlweise)*BeiSum*(C277&lt;2)*E277,2)</f>
        <v>0</v>
      </c>
      <c r="H277" s="10" cm="1">
        <f t="array" ref="H277">ROUND(F277*getParm(Tarifart,"beta")*E277,2)</f>
        <v>0</v>
      </c>
      <c r="I277" s="10" cm="1">
        <f t="array" ref="I277">ROUND(F277*get_Üb(YEAR(A277),$I$8)*E277,2)</f>
        <v>0</v>
      </c>
      <c r="J277" s="10">
        <f t="shared" si="54"/>
        <v>0</v>
      </c>
      <c r="K277" s="10">
        <f t="shared" si="55"/>
        <v>0</v>
      </c>
      <c r="L277" s="10" cm="1">
        <f t="array" ref="L277">ROUND(1/12*MAX(MTSum-R277-K277,MRSum)*Act_qx(x+C277,Geschlecht,getParm(Tarifart,"Tafel"),YEAR(GebDat),x+Dauer,1),2)</f>
        <v>2.76</v>
      </c>
      <c r="M277" s="10" cm="1">
        <f t="array" ref="M277">ROUND(L277*get_Üb(YEAR(A277),$M$8),2)</f>
        <v>0.14000000000000001</v>
      </c>
      <c r="N277" s="10" cm="1">
        <f t="array" ref="N277">ROUND(R277*getParm(Tarifart,IF(C277&lt;BZDauer,"gamma1","gamma2")),2)</f>
        <v>81.540000000000006</v>
      </c>
      <c r="O277" s="10" cm="1">
        <f t="array" ref="O277">ROUND(R277*get_Üb(YEAR(A277),$O$8),2)</f>
        <v>13.59</v>
      </c>
      <c r="P277" s="19">
        <f t="shared" si="56"/>
        <v>9.7495865575000007</v>
      </c>
      <c r="Q277" s="19" cm="1">
        <f t="array" ref="Q277">ROUND(P277+1/getKurs(EDATE(A277,-1))*(K277-L277-N277-getParm(Tarifart,"StK")+M277+O277),10)*(C277&lt;Dauer)</f>
        <v>9.7446324094999994</v>
      </c>
      <c r="R277" s="10" cm="1">
        <f t="array" ref="R277">ROUND(P277*getKurs($A277),2)</f>
        <v>135900.17000000001</v>
      </c>
      <c r="S277" s="10" cm="1">
        <f t="array" ref="S277">ROUND(Q277*getKurs($A277),2)</f>
        <v>135831.10999999999</v>
      </c>
      <c r="T277" s="10">
        <f t="shared" si="52"/>
        <v>139500.17000000001</v>
      </c>
      <c r="U277" s="10" cm="1">
        <f t="array" ref="U277">getParm(Tarifart,"StoSatz")*(Dauer-C277)*Beitrag*Zahlweise*(C277&lt;BZDauer)</f>
        <v>0</v>
      </c>
      <c r="V277" s="10">
        <f t="shared" si="57"/>
        <v>135831.10999999999</v>
      </c>
    </row>
    <row r="278" spans="1:22" x14ac:dyDescent="0.45">
      <c r="A278" s="15">
        <f t="shared" si="58"/>
        <v>44713</v>
      </c>
      <c r="B278">
        <f t="shared" si="48"/>
        <v>269</v>
      </c>
      <c r="C278">
        <f t="shared" si="53"/>
        <v>22</v>
      </c>
      <c r="D278">
        <f t="shared" si="49"/>
        <v>5</v>
      </c>
      <c r="E278">
        <f t="shared" si="50"/>
        <v>1</v>
      </c>
      <c r="F278" s="10">
        <f t="shared" si="51"/>
        <v>0</v>
      </c>
      <c r="G278" s="10" cm="1">
        <f t="array" ref="G278">ROUND(getParm(Tarifart,"alpha")/(2*Zahlweise)*BeiSum*(C278&lt;2)*E278,2)</f>
        <v>0</v>
      </c>
      <c r="H278" s="10" cm="1">
        <f t="array" ref="H278">ROUND(F278*getParm(Tarifart,"beta")*E278,2)</f>
        <v>0</v>
      </c>
      <c r="I278" s="10" cm="1">
        <f t="array" ref="I278">ROUND(F278*get_Üb(YEAR(A278),$I$8)*E278,2)</f>
        <v>0</v>
      </c>
      <c r="J278" s="10">
        <f t="shared" si="54"/>
        <v>0</v>
      </c>
      <c r="K278" s="10">
        <f t="shared" si="55"/>
        <v>0</v>
      </c>
      <c r="L278" s="10" cm="1">
        <f t="array" ref="L278">ROUND(1/12*MAX(MTSum-R278-K278,MRSum)*Act_qx(x+C278,Geschlecht,getParm(Tarifart,"Tafel"),YEAR(GebDat),x+Dauer,1),2)</f>
        <v>2.76</v>
      </c>
      <c r="M278" s="10" cm="1">
        <f t="array" ref="M278">ROUND(L278*get_Üb(YEAR(A278),$M$8),2)</f>
        <v>0.14000000000000001</v>
      </c>
      <c r="N278" s="10" cm="1">
        <f t="array" ref="N278">ROUND(R278*getParm(Tarifart,IF(C278&lt;BZDauer,"gamma1","gamma2")),2)</f>
        <v>83.85</v>
      </c>
      <c r="O278" s="10" cm="1">
        <f t="array" ref="O278">ROUND(R278*get_Üb(YEAR(A278),$O$8),2)</f>
        <v>13.97</v>
      </c>
      <c r="P278" s="19">
        <f t="shared" si="56"/>
        <v>9.7446324094999994</v>
      </c>
      <c r="Q278" s="19" cm="1">
        <f t="array" ref="Q278">ROUND(P278+1/getKurs(EDATE(A278,-1))*(K278-L278-N278-getParm(Tarifart,"StK")+M278+O278),10)*(C278&lt;Dauer)</f>
        <v>9.7393594608999994</v>
      </c>
      <c r="R278" s="10" cm="1">
        <f t="array" ref="R278">ROUND(P278*getKurs($A278),2)</f>
        <v>139742.60999999999</v>
      </c>
      <c r="S278" s="10" cm="1">
        <f t="array" ref="S278">ROUND(Q278*getKurs($A278),2)</f>
        <v>139666.99</v>
      </c>
      <c r="T278" s="10">
        <f t="shared" si="52"/>
        <v>143342.60999999999</v>
      </c>
      <c r="U278" s="10" cm="1">
        <f t="array" ref="U278">getParm(Tarifart,"StoSatz")*(Dauer-C278)*Beitrag*Zahlweise*(C278&lt;BZDauer)</f>
        <v>0</v>
      </c>
      <c r="V278" s="10">
        <f t="shared" si="57"/>
        <v>139666.99</v>
      </c>
    </row>
    <row r="279" spans="1:22" x14ac:dyDescent="0.45">
      <c r="A279" s="15">
        <f t="shared" si="58"/>
        <v>44743</v>
      </c>
      <c r="B279">
        <f t="shared" si="48"/>
        <v>270</v>
      </c>
      <c r="C279">
        <f t="shared" si="53"/>
        <v>22</v>
      </c>
      <c r="D279">
        <f t="shared" si="49"/>
        <v>6</v>
      </c>
      <c r="E279">
        <f t="shared" si="50"/>
        <v>1</v>
      </c>
      <c r="F279" s="10">
        <f t="shared" si="51"/>
        <v>0</v>
      </c>
      <c r="G279" s="10" cm="1">
        <f t="array" ref="G279">ROUND(getParm(Tarifart,"alpha")/(2*Zahlweise)*BeiSum*(C279&lt;2)*E279,2)</f>
        <v>0</v>
      </c>
      <c r="H279" s="10" cm="1">
        <f t="array" ref="H279">ROUND(F279*getParm(Tarifart,"beta")*E279,2)</f>
        <v>0</v>
      </c>
      <c r="I279" s="10" cm="1">
        <f t="array" ref="I279">ROUND(F279*get_Üb(YEAR(A279),$I$8)*E279,2)</f>
        <v>0</v>
      </c>
      <c r="J279" s="10">
        <f t="shared" si="54"/>
        <v>0</v>
      </c>
      <c r="K279" s="10">
        <f t="shared" si="55"/>
        <v>0</v>
      </c>
      <c r="L279" s="10" cm="1">
        <f t="array" ref="L279">ROUND(1/12*MAX(MTSum-R279-K279,MRSum)*Act_qx(x+C279,Geschlecht,getParm(Tarifart,"Tafel"),YEAR(GebDat),x+Dauer,1),2)</f>
        <v>2.76</v>
      </c>
      <c r="M279" s="10" cm="1">
        <f t="array" ref="M279">ROUND(L279*get_Üb(YEAR(A279),$M$8),2)</f>
        <v>0.14000000000000001</v>
      </c>
      <c r="N279" s="10" cm="1">
        <f t="array" ref="N279">ROUND(R279*getParm(Tarifart,IF(C279&lt;BZDauer,"gamma1","gamma2")),2)</f>
        <v>74.87</v>
      </c>
      <c r="O279" s="10" cm="1">
        <f t="array" ref="O279">ROUND(R279*get_Üb(YEAR(A279),$O$8),2)</f>
        <v>12.48</v>
      </c>
      <c r="P279" s="19">
        <f t="shared" si="56"/>
        <v>9.7393594608999994</v>
      </c>
      <c r="Q279" s="19" cm="1">
        <f t="array" ref="Q279">ROUND(P279+1/getKurs(EDATE(A279,-1))*(K279-L279-N279-getParm(Tarifart,"StK")+M279+O279),10)*(C279&lt;Dauer)</f>
        <v>9.7347564040000005</v>
      </c>
      <c r="R279" s="10" cm="1">
        <f t="array" ref="R279">ROUND(P279*getKurs($A279),2)</f>
        <v>124790.7</v>
      </c>
      <c r="S279" s="10" cm="1">
        <f t="array" ref="S279">ROUND(Q279*getKurs($A279),2)</f>
        <v>124731.73</v>
      </c>
      <c r="T279" s="10">
        <f t="shared" si="52"/>
        <v>128390.7</v>
      </c>
      <c r="U279" s="10" cm="1">
        <f t="array" ref="U279">getParm(Tarifart,"StoSatz")*(Dauer-C279)*Beitrag*Zahlweise*(C279&lt;BZDauer)</f>
        <v>0</v>
      </c>
      <c r="V279" s="10">
        <f t="shared" si="57"/>
        <v>124731.73</v>
      </c>
    </row>
    <row r="280" spans="1:22" x14ac:dyDescent="0.45">
      <c r="A280" s="15">
        <f t="shared" si="58"/>
        <v>44774</v>
      </c>
      <c r="B280">
        <f t="shared" si="48"/>
        <v>271</v>
      </c>
      <c r="C280">
        <f t="shared" si="53"/>
        <v>22</v>
      </c>
      <c r="D280">
        <f t="shared" si="49"/>
        <v>7</v>
      </c>
      <c r="E280">
        <f t="shared" si="50"/>
        <v>1</v>
      </c>
      <c r="F280" s="10">
        <f t="shared" si="51"/>
        <v>0</v>
      </c>
      <c r="G280" s="10" cm="1">
        <f t="array" ref="G280">ROUND(getParm(Tarifart,"alpha")/(2*Zahlweise)*BeiSum*(C280&lt;2)*E280,2)</f>
        <v>0</v>
      </c>
      <c r="H280" s="10" cm="1">
        <f t="array" ref="H280">ROUND(F280*getParm(Tarifart,"beta")*E280,2)</f>
        <v>0</v>
      </c>
      <c r="I280" s="10" cm="1">
        <f t="array" ref="I280">ROUND(F280*get_Üb(YEAR(A280),$I$8)*E280,2)</f>
        <v>0</v>
      </c>
      <c r="J280" s="10">
        <f t="shared" si="54"/>
        <v>0</v>
      </c>
      <c r="K280" s="10">
        <f t="shared" si="55"/>
        <v>0</v>
      </c>
      <c r="L280" s="10" cm="1">
        <f t="array" ref="L280">ROUND(1/12*MAX(MTSum-R280-K280,MRSum)*Act_qx(x+C280,Geschlecht,getParm(Tarifart,"Tafel"),YEAR(GebDat),x+Dauer,1),2)</f>
        <v>2.76</v>
      </c>
      <c r="M280" s="10" cm="1">
        <f t="array" ref="M280">ROUND(L280*get_Üb(YEAR(A280),$M$8),2)</f>
        <v>0.14000000000000001</v>
      </c>
      <c r="N280" s="10" cm="1">
        <f t="array" ref="N280">ROUND(R280*getParm(Tarifart,IF(C280&lt;BZDauer,"gamma1","gamma2")),2)</f>
        <v>78.73</v>
      </c>
      <c r="O280" s="10" cm="1">
        <f t="array" ref="O280">ROUND(R280*get_Üb(YEAR(A280),$O$8),2)</f>
        <v>13.12</v>
      </c>
      <c r="P280" s="19">
        <f t="shared" si="56"/>
        <v>9.7347564040000005</v>
      </c>
      <c r="Q280" s="19" cm="1">
        <f t="array" ref="Q280">ROUND(P280+1/getKurs(EDATE(A280,-1))*(K280-L280-N280-getParm(Tarifart,"StK")+M280+O280),10)*(C280&lt;Dauer)</f>
        <v>9.7293533104000005</v>
      </c>
      <c r="R280" s="10" cm="1">
        <f t="array" ref="R280">ROUND(P280*getKurs($A280),2)</f>
        <v>131220.91</v>
      </c>
      <c r="S280" s="10" cm="1">
        <f t="array" ref="S280">ROUND(Q280*getKurs($A280),2)</f>
        <v>131148.07999999999</v>
      </c>
      <c r="T280" s="10">
        <f t="shared" si="52"/>
        <v>134820.91</v>
      </c>
      <c r="U280" s="10" cm="1">
        <f t="array" ref="U280">getParm(Tarifart,"StoSatz")*(Dauer-C280)*Beitrag*Zahlweise*(C280&lt;BZDauer)</f>
        <v>0</v>
      </c>
      <c r="V280" s="10">
        <f t="shared" si="57"/>
        <v>131148.07999999999</v>
      </c>
    </row>
    <row r="281" spans="1:22" x14ac:dyDescent="0.45">
      <c r="A281" s="15">
        <f t="shared" si="58"/>
        <v>44805</v>
      </c>
      <c r="B281">
        <f t="shared" si="48"/>
        <v>272</v>
      </c>
      <c r="C281">
        <f t="shared" si="53"/>
        <v>22</v>
      </c>
      <c r="D281">
        <f t="shared" si="49"/>
        <v>8</v>
      </c>
      <c r="E281">
        <f t="shared" si="50"/>
        <v>1</v>
      </c>
      <c r="F281" s="10">
        <f t="shared" si="51"/>
        <v>0</v>
      </c>
      <c r="G281" s="10" cm="1">
        <f t="array" ref="G281">ROUND(getParm(Tarifart,"alpha")/(2*Zahlweise)*BeiSum*(C281&lt;2)*E281,2)</f>
        <v>0</v>
      </c>
      <c r="H281" s="10" cm="1">
        <f t="array" ref="H281">ROUND(F281*getParm(Tarifart,"beta")*E281,2)</f>
        <v>0</v>
      </c>
      <c r="I281" s="10" cm="1">
        <f t="array" ref="I281">ROUND(F281*get_Üb(YEAR(A281),$I$8)*E281,2)</f>
        <v>0</v>
      </c>
      <c r="J281" s="10">
        <f t="shared" si="54"/>
        <v>0</v>
      </c>
      <c r="K281" s="10">
        <f t="shared" si="55"/>
        <v>0</v>
      </c>
      <c r="L281" s="10" cm="1">
        <f t="array" ref="L281">ROUND(1/12*MAX(MTSum-R281-K281,MRSum)*Act_qx(x+C281,Geschlecht,getParm(Tarifart,"Tafel"),YEAR(GebDat),x+Dauer,1),2)</f>
        <v>2.76</v>
      </c>
      <c r="M281" s="10" cm="1">
        <f t="array" ref="M281">ROUND(L281*get_Üb(YEAR(A281),$M$8),2)</f>
        <v>0.14000000000000001</v>
      </c>
      <c r="N281" s="10" cm="1">
        <f t="array" ref="N281">ROUND(R281*getParm(Tarifart,IF(C281&lt;BZDauer,"gamma1","gamma2")),2)</f>
        <v>73.73</v>
      </c>
      <c r="O281" s="10" cm="1">
        <f t="array" ref="O281">ROUND(R281*get_Üb(YEAR(A281),$O$8),2)</f>
        <v>12.29</v>
      </c>
      <c r="P281" s="19">
        <f t="shared" si="56"/>
        <v>9.7293533104000005</v>
      </c>
      <c r="Q281" s="19" cm="1">
        <f t="array" ref="Q281">ROUND(P281+1/getKurs(EDATE(A281,-1))*(K281-L281-N281-getParm(Tarifart,"StK")+M281+O281),10)*(C281&lt;Dauer)</f>
        <v>9.7245267684000005</v>
      </c>
      <c r="R281" s="10" cm="1">
        <f t="array" ref="R281">ROUND(P281*getKurs($A281),2)</f>
        <v>122883.97</v>
      </c>
      <c r="S281" s="10" cm="1">
        <f t="array" ref="S281">ROUND(Q281*getKurs($A281),2)</f>
        <v>122823.01</v>
      </c>
      <c r="T281" s="10">
        <f t="shared" si="52"/>
        <v>126483.97</v>
      </c>
      <c r="U281" s="10" cm="1">
        <f t="array" ref="U281">getParm(Tarifart,"StoSatz")*(Dauer-C281)*Beitrag*Zahlweise*(C281&lt;BZDauer)</f>
        <v>0</v>
      </c>
      <c r="V281" s="10">
        <f t="shared" si="57"/>
        <v>122823.01</v>
      </c>
    </row>
    <row r="282" spans="1:22" x14ac:dyDescent="0.45">
      <c r="A282" s="15">
        <f t="shared" si="58"/>
        <v>44835</v>
      </c>
      <c r="B282">
        <f t="shared" si="48"/>
        <v>273</v>
      </c>
      <c r="C282">
        <f t="shared" si="53"/>
        <v>22</v>
      </c>
      <c r="D282">
        <f t="shared" si="49"/>
        <v>9</v>
      </c>
      <c r="E282">
        <f t="shared" si="50"/>
        <v>1</v>
      </c>
      <c r="F282" s="10">
        <f t="shared" si="51"/>
        <v>0</v>
      </c>
      <c r="G282" s="10" cm="1">
        <f t="array" ref="G282">ROUND(getParm(Tarifart,"alpha")/(2*Zahlweise)*BeiSum*(C282&lt;2)*E282,2)</f>
        <v>0</v>
      </c>
      <c r="H282" s="10" cm="1">
        <f t="array" ref="H282">ROUND(F282*getParm(Tarifart,"beta")*E282,2)</f>
        <v>0</v>
      </c>
      <c r="I282" s="10" cm="1">
        <f t="array" ref="I282">ROUND(F282*get_Üb(YEAR(A282),$I$8)*E282,2)</f>
        <v>0</v>
      </c>
      <c r="J282" s="10">
        <f t="shared" si="54"/>
        <v>0</v>
      </c>
      <c r="K282" s="10">
        <f t="shared" si="55"/>
        <v>0</v>
      </c>
      <c r="L282" s="10" cm="1">
        <f t="array" ref="L282">ROUND(1/12*MAX(MTSum-R282-K282,MRSum)*Act_qx(x+C282,Geschlecht,getParm(Tarifart,"Tafel"),YEAR(GebDat),x+Dauer,1),2)</f>
        <v>2.76</v>
      </c>
      <c r="M282" s="10" cm="1">
        <f t="array" ref="M282">ROUND(L282*get_Üb(YEAR(A282),$M$8),2)</f>
        <v>0.14000000000000001</v>
      </c>
      <c r="N282" s="10" cm="1">
        <f t="array" ref="N282">ROUND(R282*getParm(Tarifart,IF(C282&lt;BZDauer,"gamma1","gamma2")),2)</f>
        <v>71.239999999999995</v>
      </c>
      <c r="O282" s="10" cm="1">
        <f t="array" ref="O282">ROUND(R282*get_Üb(YEAR(A282),$O$8),2)</f>
        <v>11.87</v>
      </c>
      <c r="P282" s="19">
        <f t="shared" si="56"/>
        <v>9.7245267684000005</v>
      </c>
      <c r="Q282" s="19" cm="1">
        <f t="array" ref="Q282">ROUND(P282+1/getKurs(EDATE(A282,-1))*(K282-L282-N282-getParm(Tarifart,"StK")+M282+O282),10)*(C282&lt;Dauer)</f>
        <v>9.7195395275000003</v>
      </c>
      <c r="R282" s="10" cm="1">
        <f t="array" ref="R282">ROUND(P282*getKurs($A282),2)</f>
        <v>118731.42</v>
      </c>
      <c r="S282" s="10" cm="1">
        <f t="array" ref="S282">ROUND(Q282*getKurs($A282),2)</f>
        <v>118670.52</v>
      </c>
      <c r="T282" s="10">
        <f t="shared" si="52"/>
        <v>122331.42</v>
      </c>
      <c r="U282" s="10" cm="1">
        <f t="array" ref="U282">getParm(Tarifart,"StoSatz")*(Dauer-C282)*Beitrag*Zahlweise*(C282&lt;BZDauer)</f>
        <v>0</v>
      </c>
      <c r="V282" s="10">
        <f t="shared" si="57"/>
        <v>118670.52</v>
      </c>
    </row>
    <row r="283" spans="1:22" x14ac:dyDescent="0.45">
      <c r="A283" s="15">
        <f t="shared" si="58"/>
        <v>44866</v>
      </c>
      <c r="B283">
        <f t="shared" si="48"/>
        <v>274</v>
      </c>
      <c r="C283">
        <f t="shared" si="53"/>
        <v>22</v>
      </c>
      <c r="D283">
        <f t="shared" si="49"/>
        <v>10</v>
      </c>
      <c r="E283">
        <f t="shared" si="50"/>
        <v>1</v>
      </c>
      <c r="F283" s="10">
        <f t="shared" si="51"/>
        <v>0</v>
      </c>
      <c r="G283" s="10" cm="1">
        <f t="array" ref="G283">ROUND(getParm(Tarifart,"alpha")/(2*Zahlweise)*BeiSum*(C283&lt;2)*E283,2)</f>
        <v>0</v>
      </c>
      <c r="H283" s="10" cm="1">
        <f t="array" ref="H283">ROUND(F283*getParm(Tarifart,"beta")*E283,2)</f>
        <v>0</v>
      </c>
      <c r="I283" s="10" cm="1">
        <f t="array" ref="I283">ROUND(F283*get_Üb(YEAR(A283),$I$8)*E283,2)</f>
        <v>0</v>
      </c>
      <c r="J283" s="10">
        <f t="shared" si="54"/>
        <v>0</v>
      </c>
      <c r="K283" s="10">
        <f t="shared" si="55"/>
        <v>0</v>
      </c>
      <c r="L283" s="10" cm="1">
        <f t="array" ref="L283">ROUND(1/12*MAX(MTSum-R283-K283,MRSum)*Act_qx(x+C283,Geschlecht,getParm(Tarifart,"Tafel"),YEAR(GebDat),x+Dauer,1),2)</f>
        <v>2.76</v>
      </c>
      <c r="M283" s="10" cm="1">
        <f t="array" ref="M283">ROUND(L283*get_Üb(YEAR(A283),$M$8),2)</f>
        <v>0.14000000000000001</v>
      </c>
      <c r="N283" s="10" cm="1">
        <f t="array" ref="N283">ROUND(R283*getParm(Tarifart,IF(C283&lt;BZDauer,"gamma1","gamma2")),2)</f>
        <v>77.790000000000006</v>
      </c>
      <c r="O283" s="10" cm="1">
        <f t="array" ref="O283">ROUND(R283*get_Üb(YEAR(A283),$O$8),2)</f>
        <v>12.96</v>
      </c>
      <c r="P283" s="19">
        <f t="shared" si="56"/>
        <v>9.7195395275000003</v>
      </c>
      <c r="Q283" s="19" cm="1">
        <f t="array" ref="Q283">ROUND(P283+1/getKurs(EDATE(A283,-1))*(K283-L283-N283-getParm(Tarifart,"StK")+M283+O283),10)*(C283&lt;Dauer)</f>
        <v>9.7139332281000002</v>
      </c>
      <c r="R283" s="10" cm="1">
        <f t="array" ref="R283">ROUND(P283*getKurs($A283),2)</f>
        <v>129646.41</v>
      </c>
      <c r="S283" s="10" cm="1">
        <f t="array" ref="S283">ROUND(Q283*getKurs($A283),2)</f>
        <v>129571.63</v>
      </c>
      <c r="T283" s="10">
        <f t="shared" si="52"/>
        <v>133246.41</v>
      </c>
      <c r="U283" s="10" cm="1">
        <f t="array" ref="U283">getParm(Tarifart,"StoSatz")*(Dauer-C283)*Beitrag*Zahlweise*(C283&lt;BZDauer)</f>
        <v>0</v>
      </c>
      <c r="V283" s="10">
        <f t="shared" si="57"/>
        <v>129571.63</v>
      </c>
    </row>
    <row r="284" spans="1:22" x14ac:dyDescent="0.45">
      <c r="A284" s="15">
        <f t="shared" si="58"/>
        <v>44896</v>
      </c>
      <c r="B284">
        <f t="shared" si="48"/>
        <v>275</v>
      </c>
      <c r="C284">
        <f t="shared" si="53"/>
        <v>22</v>
      </c>
      <c r="D284">
        <f t="shared" si="49"/>
        <v>11</v>
      </c>
      <c r="E284">
        <f t="shared" si="50"/>
        <v>1</v>
      </c>
      <c r="F284" s="10">
        <f t="shared" si="51"/>
        <v>0</v>
      </c>
      <c r="G284" s="10" cm="1">
        <f t="array" ref="G284">ROUND(getParm(Tarifart,"alpha")/(2*Zahlweise)*BeiSum*(C284&lt;2)*E284,2)</f>
        <v>0</v>
      </c>
      <c r="H284" s="10" cm="1">
        <f t="array" ref="H284">ROUND(F284*getParm(Tarifart,"beta")*E284,2)</f>
        <v>0</v>
      </c>
      <c r="I284" s="10" cm="1">
        <f t="array" ref="I284">ROUND(F284*get_Üb(YEAR(A284),$I$8)*E284,2)</f>
        <v>0</v>
      </c>
      <c r="J284" s="10">
        <f t="shared" si="54"/>
        <v>0</v>
      </c>
      <c r="K284" s="10">
        <f t="shared" si="55"/>
        <v>0</v>
      </c>
      <c r="L284" s="10" cm="1">
        <f t="array" ref="L284">ROUND(1/12*MAX(MTSum-R284-K284,MRSum)*Act_qx(x+C284,Geschlecht,getParm(Tarifart,"Tafel"),YEAR(GebDat),x+Dauer,1),2)</f>
        <v>2.76</v>
      </c>
      <c r="M284" s="10" cm="1">
        <f t="array" ref="M284">ROUND(L284*get_Üb(YEAR(A284),$M$8),2)</f>
        <v>0.14000000000000001</v>
      </c>
      <c r="N284" s="10" cm="1">
        <f t="array" ref="N284">ROUND(R284*getParm(Tarifart,IF(C284&lt;BZDauer,"gamma1","gamma2")),2)</f>
        <v>84.45</v>
      </c>
      <c r="O284" s="10" cm="1">
        <f t="array" ref="O284">ROUND(R284*get_Üb(YEAR(A284),$O$8),2)</f>
        <v>14.08</v>
      </c>
      <c r="P284" s="19">
        <f t="shared" si="56"/>
        <v>9.7139332281000002</v>
      </c>
      <c r="Q284" s="19" cm="1">
        <f t="array" ref="Q284">ROUND(P284+1/getKurs(EDATE(A284,-1))*(K284-L284-N284-getParm(Tarifart,"StK")+M284+O284),10)*(C284&lt;Dauer)</f>
        <v>9.7083862274000001</v>
      </c>
      <c r="R284" s="10" cm="1">
        <f t="array" ref="R284">ROUND(P284*getKurs($A284),2)</f>
        <v>140757.81</v>
      </c>
      <c r="S284" s="10" cm="1">
        <f t="array" ref="S284">ROUND(Q284*getKurs($A284),2)</f>
        <v>140677.43</v>
      </c>
      <c r="T284" s="10">
        <f t="shared" si="52"/>
        <v>144357.81</v>
      </c>
      <c r="U284" s="10" cm="1">
        <f t="array" ref="U284">getParm(Tarifart,"StoSatz")*(Dauer-C284)*Beitrag*Zahlweise*(C284&lt;BZDauer)</f>
        <v>0</v>
      </c>
      <c r="V284" s="10">
        <f t="shared" si="57"/>
        <v>140677.43</v>
      </c>
    </row>
    <row r="285" spans="1:22" x14ac:dyDescent="0.45">
      <c r="A285" s="15">
        <f t="shared" si="58"/>
        <v>44927</v>
      </c>
      <c r="B285">
        <f t="shared" si="48"/>
        <v>276</v>
      </c>
      <c r="C285">
        <f t="shared" si="53"/>
        <v>23</v>
      </c>
      <c r="D285">
        <f t="shared" si="49"/>
        <v>0</v>
      </c>
      <c r="E285">
        <f t="shared" si="50"/>
        <v>1</v>
      </c>
      <c r="F285" s="10">
        <f t="shared" si="51"/>
        <v>0</v>
      </c>
      <c r="G285" s="10" cm="1">
        <f t="array" ref="G285">ROUND(getParm(Tarifart,"alpha")/(2*Zahlweise)*BeiSum*(C285&lt;2)*E285,2)</f>
        <v>0</v>
      </c>
      <c r="H285" s="10" cm="1">
        <f t="array" ref="H285">ROUND(F285*getParm(Tarifart,"beta")*E285,2)</f>
        <v>0</v>
      </c>
      <c r="I285" s="10" cm="1">
        <f t="array" ref="I285">ROUND(F285*get_Üb(YEAR(A285),$I$8)*E285,2)</f>
        <v>0</v>
      </c>
      <c r="J285" s="10">
        <f t="shared" si="54"/>
        <v>0</v>
      </c>
      <c r="K285" s="10">
        <f t="shared" si="55"/>
        <v>0</v>
      </c>
      <c r="L285" s="10" cm="1">
        <f t="array" ref="L285">ROUND(1/12*MAX(MTSum-R285-K285,MRSum)*Act_qx(x+C285,Geschlecht,getParm(Tarifart,"Tafel"),YEAR(GebDat),x+Dauer,1),2)</f>
        <v>3.06</v>
      </c>
      <c r="M285" s="10" cm="1">
        <f t="array" ref="M285">ROUND(L285*get_Üb(YEAR(A285),$M$8),2)</f>
        <v>0.15</v>
      </c>
      <c r="N285" s="10" cm="1">
        <f t="array" ref="N285">ROUND(R285*getParm(Tarifart,IF(C285&lt;BZDauer,"gamma1","gamma2")),2)</f>
        <v>81.95</v>
      </c>
      <c r="O285" s="10" cm="1">
        <f t="array" ref="O285">ROUND(R285*get_Üb(YEAR(A285),$O$8),2)</f>
        <v>13.66</v>
      </c>
      <c r="P285" s="19">
        <f t="shared" si="56"/>
        <v>9.7083862274000001</v>
      </c>
      <c r="Q285" s="19" cm="1">
        <f t="array" ref="Q285">ROUND(P285+1/getKurs(EDATE(A285,-1))*(K285-L285-N285-getParm(Tarifart,"StK")+M285+O285),10)*(C285&lt;Dauer)</f>
        <v>9.7034035838000001</v>
      </c>
      <c r="R285" s="10" cm="1">
        <f t="array" ref="R285">ROUND(P285*getKurs($A285),2)</f>
        <v>136589.81</v>
      </c>
      <c r="S285" s="10" cm="1">
        <f t="array" ref="S285">ROUND(Q285*getKurs($A285),2)</f>
        <v>136519.71</v>
      </c>
      <c r="T285" s="10">
        <f t="shared" si="52"/>
        <v>140189.81</v>
      </c>
      <c r="U285" s="10" cm="1">
        <f t="array" ref="U285">getParm(Tarifart,"StoSatz")*(Dauer-C285)*Beitrag*Zahlweise*(C285&lt;BZDauer)</f>
        <v>0</v>
      </c>
      <c r="V285" s="10">
        <f t="shared" si="57"/>
        <v>136519.71</v>
      </c>
    </row>
    <row r="286" spans="1:22" x14ac:dyDescent="0.45">
      <c r="A286" s="15">
        <f t="shared" si="58"/>
        <v>44958</v>
      </c>
      <c r="B286">
        <f t="shared" si="48"/>
        <v>277</v>
      </c>
      <c r="C286">
        <f t="shared" si="53"/>
        <v>23</v>
      </c>
      <c r="D286">
        <f t="shared" si="49"/>
        <v>1</v>
      </c>
      <c r="E286">
        <f t="shared" si="50"/>
        <v>1</v>
      </c>
      <c r="F286" s="10">
        <f t="shared" si="51"/>
        <v>0</v>
      </c>
      <c r="G286" s="10" cm="1">
        <f t="array" ref="G286">ROUND(getParm(Tarifart,"alpha")/(2*Zahlweise)*BeiSum*(C286&lt;2)*E286,2)</f>
        <v>0</v>
      </c>
      <c r="H286" s="10" cm="1">
        <f t="array" ref="H286">ROUND(F286*getParm(Tarifart,"beta")*E286,2)</f>
        <v>0</v>
      </c>
      <c r="I286" s="10" cm="1">
        <f t="array" ref="I286">ROUND(F286*get_Üb(YEAR(A286),$I$8)*E286,2)</f>
        <v>0</v>
      </c>
      <c r="J286" s="10">
        <f t="shared" si="54"/>
        <v>0</v>
      </c>
      <c r="K286" s="10">
        <f t="shared" si="55"/>
        <v>0</v>
      </c>
      <c r="L286" s="10" cm="1">
        <f t="array" ref="L286">ROUND(1/12*MAX(MTSum-R286-K286,MRSum)*Act_qx(x+C286,Geschlecht,getParm(Tarifart,"Tafel"),YEAR(GebDat),x+Dauer,1),2)</f>
        <v>3.06</v>
      </c>
      <c r="M286" s="10" cm="1">
        <f t="array" ref="M286">ROUND(L286*get_Üb(YEAR(A286),$M$8),2)</f>
        <v>0.15</v>
      </c>
      <c r="N286" s="10" cm="1">
        <f t="array" ref="N286">ROUND(R286*getParm(Tarifart,IF(C286&lt;BZDauer,"gamma1","gamma2")),2)</f>
        <v>88.38</v>
      </c>
      <c r="O286" s="10" cm="1">
        <f t="array" ref="O286">ROUND(R286*get_Üb(YEAR(A286),$O$8),2)</f>
        <v>14.73</v>
      </c>
      <c r="P286" s="19">
        <f t="shared" si="56"/>
        <v>9.7034035838000001</v>
      </c>
      <c r="Q286" s="19" cm="1">
        <f t="array" ref="Q286">ROUND(P286+1/getKurs(EDATE(A286,-1))*(K286-L286-N286-getParm(Tarifart,"StK")+M286+O286),10)*(C286&lt;Dauer)</f>
        <v>9.6978908561000008</v>
      </c>
      <c r="R286" s="10" cm="1">
        <f t="array" ref="R286">ROUND(P286*getKurs($A286),2)</f>
        <v>147304.85</v>
      </c>
      <c r="S286" s="10" cm="1">
        <f t="array" ref="S286">ROUND(Q286*getKurs($A286),2)</f>
        <v>147221.16</v>
      </c>
      <c r="T286" s="10">
        <f t="shared" si="52"/>
        <v>150904.85</v>
      </c>
      <c r="U286" s="10" cm="1">
        <f t="array" ref="U286">getParm(Tarifart,"StoSatz")*(Dauer-C286)*Beitrag*Zahlweise*(C286&lt;BZDauer)</f>
        <v>0</v>
      </c>
      <c r="V286" s="10">
        <f t="shared" si="57"/>
        <v>147221.16</v>
      </c>
    </row>
    <row r="287" spans="1:22" x14ac:dyDescent="0.45">
      <c r="A287" s="15">
        <f t="shared" si="58"/>
        <v>44986</v>
      </c>
      <c r="B287">
        <f t="shared" si="48"/>
        <v>278</v>
      </c>
      <c r="C287">
        <f t="shared" si="53"/>
        <v>23</v>
      </c>
      <c r="D287">
        <f t="shared" si="49"/>
        <v>2</v>
      </c>
      <c r="E287">
        <f t="shared" si="50"/>
        <v>1</v>
      </c>
      <c r="F287" s="10">
        <f t="shared" si="51"/>
        <v>0</v>
      </c>
      <c r="G287" s="10" cm="1">
        <f t="array" ref="G287">ROUND(getParm(Tarifart,"alpha")/(2*Zahlweise)*BeiSum*(C287&lt;2)*E287,2)</f>
        <v>0</v>
      </c>
      <c r="H287" s="10" cm="1">
        <f t="array" ref="H287">ROUND(F287*getParm(Tarifart,"beta")*E287,2)</f>
        <v>0</v>
      </c>
      <c r="I287" s="10" cm="1">
        <f t="array" ref="I287">ROUND(F287*get_Üb(YEAR(A287),$I$8)*E287,2)</f>
        <v>0</v>
      </c>
      <c r="J287" s="10">
        <f t="shared" si="54"/>
        <v>0</v>
      </c>
      <c r="K287" s="10">
        <f t="shared" si="55"/>
        <v>0</v>
      </c>
      <c r="L287" s="10" cm="1">
        <f t="array" ref="L287">ROUND(1/12*MAX(MTSum-R287-K287,MRSum)*Act_qx(x+C287,Geschlecht,getParm(Tarifart,"Tafel"),YEAR(GebDat),x+Dauer,1),2)</f>
        <v>3.06</v>
      </c>
      <c r="M287" s="10" cm="1">
        <f t="array" ref="M287">ROUND(L287*get_Üb(YEAR(A287),$M$8),2)</f>
        <v>0.15</v>
      </c>
      <c r="N287" s="10" cm="1">
        <f t="array" ref="N287">ROUND(R287*getParm(Tarifart,IF(C287&lt;BZDauer,"gamma1","gamma2")),2)</f>
        <v>89.06</v>
      </c>
      <c r="O287" s="10" cm="1">
        <f t="array" ref="O287">ROUND(R287*get_Üb(YEAR(A287),$O$8),2)</f>
        <v>14.84</v>
      </c>
      <c r="P287" s="19">
        <f t="shared" si="56"/>
        <v>9.6978908561000008</v>
      </c>
      <c r="Q287" s="19" cm="1">
        <f t="array" ref="Q287">ROUND(P287+1/getKurs(EDATE(A287,-1))*(K287-L287-N287-getParm(Tarifart,"StK")+M287+O287),10)*(C287&lt;Dauer)</f>
        <v>9.6927442032000002</v>
      </c>
      <c r="R287" s="10" cm="1">
        <f t="array" ref="R287">ROUND(P287*getKurs($A287),2)</f>
        <v>148426.41</v>
      </c>
      <c r="S287" s="10" cm="1">
        <f t="array" ref="S287">ROUND(Q287*getKurs($A287),2)</f>
        <v>148347.64000000001</v>
      </c>
      <c r="T287" s="10">
        <f t="shared" si="52"/>
        <v>152026.41</v>
      </c>
      <c r="U287" s="10" cm="1">
        <f t="array" ref="U287">getParm(Tarifart,"StoSatz")*(Dauer-C287)*Beitrag*Zahlweise*(C287&lt;BZDauer)</f>
        <v>0</v>
      </c>
      <c r="V287" s="10">
        <f t="shared" si="57"/>
        <v>148347.64000000001</v>
      </c>
    </row>
    <row r="288" spans="1:22" x14ac:dyDescent="0.45">
      <c r="A288" s="15">
        <f t="shared" si="58"/>
        <v>45017</v>
      </c>
      <c r="B288">
        <f t="shared" si="48"/>
        <v>279</v>
      </c>
      <c r="C288">
        <f t="shared" si="53"/>
        <v>23</v>
      </c>
      <c r="D288">
        <f t="shared" si="49"/>
        <v>3</v>
      </c>
      <c r="E288">
        <f t="shared" si="50"/>
        <v>1</v>
      </c>
      <c r="F288" s="10">
        <f t="shared" si="51"/>
        <v>0</v>
      </c>
      <c r="G288" s="10" cm="1">
        <f t="array" ref="G288">ROUND(getParm(Tarifart,"alpha")/(2*Zahlweise)*BeiSum*(C288&lt;2)*E288,2)</f>
        <v>0</v>
      </c>
      <c r="H288" s="10" cm="1">
        <f t="array" ref="H288">ROUND(F288*getParm(Tarifart,"beta")*E288,2)</f>
        <v>0</v>
      </c>
      <c r="I288" s="10" cm="1">
        <f t="array" ref="I288">ROUND(F288*get_Üb(YEAR(A288),$I$8)*E288,2)</f>
        <v>0</v>
      </c>
      <c r="J288" s="10">
        <f t="shared" si="54"/>
        <v>0</v>
      </c>
      <c r="K288" s="10">
        <f t="shared" si="55"/>
        <v>0</v>
      </c>
      <c r="L288" s="10" cm="1">
        <f t="array" ref="L288">ROUND(1/12*MAX(MTSum-R288-K288,MRSum)*Act_qx(x+C288,Geschlecht,getParm(Tarifart,"Tafel"),YEAR(GebDat),x+Dauer,1),2)</f>
        <v>3.06</v>
      </c>
      <c r="M288" s="10" cm="1">
        <f t="array" ref="M288">ROUND(L288*get_Üb(YEAR(A288),$M$8),2)</f>
        <v>0.15</v>
      </c>
      <c r="N288" s="10" cm="1">
        <f t="array" ref="N288">ROUND(R288*getParm(Tarifart,IF(C288&lt;BZDauer,"gamma1","gamma2")),2)</f>
        <v>90.61</v>
      </c>
      <c r="O288" s="10" cm="1">
        <f t="array" ref="O288">ROUND(R288*get_Üb(YEAR(A288),$O$8),2)</f>
        <v>15.1</v>
      </c>
      <c r="P288" s="19">
        <f t="shared" si="56"/>
        <v>9.6927442032000002</v>
      </c>
      <c r="Q288" s="19" cm="1">
        <f t="array" ref="Q288">ROUND(P288+1/getKurs(EDATE(A288,-1))*(K288-L288-N288-getParm(Tarifart,"StK")+M288+O288),10)*(C288&lt;Dauer)</f>
        <v>9.6875550561000008</v>
      </c>
      <c r="R288" s="10" cm="1">
        <f t="array" ref="R288">ROUND(P288*getKurs($A288),2)</f>
        <v>151021.87</v>
      </c>
      <c r="S288" s="10" cm="1">
        <f t="array" ref="S288">ROUND(Q288*getKurs($A288),2)</f>
        <v>150941.01999999999</v>
      </c>
      <c r="T288" s="10">
        <f t="shared" si="52"/>
        <v>154621.87</v>
      </c>
      <c r="U288" s="10" cm="1">
        <f t="array" ref="U288">getParm(Tarifart,"StoSatz")*(Dauer-C288)*Beitrag*Zahlweise*(C288&lt;BZDauer)</f>
        <v>0</v>
      </c>
      <c r="V288" s="10">
        <f t="shared" si="57"/>
        <v>150941.01999999999</v>
      </c>
    </row>
    <row r="289" spans="1:22" x14ac:dyDescent="0.45">
      <c r="A289" s="15">
        <f t="shared" si="58"/>
        <v>45047</v>
      </c>
      <c r="B289">
        <f t="shared" si="48"/>
        <v>280</v>
      </c>
      <c r="C289">
        <f t="shared" si="53"/>
        <v>23</v>
      </c>
      <c r="D289">
        <f t="shared" si="49"/>
        <v>4</v>
      </c>
      <c r="E289">
        <f t="shared" si="50"/>
        <v>1</v>
      </c>
      <c r="F289" s="10">
        <f t="shared" si="51"/>
        <v>0</v>
      </c>
      <c r="G289" s="10" cm="1">
        <f t="array" ref="G289">ROUND(getParm(Tarifart,"alpha")/(2*Zahlweise)*BeiSum*(C289&lt;2)*E289,2)</f>
        <v>0</v>
      </c>
      <c r="H289" s="10" cm="1">
        <f t="array" ref="H289">ROUND(F289*getParm(Tarifart,"beta")*E289,2)</f>
        <v>0</v>
      </c>
      <c r="I289" s="10" cm="1">
        <f t="array" ref="I289">ROUND(F289*get_Üb(YEAR(A289),$I$8)*E289,2)</f>
        <v>0</v>
      </c>
      <c r="J289" s="10">
        <f t="shared" si="54"/>
        <v>0</v>
      </c>
      <c r="K289" s="10">
        <f t="shared" si="55"/>
        <v>0</v>
      </c>
      <c r="L289" s="10" cm="1">
        <f t="array" ref="L289">ROUND(1/12*MAX(MTSum-R289-K289,MRSum)*Act_qx(x+C289,Geschlecht,getParm(Tarifart,"Tafel"),YEAR(GebDat),x+Dauer,1),2)</f>
        <v>3.06</v>
      </c>
      <c r="M289" s="10" cm="1">
        <f t="array" ref="M289">ROUND(L289*get_Üb(YEAR(A289),$M$8),2)</f>
        <v>0.15</v>
      </c>
      <c r="N289" s="10" cm="1">
        <f t="array" ref="N289">ROUND(R289*getParm(Tarifart,IF(C289&lt;BZDauer,"gamma1","gamma2")),2)</f>
        <v>91.41</v>
      </c>
      <c r="O289" s="10" cm="1">
        <f t="array" ref="O289">ROUND(R289*get_Üb(YEAR(A289),$O$8),2)</f>
        <v>15.24</v>
      </c>
      <c r="P289" s="19">
        <f t="shared" si="56"/>
        <v>9.6875550561000008</v>
      </c>
      <c r="Q289" s="19" cm="1">
        <f t="array" ref="Q289">ROUND(P289+1/getKurs(EDATE(A289,-1))*(K289-L289-N289-getParm(Tarifart,"StK")+M289+O289),10)*(C289&lt;Dauer)</f>
        <v>9.6824154365999995</v>
      </c>
      <c r="R289" s="10" cm="1">
        <f t="array" ref="R289">ROUND(P289*getKurs($A289),2)</f>
        <v>152355.6</v>
      </c>
      <c r="S289" s="10" cm="1">
        <f t="array" ref="S289">ROUND(Q289*getKurs($A289),2)</f>
        <v>152274.76999999999</v>
      </c>
      <c r="T289" s="10">
        <f t="shared" si="52"/>
        <v>155955.6</v>
      </c>
      <c r="U289" s="10" cm="1">
        <f t="array" ref="U289">getParm(Tarifart,"StoSatz")*(Dauer-C289)*Beitrag*Zahlweise*(C289&lt;BZDauer)</f>
        <v>0</v>
      </c>
      <c r="V289" s="10">
        <f t="shared" si="57"/>
        <v>152274.76999999999</v>
      </c>
    </row>
    <row r="290" spans="1:22" x14ac:dyDescent="0.45">
      <c r="A290" s="15">
        <f t="shared" si="58"/>
        <v>45078</v>
      </c>
      <c r="B290">
        <f t="shared" si="48"/>
        <v>281</v>
      </c>
      <c r="C290">
        <f t="shared" si="53"/>
        <v>23</v>
      </c>
      <c r="D290">
        <f t="shared" si="49"/>
        <v>5</v>
      </c>
      <c r="E290">
        <f t="shared" si="50"/>
        <v>1</v>
      </c>
      <c r="F290" s="10">
        <f t="shared" si="51"/>
        <v>0</v>
      </c>
      <c r="G290" s="10" cm="1">
        <f t="array" ref="G290">ROUND(getParm(Tarifart,"alpha")/(2*Zahlweise)*BeiSum*(C290&lt;2)*E290,2)</f>
        <v>0</v>
      </c>
      <c r="H290" s="10" cm="1">
        <f t="array" ref="H290">ROUND(F290*getParm(Tarifart,"beta")*E290,2)</f>
        <v>0</v>
      </c>
      <c r="I290" s="10" cm="1">
        <f t="array" ref="I290">ROUND(F290*get_Üb(YEAR(A290),$I$8)*E290,2)</f>
        <v>0</v>
      </c>
      <c r="J290" s="10">
        <f t="shared" si="54"/>
        <v>0</v>
      </c>
      <c r="K290" s="10">
        <f t="shared" si="55"/>
        <v>0</v>
      </c>
      <c r="L290" s="10" cm="1">
        <f t="array" ref="L290">ROUND(1/12*MAX(MTSum-R290-K290,MRSum)*Act_qx(x+C290,Geschlecht,getParm(Tarifart,"Tafel"),YEAR(GebDat),x+Dauer,1),2)</f>
        <v>3.06</v>
      </c>
      <c r="M290" s="10" cm="1">
        <f t="array" ref="M290">ROUND(L290*get_Üb(YEAR(A290),$M$8),2)</f>
        <v>0.15</v>
      </c>
      <c r="N290" s="10" cm="1">
        <f t="array" ref="N290">ROUND(R290*getParm(Tarifart,IF(C290&lt;BZDauer,"gamma1","gamma2")),2)</f>
        <v>92.1</v>
      </c>
      <c r="O290" s="10" cm="1">
        <f t="array" ref="O290">ROUND(R290*get_Üb(YEAR(A290),$O$8),2)</f>
        <v>15.35</v>
      </c>
      <c r="P290" s="19">
        <f t="shared" si="56"/>
        <v>9.6824154365999995</v>
      </c>
      <c r="Q290" s="19" cm="1">
        <f t="array" ref="Q290">ROUND(P290+1/getKurs(EDATE(A290,-1))*(K290-L290-N290-getParm(Tarifart,"StK")+M290+O290),10)*(C290&lt;Dauer)</f>
        <v>9.6772866575999998</v>
      </c>
      <c r="R290" s="10" cm="1">
        <f t="array" ref="R290">ROUND(P290*getKurs($A290),2)</f>
        <v>153501.72</v>
      </c>
      <c r="S290" s="10" cm="1">
        <f t="array" ref="S290">ROUND(Q290*getKurs($A290),2)</f>
        <v>153420.41</v>
      </c>
      <c r="T290" s="10">
        <f t="shared" si="52"/>
        <v>157101.72</v>
      </c>
      <c r="U290" s="10" cm="1">
        <f t="array" ref="U290">getParm(Tarifart,"StoSatz")*(Dauer-C290)*Beitrag*Zahlweise*(C290&lt;BZDauer)</f>
        <v>0</v>
      </c>
      <c r="V290" s="10">
        <f t="shared" si="57"/>
        <v>153420.41</v>
      </c>
    </row>
    <row r="291" spans="1:22" x14ac:dyDescent="0.45">
      <c r="A291" s="15">
        <f t="shared" si="58"/>
        <v>45108</v>
      </c>
      <c r="B291">
        <f t="shared" si="48"/>
        <v>282</v>
      </c>
      <c r="C291">
        <f t="shared" si="53"/>
        <v>23</v>
      </c>
      <c r="D291">
        <f t="shared" si="49"/>
        <v>6</v>
      </c>
      <c r="E291">
        <f t="shared" si="50"/>
        <v>1</v>
      </c>
      <c r="F291" s="10">
        <f t="shared" si="51"/>
        <v>0</v>
      </c>
      <c r="G291" s="10" cm="1">
        <f t="array" ref="G291">ROUND(getParm(Tarifart,"alpha")/(2*Zahlweise)*BeiSum*(C291&lt;2)*E291,2)</f>
        <v>0</v>
      </c>
      <c r="H291" s="10" cm="1">
        <f t="array" ref="H291">ROUND(F291*getParm(Tarifart,"beta")*E291,2)</f>
        <v>0</v>
      </c>
      <c r="I291" s="10" cm="1">
        <f t="array" ref="I291">ROUND(F291*get_Üb(YEAR(A291),$I$8)*E291,2)</f>
        <v>0</v>
      </c>
      <c r="J291" s="10">
        <f t="shared" si="54"/>
        <v>0</v>
      </c>
      <c r="K291" s="10">
        <f t="shared" si="55"/>
        <v>0</v>
      </c>
      <c r="L291" s="10" cm="1">
        <f t="array" ref="L291">ROUND(1/12*MAX(MTSum-R291-K291,MRSum)*Act_qx(x+C291,Geschlecht,getParm(Tarifart,"Tafel"),YEAR(GebDat),x+Dauer,1),2)</f>
        <v>3.06</v>
      </c>
      <c r="M291" s="10" cm="1">
        <f t="array" ref="M291">ROUND(L291*get_Üb(YEAR(A291),$M$8),2)</f>
        <v>0.15</v>
      </c>
      <c r="N291" s="10" cm="1">
        <f t="array" ref="N291">ROUND(R291*getParm(Tarifart,IF(C291&lt;BZDauer,"gamma1","gamma2")),2)</f>
        <v>93.37</v>
      </c>
      <c r="O291" s="10" cm="1">
        <f t="array" ref="O291">ROUND(R291*get_Üb(YEAR(A291),$O$8),2)</f>
        <v>15.56</v>
      </c>
      <c r="P291" s="19">
        <f t="shared" si="56"/>
        <v>9.6772866575999998</v>
      </c>
      <c r="Q291" s="19" cm="1">
        <f t="array" ref="Q291">ROUND(P291+1/getKurs(EDATE(A291,-1))*(K291-L291-N291-getParm(Tarifart,"StK")+M291+O291),10)*(C291&lt;Dauer)</f>
        <v>9.6721320119000005</v>
      </c>
      <c r="R291" s="10" cm="1">
        <f t="array" ref="R291">ROUND(P291*getKurs($A291),2)</f>
        <v>155620.82999999999</v>
      </c>
      <c r="S291" s="10" cm="1">
        <f t="array" ref="S291">ROUND(Q291*getKurs($A291),2)</f>
        <v>155537.94</v>
      </c>
      <c r="T291" s="10">
        <f t="shared" si="52"/>
        <v>159220.82999999999</v>
      </c>
      <c r="U291" s="10" cm="1">
        <f t="array" ref="U291">getParm(Tarifart,"StoSatz")*(Dauer-C291)*Beitrag*Zahlweise*(C291&lt;BZDauer)</f>
        <v>0</v>
      </c>
      <c r="V291" s="10">
        <f t="shared" si="57"/>
        <v>155537.94</v>
      </c>
    </row>
    <row r="292" spans="1:22" x14ac:dyDescent="0.45">
      <c r="A292" s="15">
        <f t="shared" si="58"/>
        <v>45139</v>
      </c>
      <c r="B292">
        <f t="shared" si="48"/>
        <v>283</v>
      </c>
      <c r="C292">
        <f t="shared" si="53"/>
        <v>23</v>
      </c>
      <c r="D292">
        <f t="shared" si="49"/>
        <v>7</v>
      </c>
      <c r="E292">
        <f t="shared" si="50"/>
        <v>1</v>
      </c>
      <c r="F292" s="10">
        <f t="shared" si="51"/>
        <v>0</v>
      </c>
      <c r="G292" s="10" cm="1">
        <f t="array" ref="G292">ROUND(getParm(Tarifart,"alpha")/(2*Zahlweise)*BeiSum*(C292&lt;2)*E292,2)</f>
        <v>0</v>
      </c>
      <c r="H292" s="10" cm="1">
        <f t="array" ref="H292">ROUND(F292*getParm(Tarifart,"beta")*E292,2)</f>
        <v>0</v>
      </c>
      <c r="I292" s="10" cm="1">
        <f t="array" ref="I292">ROUND(F292*get_Üb(YEAR(A292),$I$8)*E292,2)</f>
        <v>0</v>
      </c>
      <c r="J292" s="10">
        <f t="shared" si="54"/>
        <v>0</v>
      </c>
      <c r="K292" s="10">
        <f t="shared" si="55"/>
        <v>0</v>
      </c>
      <c r="L292" s="10" cm="1">
        <f t="array" ref="L292">ROUND(1/12*MAX(MTSum-R292-K292,MRSum)*Act_qx(x+C292,Geschlecht,getParm(Tarifart,"Tafel"),YEAR(GebDat),x+Dauer,1),2)</f>
        <v>3.06</v>
      </c>
      <c r="M292" s="10" cm="1">
        <f t="array" ref="M292">ROUND(L292*get_Üb(YEAR(A292),$M$8),2)</f>
        <v>0.15</v>
      </c>
      <c r="N292" s="10" cm="1">
        <f t="array" ref="N292">ROUND(R292*getParm(Tarifart,IF(C292&lt;BZDauer,"gamma1","gamma2")),2)</f>
        <v>94.25</v>
      </c>
      <c r="O292" s="10" cm="1">
        <f t="array" ref="O292">ROUND(R292*get_Üb(YEAR(A292),$O$8),2)</f>
        <v>15.71</v>
      </c>
      <c r="P292" s="19">
        <f t="shared" si="56"/>
        <v>9.6721320119000005</v>
      </c>
      <c r="Q292" s="19" cm="1">
        <f t="array" ref="Q292">ROUND(P292+1/getKurs(EDATE(A292,-1))*(K292-L292-N292-getParm(Tarifart,"StK")+M292+O292),10)*(C292&lt;Dauer)</f>
        <v>9.6670048559000001</v>
      </c>
      <c r="R292" s="10" cm="1">
        <f t="array" ref="R292">ROUND(P292*getKurs($A292),2)</f>
        <v>157079.29</v>
      </c>
      <c r="S292" s="10" cm="1">
        <f t="array" ref="S292">ROUND(Q292*getKurs($A292),2)</f>
        <v>156996.03</v>
      </c>
      <c r="T292" s="10">
        <f t="shared" si="52"/>
        <v>160679.29</v>
      </c>
      <c r="U292" s="10" cm="1">
        <f t="array" ref="U292">getParm(Tarifart,"StoSatz")*(Dauer-C292)*Beitrag*Zahlweise*(C292&lt;BZDauer)</f>
        <v>0</v>
      </c>
      <c r="V292" s="10">
        <f t="shared" si="57"/>
        <v>156996.03</v>
      </c>
    </row>
    <row r="293" spans="1:22" x14ac:dyDescent="0.45">
      <c r="A293" s="15">
        <f t="shared" si="58"/>
        <v>45170</v>
      </c>
      <c r="B293">
        <f t="shared" si="48"/>
        <v>284</v>
      </c>
      <c r="C293">
        <f t="shared" si="53"/>
        <v>23</v>
      </c>
      <c r="D293">
        <f t="shared" si="49"/>
        <v>8</v>
      </c>
      <c r="E293">
        <f t="shared" si="50"/>
        <v>1</v>
      </c>
      <c r="F293" s="10">
        <f t="shared" si="51"/>
        <v>0</v>
      </c>
      <c r="G293" s="10" cm="1">
        <f t="array" ref="G293">ROUND(getParm(Tarifart,"alpha")/(2*Zahlweise)*BeiSum*(C293&lt;2)*E293,2)</f>
        <v>0</v>
      </c>
      <c r="H293" s="10" cm="1">
        <f t="array" ref="H293">ROUND(F293*getParm(Tarifart,"beta")*E293,2)</f>
        <v>0</v>
      </c>
      <c r="I293" s="10" cm="1">
        <f t="array" ref="I293">ROUND(F293*get_Üb(YEAR(A293),$I$8)*E293,2)</f>
        <v>0</v>
      </c>
      <c r="J293" s="10">
        <f t="shared" si="54"/>
        <v>0</v>
      </c>
      <c r="K293" s="10">
        <f t="shared" si="55"/>
        <v>0</v>
      </c>
      <c r="L293" s="10" cm="1">
        <f t="array" ref="L293">ROUND(1/12*MAX(MTSum-R293-K293,MRSum)*Act_qx(x+C293,Geschlecht,getParm(Tarifart,"Tafel"),YEAR(GebDat),x+Dauer,1),2)</f>
        <v>3.06</v>
      </c>
      <c r="M293" s="10" cm="1">
        <f t="array" ref="M293">ROUND(L293*get_Üb(YEAR(A293),$M$8),2)</f>
        <v>0.15</v>
      </c>
      <c r="N293" s="10" cm="1">
        <f t="array" ref="N293">ROUND(R293*getParm(Tarifart,IF(C293&lt;BZDauer,"gamma1","gamma2")),2)</f>
        <v>91.88</v>
      </c>
      <c r="O293" s="10" cm="1">
        <f t="array" ref="O293">ROUND(R293*get_Üb(YEAR(A293),$O$8),2)</f>
        <v>15.31</v>
      </c>
      <c r="P293" s="19">
        <f t="shared" si="56"/>
        <v>9.6670048559000001</v>
      </c>
      <c r="Q293" s="19" cm="1">
        <f t="array" ref="Q293">ROUND(P293+1/getKurs(EDATE(A293,-1))*(K293-L293-N293-getParm(Tarifart,"StK")+M293+O293),10)*(C293&lt;Dauer)</f>
        <v>9.6620493129000007</v>
      </c>
      <c r="R293" s="10" cm="1">
        <f t="array" ref="R293">ROUND(P293*getKurs($A293),2)</f>
        <v>153128.64000000001</v>
      </c>
      <c r="S293" s="10" cm="1">
        <f t="array" ref="S293">ROUND(Q293*getKurs($A293),2)</f>
        <v>153050.15</v>
      </c>
      <c r="T293" s="10">
        <f t="shared" si="52"/>
        <v>156728.64000000001</v>
      </c>
      <c r="U293" s="10" cm="1">
        <f t="array" ref="U293">getParm(Tarifart,"StoSatz")*(Dauer-C293)*Beitrag*Zahlweise*(C293&lt;BZDauer)</f>
        <v>0</v>
      </c>
      <c r="V293" s="10">
        <f t="shared" si="57"/>
        <v>153050.15</v>
      </c>
    </row>
    <row r="294" spans="1:22" x14ac:dyDescent="0.45">
      <c r="A294" s="15">
        <f t="shared" si="58"/>
        <v>45200</v>
      </c>
      <c r="B294">
        <f t="shared" si="48"/>
        <v>285</v>
      </c>
      <c r="C294">
        <f t="shared" si="53"/>
        <v>23</v>
      </c>
      <c r="D294">
        <f t="shared" si="49"/>
        <v>9</v>
      </c>
      <c r="E294">
        <f t="shared" si="50"/>
        <v>1</v>
      </c>
      <c r="F294" s="10">
        <f t="shared" si="51"/>
        <v>0</v>
      </c>
      <c r="G294" s="10" cm="1">
        <f t="array" ref="G294">ROUND(getParm(Tarifart,"alpha")/(2*Zahlweise)*BeiSum*(C294&lt;2)*E294,2)</f>
        <v>0</v>
      </c>
      <c r="H294" s="10" cm="1">
        <f t="array" ref="H294">ROUND(F294*getParm(Tarifart,"beta")*E294,2)</f>
        <v>0</v>
      </c>
      <c r="I294" s="10" cm="1">
        <f t="array" ref="I294">ROUND(F294*get_Üb(YEAR(A294),$I$8)*E294,2)</f>
        <v>0</v>
      </c>
      <c r="J294" s="10">
        <f t="shared" si="54"/>
        <v>0</v>
      </c>
      <c r="K294" s="10">
        <f t="shared" si="55"/>
        <v>0</v>
      </c>
      <c r="L294" s="10" cm="1">
        <f t="array" ref="L294">ROUND(1/12*MAX(MTSum-R294-K294,MRSum)*Act_qx(x+C294,Geschlecht,getParm(Tarifart,"Tafel"),YEAR(GebDat),x+Dauer,1),2)</f>
        <v>3.06</v>
      </c>
      <c r="M294" s="10" cm="1">
        <f t="array" ref="M294">ROUND(L294*get_Üb(YEAR(A294),$M$8),2)</f>
        <v>0.15</v>
      </c>
      <c r="N294" s="10" cm="1">
        <f t="array" ref="N294">ROUND(R294*getParm(Tarifart,IF(C294&lt;BZDauer,"gamma1","gamma2")),2)</f>
        <v>88.39</v>
      </c>
      <c r="O294" s="10" cm="1">
        <f t="array" ref="O294">ROUND(R294*get_Üb(YEAR(A294),$O$8),2)</f>
        <v>14.73</v>
      </c>
      <c r="P294" s="19">
        <f t="shared" si="56"/>
        <v>9.6620493129000007</v>
      </c>
      <c r="Q294" s="19" cm="1">
        <f t="array" ref="Q294">ROUND(P294+1/getKurs(EDATE(A294,-1))*(K294-L294-N294-getParm(Tarifart,"StK")+M294+O294),10)*(C294&lt;Dauer)</f>
        <v>9.6571523221</v>
      </c>
      <c r="R294" s="10" cm="1">
        <f t="array" ref="R294">ROUND(P294*getKurs($A294),2)</f>
        <v>147319.29</v>
      </c>
      <c r="S294" s="10" cm="1">
        <f t="array" ref="S294">ROUND(Q294*getKurs($A294),2)</f>
        <v>147244.63</v>
      </c>
      <c r="T294" s="10">
        <f t="shared" si="52"/>
        <v>150919.29</v>
      </c>
      <c r="U294" s="10" cm="1">
        <f t="array" ref="U294">getParm(Tarifart,"StoSatz")*(Dauer-C294)*Beitrag*Zahlweise*(C294&lt;BZDauer)</f>
        <v>0</v>
      </c>
      <c r="V294" s="10">
        <f t="shared" si="57"/>
        <v>147244.63</v>
      </c>
    </row>
    <row r="295" spans="1:22" x14ac:dyDescent="0.45">
      <c r="A295" s="15">
        <f t="shared" si="58"/>
        <v>45231</v>
      </c>
      <c r="B295">
        <f t="shared" si="48"/>
        <v>286</v>
      </c>
      <c r="C295">
        <f t="shared" si="53"/>
        <v>23</v>
      </c>
      <c r="D295">
        <f t="shared" si="49"/>
        <v>10</v>
      </c>
      <c r="E295">
        <f t="shared" si="50"/>
        <v>1</v>
      </c>
      <c r="F295" s="10">
        <f t="shared" si="51"/>
        <v>0</v>
      </c>
      <c r="G295" s="10" cm="1">
        <f t="array" ref="G295">ROUND(getParm(Tarifart,"alpha")/(2*Zahlweise)*BeiSum*(C295&lt;2)*E295,2)</f>
        <v>0</v>
      </c>
      <c r="H295" s="10" cm="1">
        <f t="array" ref="H295">ROUND(F295*getParm(Tarifart,"beta")*E295,2)</f>
        <v>0</v>
      </c>
      <c r="I295" s="10" cm="1">
        <f t="array" ref="I295">ROUND(F295*get_Üb(YEAR(A295),$I$8)*E295,2)</f>
        <v>0</v>
      </c>
      <c r="J295" s="10">
        <f t="shared" si="54"/>
        <v>0</v>
      </c>
      <c r="K295" s="10">
        <f t="shared" si="55"/>
        <v>0</v>
      </c>
      <c r="L295" s="10" cm="1">
        <f t="array" ref="L295">ROUND(1/12*MAX(MTSum-R295-K295,MRSum)*Act_qx(x+C295,Geschlecht,getParm(Tarifart,"Tafel"),YEAR(GebDat),x+Dauer,1),2)</f>
        <v>3.06</v>
      </c>
      <c r="M295" s="10" cm="1">
        <f t="array" ref="M295">ROUND(L295*get_Üb(YEAR(A295),$M$8),2)</f>
        <v>0.15</v>
      </c>
      <c r="N295" s="10" cm="1">
        <f t="array" ref="N295">ROUND(R295*getParm(Tarifart,IF(C295&lt;BZDauer,"gamma1","gamma2")),2)</f>
        <v>86.47</v>
      </c>
      <c r="O295" s="10" cm="1">
        <f t="array" ref="O295">ROUND(R295*get_Üb(YEAR(A295),$O$8),2)</f>
        <v>14.41</v>
      </c>
      <c r="P295" s="19">
        <f t="shared" si="56"/>
        <v>9.6571523221</v>
      </c>
      <c r="Q295" s="19" cm="1">
        <f t="array" ref="Q295">ROUND(P295+1/getKurs(EDATE(A295,-1))*(K295-L295-N295-getParm(Tarifart,"StK")+M295+O295),10)*(C295&lt;Dauer)</f>
        <v>9.6521697712000005</v>
      </c>
      <c r="R295" s="10" cm="1">
        <f t="array" ref="R295">ROUND(P295*getKurs($A295),2)</f>
        <v>144116.29</v>
      </c>
      <c r="S295" s="10" cm="1">
        <f t="array" ref="S295">ROUND(Q295*getKurs($A295),2)</f>
        <v>144041.94</v>
      </c>
      <c r="T295" s="10">
        <f t="shared" si="52"/>
        <v>147716.29</v>
      </c>
      <c r="U295" s="10" cm="1">
        <f t="array" ref="U295">getParm(Tarifart,"StoSatz")*(Dauer-C295)*Beitrag*Zahlweise*(C295&lt;BZDauer)</f>
        <v>0</v>
      </c>
      <c r="V295" s="10">
        <f t="shared" si="57"/>
        <v>144041.94</v>
      </c>
    </row>
    <row r="296" spans="1:22" x14ac:dyDescent="0.45">
      <c r="A296" s="15">
        <f t="shared" si="58"/>
        <v>45261</v>
      </c>
      <c r="B296">
        <f t="shared" si="48"/>
        <v>287</v>
      </c>
      <c r="C296">
        <f t="shared" si="53"/>
        <v>23</v>
      </c>
      <c r="D296">
        <f t="shared" si="49"/>
        <v>11</v>
      </c>
      <c r="E296">
        <f t="shared" si="50"/>
        <v>1</v>
      </c>
      <c r="F296" s="10">
        <f t="shared" si="51"/>
        <v>0</v>
      </c>
      <c r="G296" s="10" cm="1">
        <f t="array" ref="G296">ROUND(getParm(Tarifart,"alpha")/(2*Zahlweise)*BeiSum*(C296&lt;2)*E296,2)</f>
        <v>0</v>
      </c>
      <c r="H296" s="10" cm="1">
        <f t="array" ref="H296">ROUND(F296*getParm(Tarifart,"beta")*E296,2)</f>
        <v>0</v>
      </c>
      <c r="I296" s="10" cm="1">
        <f t="array" ref="I296">ROUND(F296*get_Üb(YEAR(A296),$I$8)*E296,2)</f>
        <v>0</v>
      </c>
      <c r="J296" s="10">
        <f t="shared" si="54"/>
        <v>0</v>
      </c>
      <c r="K296" s="10">
        <f t="shared" si="55"/>
        <v>0</v>
      </c>
      <c r="L296" s="10" cm="1">
        <f t="array" ref="L296">ROUND(1/12*MAX(MTSum-R296-K296,MRSum)*Act_qx(x+C296,Geschlecht,getParm(Tarifart,"Tafel"),YEAR(GebDat),x+Dauer,1),2)</f>
        <v>3.06</v>
      </c>
      <c r="M296" s="10" cm="1">
        <f t="array" ref="M296">ROUND(L296*get_Üb(YEAR(A296),$M$8),2)</f>
        <v>0.15</v>
      </c>
      <c r="N296" s="10" cm="1">
        <f t="array" ref="N296">ROUND(R296*getParm(Tarifart,IF(C296&lt;BZDauer,"gamma1","gamma2")),2)</f>
        <v>94.96</v>
      </c>
      <c r="O296" s="10" cm="1">
        <f t="array" ref="O296">ROUND(R296*get_Üb(YEAR(A296),$O$8),2)</f>
        <v>15.83</v>
      </c>
      <c r="P296" s="19">
        <f t="shared" si="56"/>
        <v>9.6521697712000005</v>
      </c>
      <c r="Q296" s="19" cm="1">
        <f t="array" ref="Q296">ROUND(P296+1/getKurs(EDATE(A296,-1))*(K296-L296-N296-getParm(Tarifart,"StK")+M296+O296),10)*(C296&lt;Dauer)</f>
        <v>9.6466053070999997</v>
      </c>
      <c r="R296" s="10" cm="1">
        <f t="array" ref="R296">ROUND(P296*getKurs($A296),2)</f>
        <v>158271.65</v>
      </c>
      <c r="S296" s="10" cm="1">
        <f t="array" ref="S296">ROUND(Q296*getKurs($A296),2)</f>
        <v>158180.4</v>
      </c>
      <c r="T296" s="10">
        <f t="shared" si="52"/>
        <v>161871.65</v>
      </c>
      <c r="U296" s="10" cm="1">
        <f t="array" ref="U296">getParm(Tarifart,"StoSatz")*(Dauer-C296)*Beitrag*Zahlweise*(C296&lt;BZDauer)</f>
        <v>0</v>
      </c>
      <c r="V296" s="10">
        <f t="shared" si="57"/>
        <v>158180.4</v>
      </c>
    </row>
    <row r="297" spans="1:22" x14ac:dyDescent="0.45">
      <c r="A297" s="15">
        <f t="shared" si="58"/>
        <v>45292</v>
      </c>
      <c r="B297">
        <f t="shared" si="48"/>
        <v>288</v>
      </c>
      <c r="C297">
        <f t="shared" si="53"/>
        <v>24</v>
      </c>
      <c r="D297">
        <f t="shared" si="49"/>
        <v>0</v>
      </c>
      <c r="E297">
        <f t="shared" si="50"/>
        <v>1</v>
      </c>
      <c r="F297" s="10">
        <f t="shared" si="51"/>
        <v>0</v>
      </c>
      <c r="G297" s="10" cm="1">
        <f t="array" ref="G297">ROUND(getParm(Tarifart,"alpha")/(2*Zahlweise)*BeiSum*(C297&lt;2)*E297,2)</f>
        <v>0</v>
      </c>
      <c r="H297" s="10" cm="1">
        <f t="array" ref="H297">ROUND(F297*getParm(Tarifart,"beta")*E297,2)</f>
        <v>0</v>
      </c>
      <c r="I297" s="10" cm="1">
        <f t="array" ref="I297">ROUND(F297*get_Üb(YEAR(A297),$I$8)*E297,2)</f>
        <v>0</v>
      </c>
      <c r="J297" s="10">
        <f t="shared" si="54"/>
        <v>0</v>
      </c>
      <c r="K297" s="10">
        <f t="shared" si="55"/>
        <v>0</v>
      </c>
      <c r="L297" s="10" cm="1">
        <f t="array" ref="L297">ROUND(1/12*MAX(MTSum-R297-K297,MRSum)*Act_qx(x+C297,Geschlecht,getParm(Tarifart,"Tafel"),YEAR(GebDat),x+Dauer,1),2)</f>
        <v>3.37</v>
      </c>
      <c r="M297" s="10" cm="1">
        <f t="array" ref="M297">ROUND(L297*get_Üb(YEAR(A297),$M$8),2)</f>
        <v>0.17</v>
      </c>
      <c r="N297" s="10" cm="1">
        <f t="array" ref="N297">ROUND(R297*getParm(Tarifart,IF(C297&lt;BZDauer,"gamma1","gamma2")),2)</f>
        <v>97.06</v>
      </c>
      <c r="O297" s="10" cm="1">
        <f t="array" ref="O297">ROUND(R297*get_Üb(YEAR(A297),$O$8),2)</f>
        <v>16.18</v>
      </c>
      <c r="P297" s="19">
        <f t="shared" si="56"/>
        <v>9.6466053070999997</v>
      </c>
      <c r="Q297" s="19" cm="1">
        <f t="array" ref="Q297">ROUND(P297+1/getKurs(EDATE(A297,-1))*(K297-L297-N297-getParm(Tarifart,"StK")+M297+O297),10)*(C297&lt;Dauer)</f>
        <v>9.6414167176000003</v>
      </c>
      <c r="R297" s="10" cm="1">
        <f t="array" ref="R297">ROUND(P297*getKurs($A297),2)</f>
        <v>161767.4</v>
      </c>
      <c r="S297" s="10" cm="1">
        <f t="array" ref="S297">ROUND(Q297*getKurs($A297),2)</f>
        <v>161680.39000000001</v>
      </c>
      <c r="T297" s="10">
        <f t="shared" si="52"/>
        <v>165367.4</v>
      </c>
      <c r="U297" s="10" cm="1">
        <f t="array" ref="U297">getParm(Tarifart,"StoSatz")*(Dauer-C297)*Beitrag*Zahlweise*(C297&lt;BZDauer)</f>
        <v>0</v>
      </c>
      <c r="V297" s="10">
        <f t="shared" si="57"/>
        <v>161680.39000000001</v>
      </c>
    </row>
    <row r="298" spans="1:22" x14ac:dyDescent="0.45">
      <c r="A298" s="15">
        <f t="shared" si="58"/>
        <v>45323</v>
      </c>
      <c r="B298">
        <f t="shared" si="48"/>
        <v>289</v>
      </c>
      <c r="C298">
        <f t="shared" si="53"/>
        <v>24</v>
      </c>
      <c r="D298">
        <f t="shared" si="49"/>
        <v>1</v>
      </c>
      <c r="E298">
        <f t="shared" si="50"/>
        <v>1</v>
      </c>
      <c r="F298" s="10">
        <f t="shared" si="51"/>
        <v>0</v>
      </c>
      <c r="G298" s="10" cm="1">
        <f t="array" ref="G298">ROUND(getParm(Tarifart,"alpha")/(2*Zahlweise)*BeiSum*(C298&lt;2)*E298,2)</f>
        <v>0</v>
      </c>
      <c r="H298" s="10" cm="1">
        <f t="array" ref="H298">ROUND(F298*getParm(Tarifart,"beta")*E298,2)</f>
        <v>0</v>
      </c>
      <c r="I298" s="10" cm="1">
        <f t="array" ref="I298">ROUND(F298*get_Üb(YEAR(A298),$I$8)*E298,2)</f>
        <v>0</v>
      </c>
      <c r="J298" s="10">
        <f t="shared" si="54"/>
        <v>0</v>
      </c>
      <c r="K298" s="10">
        <f t="shared" si="55"/>
        <v>0</v>
      </c>
      <c r="L298" s="10" cm="1">
        <f t="array" ref="L298">ROUND(1/12*MAX(MTSum-R298-K298,MRSum)*Act_qx(x+C298,Geschlecht,getParm(Tarifart,"Tafel"),YEAR(GebDat),x+Dauer,1),2)</f>
        <v>3.37</v>
      </c>
      <c r="M298" s="10" cm="1">
        <f t="array" ref="M298">ROUND(L298*get_Üb(YEAR(A298),$M$8),2)</f>
        <v>0.17</v>
      </c>
      <c r="N298" s="10" cm="1">
        <f t="array" ref="N298">ROUND(R298*getParm(Tarifart,IF(C298&lt;BZDauer,"gamma1","gamma2")),2)</f>
        <v>97.53</v>
      </c>
      <c r="O298" s="10" cm="1">
        <f t="array" ref="O298">ROUND(R298*get_Üb(YEAR(A298),$O$8),2)</f>
        <v>16.25</v>
      </c>
      <c r="P298" s="19">
        <f t="shared" si="56"/>
        <v>9.6414167176000003</v>
      </c>
      <c r="Q298" s="19" cm="1">
        <f t="array" ref="Q298">ROUND(P298+1/getKurs(EDATE(A298,-1))*(K298-L298-N298-getParm(Tarifart,"StK")+M298+O298),10)*(C298&lt;Dauer)</f>
        <v>9.6363193257000006</v>
      </c>
      <c r="R298" s="10" cm="1">
        <f t="array" ref="R298">ROUND(P298*getKurs($A298),2)</f>
        <v>162545.03</v>
      </c>
      <c r="S298" s="10" cm="1">
        <f t="array" ref="S298">ROUND(Q298*getKurs($A298),2)</f>
        <v>162459.09</v>
      </c>
      <c r="T298" s="10">
        <f t="shared" si="52"/>
        <v>166145.03</v>
      </c>
      <c r="U298" s="10" cm="1">
        <f t="array" ref="U298">getParm(Tarifart,"StoSatz")*(Dauer-C298)*Beitrag*Zahlweise*(C298&lt;BZDauer)</f>
        <v>0</v>
      </c>
      <c r="V298" s="10">
        <f t="shared" si="57"/>
        <v>162459.09</v>
      </c>
    </row>
    <row r="299" spans="1:22" x14ac:dyDescent="0.45">
      <c r="A299" s="15">
        <f t="shared" si="58"/>
        <v>45352</v>
      </c>
      <c r="B299">
        <f t="shared" si="48"/>
        <v>290</v>
      </c>
      <c r="C299">
        <f t="shared" si="53"/>
        <v>24</v>
      </c>
      <c r="D299">
        <f t="shared" si="49"/>
        <v>2</v>
      </c>
      <c r="E299">
        <f t="shared" si="50"/>
        <v>1</v>
      </c>
      <c r="F299" s="10">
        <f t="shared" si="51"/>
        <v>0</v>
      </c>
      <c r="G299" s="10" cm="1">
        <f t="array" ref="G299">ROUND(getParm(Tarifart,"alpha")/(2*Zahlweise)*BeiSum*(C299&lt;2)*E299,2)</f>
        <v>0</v>
      </c>
      <c r="H299" s="10" cm="1">
        <f t="array" ref="H299">ROUND(F299*getParm(Tarifart,"beta")*E299,2)</f>
        <v>0</v>
      </c>
      <c r="I299" s="10" cm="1">
        <f t="array" ref="I299">ROUND(F299*get_Üb(YEAR(A299),$I$8)*E299,2)</f>
        <v>0</v>
      </c>
      <c r="J299" s="10">
        <f t="shared" si="54"/>
        <v>0</v>
      </c>
      <c r="K299" s="10">
        <f t="shared" si="55"/>
        <v>0</v>
      </c>
      <c r="L299" s="10" cm="1">
        <f t="array" ref="L299">ROUND(1/12*MAX(MTSum-R299-K299,MRSum)*Act_qx(x+C299,Geschlecht,getParm(Tarifart,"Tafel"),YEAR(GebDat),x+Dauer,1),2)</f>
        <v>3.37</v>
      </c>
      <c r="M299" s="10" cm="1">
        <f t="array" ref="M299">ROUND(L299*get_Üb(YEAR(A299),$M$8),2)</f>
        <v>0.17</v>
      </c>
      <c r="N299" s="10" cm="1">
        <f t="array" ref="N299">ROUND(R299*getParm(Tarifart,IF(C299&lt;BZDauer,"gamma1","gamma2")),2)</f>
        <v>102.54</v>
      </c>
      <c r="O299" s="10" cm="1">
        <f t="array" ref="O299">ROUND(R299*get_Üb(YEAR(A299),$O$8),2)</f>
        <v>17.09</v>
      </c>
      <c r="P299" s="19">
        <f t="shared" si="56"/>
        <v>9.6363193257000006</v>
      </c>
      <c r="Q299" s="19" cm="1">
        <f t="array" ref="Q299">ROUND(P299+1/getKurs(EDATE(A299,-1))*(K299-L299-N299-getParm(Tarifart,"StK")+M299+O299),10)*(C299&lt;Dauer)</f>
        <v>9.6310017038000009</v>
      </c>
      <c r="R299" s="10" cm="1">
        <f t="array" ref="R299">ROUND(P299*getKurs($A299),2)</f>
        <v>170900.8</v>
      </c>
      <c r="S299" s="10" cm="1">
        <f t="array" ref="S299">ROUND(Q299*getKurs($A299),2)</f>
        <v>170806.49</v>
      </c>
      <c r="T299" s="10">
        <f t="shared" si="52"/>
        <v>174500.8</v>
      </c>
      <c r="U299" s="10" cm="1">
        <f t="array" ref="U299">getParm(Tarifart,"StoSatz")*(Dauer-C299)*Beitrag*Zahlweise*(C299&lt;BZDauer)</f>
        <v>0</v>
      </c>
      <c r="V299" s="10">
        <f t="shared" si="57"/>
        <v>170806.49</v>
      </c>
    </row>
    <row r="300" spans="1:22" x14ac:dyDescent="0.45">
      <c r="A300" s="15">
        <f t="shared" si="58"/>
        <v>45383</v>
      </c>
      <c r="B300">
        <f t="shared" si="48"/>
        <v>291</v>
      </c>
      <c r="C300">
        <f t="shared" si="53"/>
        <v>24</v>
      </c>
      <c r="D300">
        <f t="shared" si="49"/>
        <v>3</v>
      </c>
      <c r="E300">
        <f t="shared" si="50"/>
        <v>1</v>
      </c>
      <c r="F300" s="10">
        <f t="shared" si="51"/>
        <v>0</v>
      </c>
      <c r="G300" s="10" cm="1">
        <f t="array" ref="G300">ROUND(getParm(Tarifart,"alpha")/(2*Zahlweise)*BeiSum*(C300&lt;2)*E300,2)</f>
        <v>0</v>
      </c>
      <c r="H300" s="10" cm="1">
        <f t="array" ref="H300">ROUND(F300*getParm(Tarifart,"beta")*E300,2)</f>
        <v>0</v>
      </c>
      <c r="I300" s="10" cm="1">
        <f t="array" ref="I300">ROUND(F300*get_Üb(YEAR(A300),$I$8)*E300,2)</f>
        <v>0</v>
      </c>
      <c r="J300" s="10">
        <f t="shared" si="54"/>
        <v>0</v>
      </c>
      <c r="K300" s="10">
        <f t="shared" si="55"/>
        <v>0</v>
      </c>
      <c r="L300" s="10" cm="1">
        <f t="array" ref="L300">ROUND(1/12*MAX(MTSum-R300-K300,MRSum)*Act_qx(x+C300,Geschlecht,getParm(Tarifart,"Tafel"),YEAR(GebDat),x+Dauer,1),2)</f>
        <v>3.37</v>
      </c>
      <c r="M300" s="10" cm="1">
        <f t="array" ref="M300">ROUND(L300*get_Üb(YEAR(A300),$M$8),2)</f>
        <v>0.17</v>
      </c>
      <c r="N300" s="10" cm="1">
        <f t="array" ref="N300">ROUND(R300*getParm(Tarifart,IF(C300&lt;BZDauer,"gamma1","gamma2")),2)</f>
        <v>105.65</v>
      </c>
      <c r="O300" s="10" cm="1">
        <f t="array" ref="O300">ROUND(R300*get_Üb(YEAR(A300),$O$8),2)</f>
        <v>17.61</v>
      </c>
      <c r="P300" s="19">
        <f t="shared" si="56"/>
        <v>9.6310017038000009</v>
      </c>
      <c r="Q300" s="19" cm="1">
        <f t="array" ref="Q300">ROUND(P300+1/getKurs(EDATE(A300,-1))*(K300-L300-N300-getParm(Tarifart,"StK")+M300+O300),10)*(C300&lt;Dauer)</f>
        <v>9.6258007094</v>
      </c>
      <c r="R300" s="10" cm="1">
        <f t="array" ref="R300">ROUND(P300*getKurs($A300),2)</f>
        <v>176084.86</v>
      </c>
      <c r="S300" s="10" cm="1">
        <f t="array" ref="S300">ROUND(Q300*getKurs($A300),2)</f>
        <v>175989.77</v>
      </c>
      <c r="T300" s="10">
        <f t="shared" si="52"/>
        <v>179684.86</v>
      </c>
      <c r="U300" s="10" cm="1">
        <f t="array" ref="U300">getParm(Tarifart,"StoSatz")*(Dauer-C300)*Beitrag*Zahlweise*(C300&lt;BZDauer)</f>
        <v>0</v>
      </c>
      <c r="V300" s="10">
        <f t="shared" si="57"/>
        <v>175989.77</v>
      </c>
    </row>
    <row r="301" spans="1:22" x14ac:dyDescent="0.45">
      <c r="A301" s="15">
        <f t="shared" si="58"/>
        <v>45413</v>
      </c>
      <c r="B301">
        <f t="shared" si="48"/>
        <v>292</v>
      </c>
      <c r="C301">
        <f t="shared" si="53"/>
        <v>24</v>
      </c>
      <c r="D301">
        <f t="shared" si="49"/>
        <v>4</v>
      </c>
      <c r="E301">
        <f t="shared" si="50"/>
        <v>1</v>
      </c>
      <c r="F301" s="10">
        <f t="shared" si="51"/>
        <v>0</v>
      </c>
      <c r="G301" s="10" cm="1">
        <f t="array" ref="G301">ROUND(getParm(Tarifart,"alpha")/(2*Zahlweise)*BeiSum*(C301&lt;2)*E301,2)</f>
        <v>0</v>
      </c>
      <c r="H301" s="10" cm="1">
        <f t="array" ref="H301">ROUND(F301*getParm(Tarifart,"beta")*E301,2)</f>
        <v>0</v>
      </c>
      <c r="I301" s="10" cm="1">
        <f t="array" ref="I301">ROUND(F301*get_Üb(YEAR(A301),$I$8)*E301,2)</f>
        <v>0</v>
      </c>
      <c r="J301" s="10">
        <f t="shared" si="54"/>
        <v>0</v>
      </c>
      <c r="K301" s="10">
        <f t="shared" si="55"/>
        <v>0</v>
      </c>
      <c r="L301" s="10" cm="1">
        <f t="array" ref="L301">ROUND(1/12*MAX(MTSum-R301-K301,MRSum)*Act_qx(x+C301,Geschlecht,getParm(Tarifart,"Tafel"),YEAR(GebDat),x+Dauer,1),2)</f>
        <v>3.37</v>
      </c>
      <c r="M301" s="10" cm="1">
        <f t="array" ref="M301">ROUND(L301*get_Üb(YEAR(A301),$M$8),2)</f>
        <v>0.17</v>
      </c>
      <c r="N301" s="10" cm="1">
        <f t="array" ref="N301">ROUND(R301*getParm(Tarifart,IF(C301&lt;BZDauer,"gamma1","gamma2")),2)</f>
        <v>103.36</v>
      </c>
      <c r="O301" s="10" cm="1">
        <f t="array" ref="O301">ROUND(R301*get_Üb(YEAR(A301),$O$8),2)</f>
        <v>17.23</v>
      </c>
      <c r="P301" s="19">
        <f t="shared" si="56"/>
        <v>9.6258007094</v>
      </c>
      <c r="Q301" s="19" cm="1">
        <f t="array" ref="Q301">ROUND(P301+1/getKurs(EDATE(A301,-1))*(K301-L301-N301-getParm(Tarifart,"StK")+M301+O301),10)*(C301&lt;Dauer)</f>
        <v>9.6208600893000007</v>
      </c>
      <c r="R301" s="10" cm="1">
        <f t="array" ref="R301">ROUND(P301*getKurs($A301),2)</f>
        <v>172268.14</v>
      </c>
      <c r="S301" s="10" cm="1">
        <f t="array" ref="S301">ROUND(Q301*getKurs($A301),2)</f>
        <v>172179.72</v>
      </c>
      <c r="T301" s="10">
        <f t="shared" si="52"/>
        <v>175868.14</v>
      </c>
      <c r="U301" s="10" cm="1">
        <f t="array" ref="U301">getParm(Tarifart,"StoSatz")*(Dauer-C301)*Beitrag*Zahlweise*(C301&lt;BZDauer)</f>
        <v>0</v>
      </c>
      <c r="V301" s="10">
        <f t="shared" si="57"/>
        <v>172179.72</v>
      </c>
    </row>
    <row r="302" spans="1:22" x14ac:dyDescent="0.45">
      <c r="A302" s="15">
        <f t="shared" si="58"/>
        <v>45444</v>
      </c>
      <c r="B302">
        <f t="shared" si="48"/>
        <v>293</v>
      </c>
      <c r="C302">
        <f t="shared" si="53"/>
        <v>24</v>
      </c>
      <c r="D302">
        <f t="shared" si="49"/>
        <v>5</v>
      </c>
      <c r="E302">
        <f t="shared" si="50"/>
        <v>1</v>
      </c>
      <c r="F302" s="10">
        <f t="shared" si="51"/>
        <v>0</v>
      </c>
      <c r="G302" s="10" cm="1">
        <f t="array" ref="G302">ROUND(getParm(Tarifart,"alpha")/(2*Zahlweise)*BeiSum*(C302&lt;2)*E302,2)</f>
        <v>0</v>
      </c>
      <c r="H302" s="10" cm="1">
        <f t="array" ref="H302">ROUND(F302*getParm(Tarifart,"beta")*E302,2)</f>
        <v>0</v>
      </c>
      <c r="I302" s="10" cm="1">
        <f t="array" ref="I302">ROUND(F302*get_Üb(YEAR(A302),$I$8)*E302,2)</f>
        <v>0</v>
      </c>
      <c r="J302" s="10">
        <f t="shared" si="54"/>
        <v>0</v>
      </c>
      <c r="K302" s="10">
        <f t="shared" si="55"/>
        <v>0</v>
      </c>
      <c r="L302" s="10" cm="1">
        <f t="array" ref="L302">ROUND(1/12*MAX(MTSum-R302-K302,MRSum)*Act_qx(x+C302,Geschlecht,getParm(Tarifart,"Tafel"),YEAR(GebDat),x+Dauer,1),2)</f>
        <v>3.37</v>
      </c>
      <c r="M302" s="10" cm="1">
        <f t="array" ref="M302">ROUND(L302*get_Üb(YEAR(A302),$M$8),2)</f>
        <v>0.17</v>
      </c>
      <c r="N302" s="10" cm="1">
        <f t="array" ref="N302">ROUND(R302*getParm(Tarifart,IF(C302&lt;BZDauer,"gamma1","gamma2")),2)</f>
        <v>107.42</v>
      </c>
      <c r="O302" s="10" cm="1">
        <f t="array" ref="O302">ROUND(R302*get_Üb(YEAR(A302),$O$8),2)</f>
        <v>17.899999999999999</v>
      </c>
      <c r="P302" s="19">
        <f t="shared" si="56"/>
        <v>9.6208600893000007</v>
      </c>
      <c r="Q302" s="19" cm="1">
        <f t="array" ref="Q302">ROUND(P302+1/getKurs(EDATE(A302,-1))*(K302-L302-N302-getParm(Tarifart,"StK")+M302+O302),10)*(C302&lt;Dauer)</f>
        <v>9.6156233112000002</v>
      </c>
      <c r="R302" s="10" cm="1">
        <f t="array" ref="R302">ROUND(P302*getKurs($A302),2)</f>
        <v>179026.5</v>
      </c>
      <c r="S302" s="10" cm="1">
        <f t="array" ref="S302">ROUND(Q302*getKurs($A302),2)</f>
        <v>178929.06</v>
      </c>
      <c r="T302" s="10">
        <f t="shared" si="52"/>
        <v>182626.5</v>
      </c>
      <c r="U302" s="10" cm="1">
        <f t="array" ref="U302">getParm(Tarifart,"StoSatz")*(Dauer-C302)*Beitrag*Zahlweise*(C302&lt;BZDauer)</f>
        <v>0</v>
      </c>
      <c r="V302" s="10">
        <f t="shared" si="57"/>
        <v>178929.06</v>
      </c>
    </row>
    <row r="303" spans="1:22" x14ac:dyDescent="0.45">
      <c r="A303" s="15">
        <f t="shared" si="58"/>
        <v>45474</v>
      </c>
      <c r="B303">
        <f t="shared" si="48"/>
        <v>294</v>
      </c>
      <c r="C303">
        <f t="shared" si="53"/>
        <v>24</v>
      </c>
      <c r="D303">
        <f t="shared" si="49"/>
        <v>6</v>
      </c>
      <c r="E303">
        <f t="shared" si="50"/>
        <v>1</v>
      </c>
      <c r="F303" s="10">
        <f t="shared" si="51"/>
        <v>0</v>
      </c>
      <c r="G303" s="10" cm="1">
        <f t="array" ref="G303">ROUND(getParm(Tarifart,"alpha")/(2*Zahlweise)*BeiSum*(C303&lt;2)*E303,2)</f>
        <v>0</v>
      </c>
      <c r="H303" s="10" cm="1">
        <f t="array" ref="H303">ROUND(F303*getParm(Tarifart,"beta")*E303,2)</f>
        <v>0</v>
      </c>
      <c r="I303" s="10" cm="1">
        <f t="array" ref="I303">ROUND(F303*get_Üb(YEAR(A303),$I$8)*E303,2)</f>
        <v>0</v>
      </c>
      <c r="J303" s="10">
        <f t="shared" si="54"/>
        <v>0</v>
      </c>
      <c r="K303" s="10">
        <f t="shared" si="55"/>
        <v>0</v>
      </c>
      <c r="L303" s="10" cm="1">
        <f t="array" ref="L303">ROUND(1/12*MAX(MTSum-R303-K303,MRSum)*Act_qx(x+C303,Geschlecht,getParm(Tarifart,"Tafel"),YEAR(GebDat),x+Dauer,1),2)</f>
        <v>3.37</v>
      </c>
      <c r="M303" s="10" cm="1">
        <f t="array" ref="M303">ROUND(L303*get_Üb(YEAR(A303),$M$8),2)</f>
        <v>0.17</v>
      </c>
      <c r="N303" s="10" cm="1">
        <f t="array" ref="N303">ROUND(R303*getParm(Tarifart,IF(C303&lt;BZDauer,"gamma1","gamma2")),2)</f>
        <v>105.53</v>
      </c>
      <c r="O303" s="10" cm="1">
        <f t="array" ref="O303">ROUND(R303*get_Üb(YEAR(A303),$O$8),2)</f>
        <v>17.59</v>
      </c>
      <c r="P303" s="19">
        <f t="shared" si="56"/>
        <v>9.6156233112000002</v>
      </c>
      <c r="Q303" s="19" cm="1">
        <f t="array" ref="Q303">ROUND(P303+1/getKurs(EDATE(A303,-1))*(K303-L303-N303-getParm(Tarifart,"StK")+M303+O303),10)*(C303&lt;Dauer)</f>
        <v>9.6106717200999991</v>
      </c>
      <c r="R303" s="10" cm="1">
        <f t="array" ref="R303">ROUND(P303*getKurs($A303),2)</f>
        <v>175876.1</v>
      </c>
      <c r="S303" s="10" cm="1">
        <f t="array" ref="S303">ROUND(Q303*getKurs($A303),2)</f>
        <v>175785.53</v>
      </c>
      <c r="T303" s="10">
        <f t="shared" si="52"/>
        <v>179476.1</v>
      </c>
      <c r="U303" s="10" cm="1">
        <f t="array" ref="U303">getParm(Tarifart,"StoSatz")*(Dauer-C303)*Beitrag*Zahlweise*(C303&lt;BZDauer)</f>
        <v>0</v>
      </c>
      <c r="V303" s="10">
        <f t="shared" si="57"/>
        <v>175785.53</v>
      </c>
    </row>
    <row r="304" spans="1:22" x14ac:dyDescent="0.45">
      <c r="A304" s="15">
        <f t="shared" si="58"/>
        <v>45505</v>
      </c>
      <c r="B304">
        <f t="shared" si="48"/>
        <v>295</v>
      </c>
      <c r="C304">
        <f t="shared" si="53"/>
        <v>24</v>
      </c>
      <c r="D304">
        <f t="shared" si="49"/>
        <v>7</v>
      </c>
      <c r="E304">
        <f t="shared" si="50"/>
        <v>1</v>
      </c>
      <c r="F304" s="10">
        <f t="shared" si="51"/>
        <v>0</v>
      </c>
      <c r="G304" s="10" cm="1">
        <f t="array" ref="G304">ROUND(getParm(Tarifart,"alpha")/(2*Zahlweise)*BeiSum*(C304&lt;2)*E304,2)</f>
        <v>0</v>
      </c>
      <c r="H304" s="10" cm="1">
        <f t="array" ref="H304">ROUND(F304*getParm(Tarifart,"beta")*E304,2)</f>
        <v>0</v>
      </c>
      <c r="I304" s="10" cm="1">
        <f t="array" ref="I304">ROUND(F304*get_Üb(YEAR(A304),$I$8)*E304,2)</f>
        <v>0</v>
      </c>
      <c r="J304" s="10">
        <f t="shared" si="54"/>
        <v>0</v>
      </c>
      <c r="K304" s="10">
        <f t="shared" si="55"/>
        <v>0</v>
      </c>
      <c r="L304" s="10" cm="1">
        <f t="array" ref="L304">ROUND(1/12*MAX(MTSum-R304-K304,MRSum)*Act_qx(x+C304,Geschlecht,getParm(Tarifart,"Tafel"),YEAR(GebDat),x+Dauer,1),2)</f>
        <v>3.37</v>
      </c>
      <c r="M304" s="10" cm="1">
        <f t="array" ref="M304">ROUND(L304*get_Üb(YEAR(A304),$M$8),2)</f>
        <v>0.17</v>
      </c>
      <c r="N304" s="10" cm="1">
        <f t="array" ref="N304">ROUND(R304*getParm(Tarifart,IF(C304&lt;BZDauer,"gamma1","gamma2")),2)</f>
        <v>104.27</v>
      </c>
      <c r="O304" s="10" cm="1">
        <f t="array" ref="O304">ROUND(R304*get_Üb(YEAR(A304),$O$8),2)</f>
        <v>17.38</v>
      </c>
      <c r="P304" s="19">
        <f t="shared" si="56"/>
        <v>9.6106717200999991</v>
      </c>
      <c r="Q304" s="19" cm="1">
        <f t="array" ref="Q304">ROUND(P304+1/getKurs(EDATE(A304,-1))*(K304-L304-N304-getParm(Tarifart,"StK")+M304+O304),10)*(C304&lt;Dauer)</f>
        <v>9.6056915827000005</v>
      </c>
      <c r="R304" s="10" cm="1">
        <f t="array" ref="R304">ROUND(P304*getKurs($A304),2)</f>
        <v>173790.26</v>
      </c>
      <c r="S304" s="10" cm="1">
        <f t="array" ref="S304">ROUND(Q304*getKurs($A304),2)</f>
        <v>173700.2</v>
      </c>
      <c r="T304" s="10">
        <f t="shared" si="52"/>
        <v>177390.26</v>
      </c>
      <c r="U304" s="10" cm="1">
        <f t="array" ref="U304">getParm(Tarifart,"StoSatz")*(Dauer-C304)*Beitrag*Zahlweise*(C304&lt;BZDauer)</f>
        <v>0</v>
      </c>
      <c r="V304" s="10">
        <f t="shared" si="57"/>
        <v>173700.2</v>
      </c>
    </row>
    <row r="305" spans="1:22" x14ac:dyDescent="0.45">
      <c r="A305" s="15">
        <f t="shared" si="58"/>
        <v>45536</v>
      </c>
      <c r="B305">
        <f t="shared" si="48"/>
        <v>296</v>
      </c>
      <c r="C305">
        <f t="shared" si="53"/>
        <v>24</v>
      </c>
      <c r="D305">
        <f t="shared" si="49"/>
        <v>8</v>
      </c>
      <c r="E305">
        <f t="shared" si="50"/>
        <v>1</v>
      </c>
      <c r="F305" s="10">
        <f t="shared" si="51"/>
        <v>0</v>
      </c>
      <c r="G305" s="10" cm="1">
        <f t="array" ref="G305">ROUND(getParm(Tarifart,"alpha")/(2*Zahlweise)*BeiSum*(C305&lt;2)*E305,2)</f>
        <v>0</v>
      </c>
      <c r="H305" s="10" cm="1">
        <f t="array" ref="H305">ROUND(F305*getParm(Tarifart,"beta")*E305,2)</f>
        <v>0</v>
      </c>
      <c r="I305" s="10" cm="1">
        <f t="array" ref="I305">ROUND(F305*get_Üb(YEAR(A305),$I$8)*E305,2)</f>
        <v>0</v>
      </c>
      <c r="J305" s="10">
        <f t="shared" si="54"/>
        <v>0</v>
      </c>
      <c r="K305" s="10">
        <f t="shared" si="55"/>
        <v>0</v>
      </c>
      <c r="L305" s="10" cm="1">
        <f t="array" ref="L305">ROUND(1/12*MAX(MTSum-R305-K305,MRSum)*Act_qx(x+C305,Geschlecht,getParm(Tarifart,"Tafel"),YEAR(GebDat),x+Dauer,1),2)</f>
        <v>3.37</v>
      </c>
      <c r="M305" s="10" cm="1">
        <f t="array" ref="M305">ROUND(L305*get_Üb(YEAR(A305),$M$8),2)</f>
        <v>0.17</v>
      </c>
      <c r="N305" s="10" cm="1">
        <f t="array" ref="N305">ROUND(R305*getParm(Tarifart,IF(C305&lt;BZDauer,"gamma1","gamma2")),2)</f>
        <v>109.11</v>
      </c>
      <c r="O305" s="10" cm="1">
        <f t="array" ref="O305">ROUND(R305*get_Üb(YEAR(A305),$O$8),2)</f>
        <v>18.18</v>
      </c>
      <c r="P305" s="19">
        <f t="shared" si="56"/>
        <v>9.6056915827000005</v>
      </c>
      <c r="Q305" s="19" cm="1">
        <f t="array" ref="Q305">ROUND(P305+1/getKurs(EDATE(A305,-1))*(K305-L305-N305-getParm(Tarifart,"StK")+M305+O305),10)*(C305&lt;Dauer)</f>
        <v>9.6004308551000008</v>
      </c>
      <c r="R305" s="10" cm="1">
        <f t="array" ref="R305">ROUND(P305*getKurs($A305),2)</f>
        <v>181843.91</v>
      </c>
      <c r="S305" s="10" cm="1">
        <f t="array" ref="S305">ROUND(Q305*getKurs($A305),2)</f>
        <v>181744.32</v>
      </c>
      <c r="T305" s="10">
        <f t="shared" si="52"/>
        <v>185443.91</v>
      </c>
      <c r="U305" s="10" cm="1">
        <f t="array" ref="U305">getParm(Tarifart,"StoSatz")*(Dauer-C305)*Beitrag*Zahlweise*(C305&lt;BZDauer)</f>
        <v>0</v>
      </c>
      <c r="V305" s="10">
        <f t="shared" si="57"/>
        <v>181744.32</v>
      </c>
    </row>
    <row r="306" spans="1:22" x14ac:dyDescent="0.45">
      <c r="A306" s="15">
        <f t="shared" si="58"/>
        <v>45566</v>
      </c>
      <c r="B306">
        <f t="shared" si="48"/>
        <v>297</v>
      </c>
      <c r="C306">
        <f t="shared" si="53"/>
        <v>24</v>
      </c>
      <c r="D306">
        <f t="shared" si="49"/>
        <v>9</v>
      </c>
      <c r="E306">
        <f t="shared" si="50"/>
        <v>1</v>
      </c>
      <c r="F306" s="10">
        <f t="shared" si="51"/>
        <v>0</v>
      </c>
      <c r="G306" s="10" cm="1">
        <f t="array" ref="G306">ROUND(getParm(Tarifart,"alpha")/(2*Zahlweise)*BeiSum*(C306&lt;2)*E306,2)</f>
        <v>0</v>
      </c>
      <c r="H306" s="10" cm="1">
        <f t="array" ref="H306">ROUND(F306*getParm(Tarifart,"beta")*E306,2)</f>
        <v>0</v>
      </c>
      <c r="I306" s="10" cm="1">
        <f t="array" ref="I306">ROUND(F306*get_Üb(YEAR(A306),$I$8)*E306,2)</f>
        <v>0</v>
      </c>
      <c r="J306" s="10">
        <f t="shared" si="54"/>
        <v>0</v>
      </c>
      <c r="K306" s="10">
        <f t="shared" si="55"/>
        <v>0</v>
      </c>
      <c r="L306" s="10" cm="1">
        <f t="array" ref="L306">ROUND(1/12*MAX(MTSum-R306-K306,MRSum)*Act_qx(x+C306,Geschlecht,getParm(Tarifart,"Tafel"),YEAR(GebDat),x+Dauer,1),2)</f>
        <v>3.37</v>
      </c>
      <c r="M306" s="10" cm="1">
        <f t="array" ref="M306">ROUND(L306*get_Üb(YEAR(A306),$M$8),2)</f>
        <v>0.17</v>
      </c>
      <c r="N306" s="10" cm="1">
        <f t="array" ref="N306">ROUND(R306*getParm(Tarifart,IF(C306&lt;BZDauer,"gamma1","gamma2")),2)</f>
        <v>110.67</v>
      </c>
      <c r="O306" s="10" cm="1">
        <f t="array" ref="O306">ROUND(R306*get_Üb(YEAR(A306),$O$8),2)</f>
        <v>18.45</v>
      </c>
      <c r="P306" s="19">
        <f t="shared" si="56"/>
        <v>9.6004308551000008</v>
      </c>
      <c r="Q306" s="19" cm="1">
        <f t="array" ref="Q306">ROUND(P306+1/getKurs(EDATE(A306,-1))*(K306-L306-N306-getParm(Tarifart,"StK")+M306+O306),10)*(C306&lt;Dauer)</f>
        <v>9.5953375814000008</v>
      </c>
      <c r="R306" s="10" cm="1">
        <f t="array" ref="R306">ROUND(P306*getKurs($A306),2)</f>
        <v>184454.42</v>
      </c>
      <c r="S306" s="10" cm="1">
        <f t="array" ref="S306">ROUND(Q306*getKurs($A306),2)</f>
        <v>184356.56</v>
      </c>
      <c r="T306" s="10">
        <f t="shared" si="52"/>
        <v>188054.42</v>
      </c>
      <c r="U306" s="10" cm="1">
        <f t="array" ref="U306">getParm(Tarifart,"StoSatz")*(Dauer-C306)*Beitrag*Zahlweise*(C306&lt;BZDauer)</f>
        <v>0</v>
      </c>
      <c r="V306" s="10">
        <f t="shared" si="57"/>
        <v>184356.56</v>
      </c>
    </row>
    <row r="307" spans="1:22" x14ac:dyDescent="0.45">
      <c r="A307" s="15">
        <f t="shared" si="58"/>
        <v>45597</v>
      </c>
      <c r="B307">
        <f t="shared" si="48"/>
        <v>298</v>
      </c>
      <c r="C307">
        <f t="shared" si="53"/>
        <v>24</v>
      </c>
      <c r="D307">
        <f t="shared" si="49"/>
        <v>10</v>
      </c>
      <c r="E307">
        <f t="shared" si="50"/>
        <v>1</v>
      </c>
      <c r="F307" s="10">
        <f t="shared" si="51"/>
        <v>0</v>
      </c>
      <c r="G307" s="10" cm="1">
        <f t="array" ref="G307">ROUND(getParm(Tarifart,"alpha")/(2*Zahlweise)*BeiSum*(C307&lt;2)*E307,2)</f>
        <v>0</v>
      </c>
      <c r="H307" s="10" cm="1">
        <f t="array" ref="H307">ROUND(F307*getParm(Tarifart,"beta")*E307,2)</f>
        <v>0</v>
      </c>
      <c r="I307" s="10" cm="1">
        <f t="array" ref="I307">ROUND(F307*get_Üb(YEAR(A307),$I$8)*E307,2)</f>
        <v>0</v>
      </c>
      <c r="J307" s="10">
        <f t="shared" si="54"/>
        <v>0</v>
      </c>
      <c r="K307" s="10">
        <f t="shared" si="55"/>
        <v>0</v>
      </c>
      <c r="L307" s="10" cm="1">
        <f t="array" ref="L307">ROUND(1/12*MAX(MTSum-R307-K307,MRSum)*Act_qx(x+C307,Geschlecht,getParm(Tarifart,"Tafel"),YEAR(GebDat),x+Dauer,1),2)</f>
        <v>3.37</v>
      </c>
      <c r="M307" s="10" cm="1">
        <f t="array" ref="M307">ROUND(L307*get_Üb(YEAR(A307),$M$8),2)</f>
        <v>0.17</v>
      </c>
      <c r="N307" s="10" cm="1">
        <f t="array" ref="N307">ROUND(R307*getParm(Tarifart,IF(C307&lt;BZDauer,"gamma1","gamma2")),2)</f>
        <v>110.85</v>
      </c>
      <c r="O307" s="10" cm="1">
        <f t="array" ref="O307">ROUND(R307*get_Üb(YEAR(A307),$O$8),2)</f>
        <v>18.48</v>
      </c>
      <c r="P307" s="19">
        <f t="shared" si="56"/>
        <v>9.5953375814000008</v>
      </c>
      <c r="Q307" s="19" cm="1">
        <f t="array" ref="Q307">ROUND(P307+1/getKurs(EDATE(A307,-1))*(K307-L307-N307-getParm(Tarifart,"StK")+M307+O307),10)*(C307&lt;Dauer)</f>
        <v>9.5903113337000008</v>
      </c>
      <c r="R307" s="10" cm="1">
        <f t="array" ref="R307">ROUND(P307*getKurs($A307),2)</f>
        <v>184757.94</v>
      </c>
      <c r="S307" s="10" cm="1">
        <f t="array" ref="S307">ROUND(Q307*getKurs($A307),2)</f>
        <v>184661.16</v>
      </c>
      <c r="T307" s="10">
        <f t="shared" si="52"/>
        <v>188357.94</v>
      </c>
      <c r="U307" s="10" cm="1">
        <f t="array" ref="U307">getParm(Tarifart,"StoSatz")*(Dauer-C307)*Beitrag*Zahlweise*(C307&lt;BZDauer)</f>
        <v>0</v>
      </c>
      <c r="V307" s="10">
        <f t="shared" si="57"/>
        <v>184661.16</v>
      </c>
    </row>
    <row r="308" spans="1:22" x14ac:dyDescent="0.45">
      <c r="A308" s="15">
        <f t="shared" si="58"/>
        <v>45627</v>
      </c>
      <c r="B308">
        <f t="shared" si="48"/>
        <v>299</v>
      </c>
      <c r="C308">
        <f t="shared" si="53"/>
        <v>24</v>
      </c>
      <c r="D308">
        <f t="shared" si="49"/>
        <v>11</v>
      </c>
      <c r="E308">
        <f t="shared" si="50"/>
        <v>1</v>
      </c>
      <c r="F308" s="10">
        <f t="shared" si="51"/>
        <v>0</v>
      </c>
      <c r="G308" s="10" cm="1">
        <f t="array" ref="G308">ROUND(getParm(Tarifart,"alpha")/(2*Zahlweise)*BeiSum*(C308&lt;2)*E308,2)</f>
        <v>0</v>
      </c>
      <c r="H308" s="10" cm="1">
        <f t="array" ref="H308">ROUND(F308*getParm(Tarifart,"beta")*E308,2)</f>
        <v>0</v>
      </c>
      <c r="I308" s="10" cm="1">
        <f t="array" ref="I308">ROUND(F308*get_Üb(YEAR(A308),$I$8)*E308,2)</f>
        <v>0</v>
      </c>
      <c r="J308" s="10">
        <f t="shared" si="54"/>
        <v>0</v>
      </c>
      <c r="K308" s="10">
        <f t="shared" si="55"/>
        <v>0</v>
      </c>
      <c r="L308" s="10" cm="1">
        <f t="array" ref="L308">ROUND(1/12*MAX(MTSum-R308-K308,MRSum)*Act_qx(x+C308,Geschlecht,getParm(Tarifart,"Tafel"),YEAR(GebDat),x+Dauer,1),2)</f>
        <v>3.37</v>
      </c>
      <c r="M308" s="10" cm="1">
        <f t="array" ref="M308">ROUND(L308*get_Üb(YEAR(A308),$M$8),2)</f>
        <v>0.17</v>
      </c>
      <c r="N308" s="10" cm="1">
        <f t="array" ref="N308">ROUND(R308*getParm(Tarifart,IF(C308&lt;BZDauer,"gamma1","gamma2")),2)</f>
        <v>114.7</v>
      </c>
      <c r="O308" s="10" cm="1">
        <f t="array" ref="O308">ROUND(R308*get_Üb(YEAR(A308),$O$8),2)</f>
        <v>19.12</v>
      </c>
      <c r="P308" s="19">
        <f t="shared" si="56"/>
        <v>9.5903113337000008</v>
      </c>
      <c r="Q308" s="19" cm="1">
        <f t="array" ref="Q308">ROUND(P308+1/getKurs(EDATE(A308,-1))*(K308-L308-N308-getParm(Tarifart,"StK")+M308+O308),10)*(C308&lt;Dauer)</f>
        <v>9.5851292949999998</v>
      </c>
      <c r="R308" s="10" cm="1">
        <f t="array" ref="R308">ROUND(P308*getKurs($A308),2)</f>
        <v>191169.62</v>
      </c>
      <c r="S308" s="10" cm="1">
        <f t="array" ref="S308">ROUND(Q308*getKurs($A308),2)</f>
        <v>191066.33</v>
      </c>
      <c r="T308" s="10">
        <f t="shared" si="52"/>
        <v>194769.62</v>
      </c>
      <c r="U308" s="10" cm="1">
        <f t="array" ref="U308">getParm(Tarifart,"StoSatz")*(Dauer-C308)*Beitrag*Zahlweise*(C308&lt;BZDauer)</f>
        <v>0</v>
      </c>
      <c r="V308" s="10">
        <f t="shared" si="57"/>
        <v>191066.33</v>
      </c>
    </row>
    <row r="309" spans="1:22" x14ac:dyDescent="0.45">
      <c r="A309" s="15">
        <f t="shared" si="58"/>
        <v>45658</v>
      </c>
      <c r="B309">
        <f t="shared" si="48"/>
        <v>300</v>
      </c>
      <c r="C309">
        <f t="shared" si="53"/>
        <v>25</v>
      </c>
      <c r="D309">
        <f t="shared" si="49"/>
        <v>0</v>
      </c>
      <c r="E309">
        <f t="shared" si="50"/>
        <v>1</v>
      </c>
      <c r="F309" s="10">
        <f t="shared" si="51"/>
        <v>0</v>
      </c>
      <c r="G309" s="10" cm="1">
        <f t="array" ref="G309">ROUND(getParm(Tarifart,"alpha")/(2*Zahlweise)*BeiSum*(C309&lt;2)*E309,2)</f>
        <v>0</v>
      </c>
      <c r="H309" s="10" cm="1">
        <f t="array" ref="H309">ROUND(F309*getParm(Tarifart,"beta")*E309,2)</f>
        <v>0</v>
      </c>
      <c r="I309" s="10" cm="1">
        <f t="array" ref="I309">ROUND(F309*get_Üb(YEAR(A309),$I$8)*E309,2)</f>
        <v>0</v>
      </c>
      <c r="J309" s="10">
        <f t="shared" si="54"/>
        <v>0</v>
      </c>
      <c r="K309" s="10">
        <f t="shared" si="55"/>
        <v>0</v>
      </c>
      <c r="L309" s="10" cm="1">
        <f t="array" ref="L309">ROUND(1/12*MAX(MTSum-R309-K309,MRSum)*Act_qx(x+C309,Geschlecht,getParm(Tarifart,"Tafel"),YEAR(GebDat),x+Dauer,1),2)</f>
        <v>3.7</v>
      </c>
      <c r="M309" s="10" cm="1">
        <f t="array" ref="M309">ROUND(L309*get_Üb(YEAR(A309),$M$8),2)</f>
        <v>0.19</v>
      </c>
      <c r="N309" s="10" cm="1">
        <f t="array" ref="N309">ROUND(R309*getParm(Tarifart,IF(C309&lt;BZDauer,"gamma1","gamma2")),2)</f>
        <v>115.16</v>
      </c>
      <c r="O309" s="10" cm="1">
        <f t="array" ref="O309">ROUND(R309*get_Üb(YEAR(A309),$O$8),2)</f>
        <v>19.190000000000001</v>
      </c>
      <c r="P309" s="19">
        <f t="shared" si="56"/>
        <v>9.5851292949999998</v>
      </c>
      <c r="Q309" s="19" cm="1">
        <f t="array" ref="Q309">ROUND(P309+1/getKurs(EDATE(A309,-1))*(K309-L309-N309-getParm(Tarifart,"StK")+M309+O309),10)*(C309&lt;Dauer)</f>
        <v>9.5800885648000005</v>
      </c>
      <c r="R309" s="10" cm="1">
        <f t="array" ref="R309">ROUND(P309*getKurs($A309),2)</f>
        <v>191938.96</v>
      </c>
      <c r="S309" s="10" cm="1">
        <f t="array" ref="S309">ROUND(Q309*getKurs($A309),2)</f>
        <v>191838.02</v>
      </c>
      <c r="T309" s="10">
        <f t="shared" si="52"/>
        <v>195538.96</v>
      </c>
      <c r="U309" s="10" cm="1">
        <f t="array" ref="U309">getParm(Tarifart,"StoSatz")*(Dauer-C309)*Beitrag*Zahlweise*(C309&lt;BZDauer)</f>
        <v>0</v>
      </c>
      <c r="V309" s="10">
        <f t="shared" si="57"/>
        <v>191838.02</v>
      </c>
    </row>
    <row r="310" spans="1:22" x14ac:dyDescent="0.45">
      <c r="A310" s="15">
        <f t="shared" si="58"/>
        <v>45689</v>
      </c>
      <c r="B310">
        <f t="shared" si="48"/>
        <v>301</v>
      </c>
      <c r="C310">
        <f t="shared" si="53"/>
        <v>25</v>
      </c>
      <c r="D310">
        <f t="shared" si="49"/>
        <v>1</v>
      </c>
      <c r="E310">
        <f t="shared" si="50"/>
        <v>1</v>
      </c>
      <c r="F310" s="10">
        <f t="shared" si="51"/>
        <v>0</v>
      </c>
      <c r="G310" s="10" cm="1">
        <f t="array" ref="G310">ROUND(getParm(Tarifart,"alpha")/(2*Zahlweise)*BeiSum*(C310&lt;2)*E310,2)</f>
        <v>0</v>
      </c>
      <c r="H310" s="10" cm="1">
        <f t="array" ref="H310">ROUND(F310*getParm(Tarifart,"beta")*E310,2)</f>
        <v>0</v>
      </c>
      <c r="I310" s="10" cm="1">
        <f t="array" ref="I310">ROUND(F310*get_Üb(YEAR(A310),$I$8)*E310,2)</f>
        <v>0</v>
      </c>
      <c r="J310" s="10">
        <f t="shared" si="54"/>
        <v>0</v>
      </c>
      <c r="K310" s="10">
        <f t="shared" si="55"/>
        <v>0</v>
      </c>
      <c r="L310" s="10" cm="1">
        <f t="array" ref="L310">ROUND(1/12*MAX(MTSum-R310-K310,MRSum)*Act_qx(x+C310,Geschlecht,getParm(Tarifart,"Tafel"),YEAR(GebDat),x+Dauer,1),2)</f>
        <v>3.7</v>
      </c>
      <c r="M310" s="10" cm="1">
        <f t="array" ref="M310">ROUND(L310*get_Üb(YEAR(A310),$M$8),2)</f>
        <v>0.19</v>
      </c>
      <c r="N310" s="10" cm="1">
        <f t="array" ref="N310">ROUND(R310*getParm(Tarifart,IF(C310&lt;BZDauer,"gamma1","gamma2")),2)</f>
        <v>123.17</v>
      </c>
      <c r="O310" s="10" cm="1">
        <f t="array" ref="O310">ROUND(R310*get_Üb(YEAR(A310),$O$8),2)</f>
        <v>20.53</v>
      </c>
      <c r="P310" s="19">
        <f t="shared" si="56"/>
        <v>9.5800885648000005</v>
      </c>
      <c r="Q310" s="19" cm="1">
        <f t="array" ref="Q310">ROUND(P310+1/getKurs(EDATE(A310,-1))*(K310-L310-N310-getParm(Tarifart,"StK")+M310+O310),10)*(C310&lt;Dauer)</f>
        <v>9.5747376625000005</v>
      </c>
      <c r="R310" s="10" cm="1">
        <f t="array" ref="R310">ROUND(P310*getKurs($A310),2)</f>
        <v>205284.44</v>
      </c>
      <c r="S310" s="10" cm="1">
        <f t="array" ref="S310">ROUND(Q310*getKurs($A310),2)</f>
        <v>205169.78</v>
      </c>
      <c r="T310" s="10">
        <f t="shared" si="52"/>
        <v>208884.44</v>
      </c>
      <c r="U310" s="10" cm="1">
        <f t="array" ref="U310">getParm(Tarifart,"StoSatz")*(Dauer-C310)*Beitrag*Zahlweise*(C310&lt;BZDauer)</f>
        <v>0</v>
      </c>
      <c r="V310" s="10">
        <f t="shared" si="57"/>
        <v>205169.78</v>
      </c>
    </row>
    <row r="311" spans="1:22" x14ac:dyDescent="0.45">
      <c r="A311" s="15">
        <f t="shared" si="58"/>
        <v>45717</v>
      </c>
      <c r="B311">
        <f t="shared" si="48"/>
        <v>302</v>
      </c>
      <c r="C311">
        <f t="shared" si="53"/>
        <v>25</v>
      </c>
      <c r="D311">
        <f t="shared" si="49"/>
        <v>2</v>
      </c>
      <c r="E311">
        <f t="shared" si="50"/>
        <v>1</v>
      </c>
      <c r="F311" s="10">
        <f t="shared" si="51"/>
        <v>0</v>
      </c>
      <c r="G311" s="10" cm="1">
        <f t="array" ref="G311">ROUND(getParm(Tarifart,"alpha")/(2*Zahlweise)*BeiSum*(C311&lt;2)*E311,2)</f>
        <v>0</v>
      </c>
      <c r="H311" s="10" cm="1">
        <f t="array" ref="H311">ROUND(F311*getParm(Tarifart,"beta")*E311,2)</f>
        <v>0</v>
      </c>
      <c r="I311" s="10" cm="1">
        <f t="array" ref="I311">ROUND(F311*get_Üb(YEAR(A311),$I$8)*E311,2)</f>
        <v>0</v>
      </c>
      <c r="J311" s="10">
        <f t="shared" si="54"/>
        <v>0</v>
      </c>
      <c r="K311" s="10">
        <f t="shared" si="55"/>
        <v>0</v>
      </c>
      <c r="L311" s="10" cm="1">
        <f t="array" ref="L311">ROUND(1/12*MAX(MTSum-R311-K311,MRSum)*Act_qx(x+C311,Geschlecht,getParm(Tarifart,"Tafel"),YEAR(GebDat),x+Dauer,1),2)</f>
        <v>3.7</v>
      </c>
      <c r="M311" s="10" cm="1">
        <f t="array" ref="M311">ROUND(L311*get_Üb(YEAR(A311),$M$8),2)</f>
        <v>0.19</v>
      </c>
      <c r="N311" s="10" cm="1">
        <f t="array" ref="N311">ROUND(R311*getParm(Tarifart,IF(C311&lt;BZDauer,"gamma1","gamma2")),2)</f>
        <v>132.97999999999999</v>
      </c>
      <c r="O311" s="10" cm="1">
        <f t="array" ref="O311">ROUND(R311*get_Üb(YEAR(A311),$O$8),2)</f>
        <v>22.16</v>
      </c>
      <c r="P311" s="19">
        <f t="shared" si="56"/>
        <v>9.5747376625000005</v>
      </c>
      <c r="Q311" s="19" cm="1">
        <f t="array" ref="Q311">ROUND(P311+1/getKurs(EDATE(A311,-1))*(K311-L311-N311-getParm(Tarifart,"StK")+M311+O311),10)*(C311&lt;Dauer)</f>
        <v>9.5693555125999996</v>
      </c>
      <c r="R311" s="10" cm="1">
        <f t="array" ref="R311">ROUND(P311*getKurs($A311),2)</f>
        <v>221626.64</v>
      </c>
      <c r="S311" s="10" cm="1">
        <f t="array" ref="S311">ROUND(Q311*getKurs($A311),2)</f>
        <v>221502.06</v>
      </c>
      <c r="T311" s="10">
        <f t="shared" si="52"/>
        <v>225226.64</v>
      </c>
      <c r="U311" s="10" cm="1">
        <f t="array" ref="U311">getParm(Tarifart,"StoSatz")*(Dauer-C311)*Beitrag*Zahlweise*(C311&lt;BZDauer)</f>
        <v>0</v>
      </c>
      <c r="V311" s="10">
        <f t="shared" si="57"/>
        <v>221502.06</v>
      </c>
    </row>
    <row r="312" spans="1:22" x14ac:dyDescent="0.45">
      <c r="A312" s="15">
        <f t="shared" si="58"/>
        <v>45748</v>
      </c>
      <c r="B312">
        <f t="shared" si="48"/>
        <v>303</v>
      </c>
      <c r="C312">
        <f t="shared" si="53"/>
        <v>25</v>
      </c>
      <c r="D312">
        <f t="shared" si="49"/>
        <v>3</v>
      </c>
      <c r="E312">
        <f t="shared" si="50"/>
        <v>1</v>
      </c>
      <c r="F312" s="10">
        <f t="shared" si="51"/>
        <v>0</v>
      </c>
      <c r="G312" s="10" cm="1">
        <f t="array" ref="G312">ROUND(getParm(Tarifart,"alpha")/(2*Zahlweise)*BeiSum*(C312&lt;2)*E312,2)</f>
        <v>0</v>
      </c>
      <c r="H312" s="10" cm="1">
        <f t="array" ref="H312">ROUND(F312*getParm(Tarifart,"beta")*E312,2)</f>
        <v>0</v>
      </c>
      <c r="I312" s="10" cm="1">
        <f t="array" ref="I312">ROUND(F312*get_Üb(YEAR(A312),$I$8)*E312,2)</f>
        <v>0</v>
      </c>
      <c r="J312" s="10">
        <f t="shared" si="54"/>
        <v>0</v>
      </c>
      <c r="K312" s="10">
        <f t="shared" si="55"/>
        <v>0</v>
      </c>
      <c r="L312" s="10" cm="1">
        <f t="array" ref="L312">ROUND(1/12*MAX(MTSum-R312-K312,MRSum)*Act_qx(x+C312,Geschlecht,getParm(Tarifart,"Tafel"),YEAR(GebDat),x+Dauer,1),2)</f>
        <v>3.7</v>
      </c>
      <c r="M312" s="10" cm="1">
        <f t="array" ref="M312">ROUND(L312*get_Üb(YEAR(A312),$M$8),2)</f>
        <v>0.19</v>
      </c>
      <c r="N312" s="10" cm="1">
        <f t="array" ref="N312">ROUND(R312*getParm(Tarifart,IF(C312&lt;BZDauer,"gamma1","gamma2")),2)</f>
        <v>129.41999999999999</v>
      </c>
      <c r="O312" s="10" cm="1">
        <f t="array" ref="O312">ROUND(R312*get_Üb(YEAR(A312),$O$8),2)</f>
        <v>21.57</v>
      </c>
      <c r="P312" s="19">
        <f t="shared" si="56"/>
        <v>9.5693555125999996</v>
      </c>
      <c r="Q312" s="19" cm="1">
        <f t="array" ref="Q312">ROUND(P312+1/getKurs(EDATE(A312,-1))*(K312-L312-N312-getParm(Tarifart,"StK")+M312+O312),10)*(C312&lt;Dauer)</f>
        <v>9.5645013240000001</v>
      </c>
      <c r="R312" s="10" cm="1">
        <f t="array" ref="R312">ROUND(P312*getKurs($A312),2)</f>
        <v>215693.08</v>
      </c>
      <c r="S312" s="10" cm="1">
        <f t="array" ref="S312">ROUND(Q312*getKurs($A312),2)</f>
        <v>215583.67</v>
      </c>
      <c r="T312" s="10">
        <f t="shared" si="52"/>
        <v>219293.08</v>
      </c>
      <c r="U312" s="10" cm="1">
        <f t="array" ref="U312">getParm(Tarifart,"StoSatz")*(Dauer-C312)*Beitrag*Zahlweise*(C312&lt;BZDauer)</f>
        <v>0</v>
      </c>
      <c r="V312" s="10">
        <f t="shared" si="57"/>
        <v>215583.67</v>
      </c>
    </row>
    <row r="313" spans="1:22" x14ac:dyDescent="0.45">
      <c r="A313" s="15">
        <f t="shared" si="58"/>
        <v>45778</v>
      </c>
      <c r="B313">
        <f t="shared" si="48"/>
        <v>304</v>
      </c>
      <c r="C313">
        <f t="shared" si="53"/>
        <v>25</v>
      </c>
      <c r="D313">
        <f t="shared" si="49"/>
        <v>4</v>
      </c>
      <c r="E313">
        <f t="shared" si="50"/>
        <v>1</v>
      </c>
      <c r="F313" s="10">
        <f t="shared" si="51"/>
        <v>0</v>
      </c>
      <c r="G313" s="10" cm="1">
        <f t="array" ref="G313">ROUND(getParm(Tarifart,"alpha")/(2*Zahlweise)*BeiSum*(C313&lt;2)*E313,2)</f>
        <v>0</v>
      </c>
      <c r="H313" s="10" cm="1">
        <f t="array" ref="H313">ROUND(F313*getParm(Tarifart,"beta")*E313,2)</f>
        <v>0</v>
      </c>
      <c r="I313" s="10" cm="1">
        <f t="array" ref="I313">ROUND(F313*get_Üb(YEAR(A313),$I$8)*E313,2)</f>
        <v>0</v>
      </c>
      <c r="J313" s="10">
        <f t="shared" si="54"/>
        <v>0</v>
      </c>
      <c r="K313" s="10">
        <f t="shared" si="55"/>
        <v>0</v>
      </c>
      <c r="L313" s="10" cm="1">
        <f t="array" ref="L313">ROUND(1/12*MAX(MTSum-R313-K313,MRSum)*Act_qx(x+C313,Geschlecht,getParm(Tarifart,"Tafel"),YEAR(GebDat),x+Dauer,1),2)</f>
        <v>3.7</v>
      </c>
      <c r="M313" s="10" cm="1">
        <f t="array" ref="M313">ROUND(L313*get_Üb(YEAR(A313),$M$8),2)</f>
        <v>0.19</v>
      </c>
      <c r="N313" s="10" cm="1">
        <f t="array" ref="N313">ROUND(R313*getParm(Tarifart,IF(C313&lt;BZDauer,"gamma1","gamma2")),2)</f>
        <v>132.49</v>
      </c>
      <c r="O313" s="10" cm="1">
        <f t="array" ref="O313">ROUND(R313*get_Üb(YEAR(A313),$O$8),2)</f>
        <v>22.08</v>
      </c>
      <c r="P313" s="19">
        <f t="shared" si="56"/>
        <v>9.5645013240000001</v>
      </c>
      <c r="Q313" s="19" cm="1">
        <f t="array" ref="Q313">ROUND(P313+1/getKurs(EDATE(A313,-1))*(K313-L313-N313-getParm(Tarifart,"StK")+M313+O313),10)*(C313&lt;Dauer)</f>
        <v>9.5594028278999996</v>
      </c>
      <c r="R313" s="10" cm="1">
        <f t="array" ref="R313">ROUND(P313*getKurs($A313),2)</f>
        <v>220812.29</v>
      </c>
      <c r="S313" s="10" cm="1">
        <f t="array" ref="S313">ROUND(Q313*getKurs($A313),2)</f>
        <v>220694.59</v>
      </c>
      <c r="T313" s="10">
        <f t="shared" si="52"/>
        <v>224412.29</v>
      </c>
      <c r="U313" s="10" cm="1">
        <f t="array" ref="U313">getParm(Tarifart,"StoSatz")*(Dauer-C313)*Beitrag*Zahlweise*(C313&lt;BZDauer)</f>
        <v>0</v>
      </c>
      <c r="V313" s="10">
        <f t="shared" si="57"/>
        <v>220694.59</v>
      </c>
    </row>
    <row r="314" spans="1:22" x14ac:dyDescent="0.45">
      <c r="A314" s="15">
        <f t="shared" si="58"/>
        <v>45809</v>
      </c>
      <c r="B314">
        <f t="shared" ref="B314:B377" si="59">B313+1</f>
        <v>305</v>
      </c>
      <c r="C314">
        <f t="shared" si="53"/>
        <v>25</v>
      </c>
      <c r="D314">
        <f t="shared" ref="D314:D377" si="60">MOD(B314,12)</f>
        <v>5</v>
      </c>
      <c r="E314">
        <f t="shared" si="50"/>
        <v>1</v>
      </c>
      <c r="F314" s="10">
        <f t="shared" si="51"/>
        <v>0</v>
      </c>
      <c r="G314" s="10" cm="1">
        <f t="array" ref="G314">ROUND(getParm(Tarifart,"alpha")/(2*Zahlweise)*BeiSum*(C314&lt;2)*E314,2)</f>
        <v>0</v>
      </c>
      <c r="H314" s="10" cm="1">
        <f t="array" ref="H314">ROUND(F314*getParm(Tarifart,"beta")*E314,2)</f>
        <v>0</v>
      </c>
      <c r="I314" s="10" cm="1">
        <f t="array" ref="I314">ROUND(F314*get_Üb(YEAR(A314),$I$8)*E314,2)</f>
        <v>0</v>
      </c>
      <c r="J314" s="10">
        <f t="shared" si="54"/>
        <v>0</v>
      </c>
      <c r="K314" s="10">
        <f t="shared" si="55"/>
        <v>0</v>
      </c>
      <c r="L314" s="10" cm="1">
        <f t="array" ref="L314">ROUND(1/12*MAX(MTSum-R314-K314,MRSum)*Act_qx(x+C314,Geschlecht,getParm(Tarifart,"Tafel"),YEAR(GebDat),x+Dauer,1),2)</f>
        <v>3.7</v>
      </c>
      <c r="M314" s="10" cm="1">
        <f t="array" ref="M314">ROUND(L314*get_Üb(YEAR(A314),$M$8),2)</f>
        <v>0.19</v>
      </c>
      <c r="N314" s="10" cm="1">
        <f t="array" ref="N314">ROUND(R314*getParm(Tarifart,IF(C314&lt;BZDauer,"gamma1","gamma2")),2)</f>
        <v>137.26</v>
      </c>
      <c r="O314" s="10" cm="1">
        <f t="array" ref="O314">ROUND(R314*get_Üb(YEAR(A314),$O$8),2)</f>
        <v>22.88</v>
      </c>
      <c r="P314" s="19">
        <f t="shared" si="56"/>
        <v>9.5594028278999996</v>
      </c>
      <c r="Q314" s="19" cm="1">
        <f t="array" ref="Q314">ROUND(P314+1/getKurs(EDATE(A314,-1))*(K314-L314-N314-getParm(Tarifart,"StK")+M314+O314),10)*(C314&lt;Dauer)</f>
        <v>9.5542530985000003</v>
      </c>
      <c r="R314" s="10" cm="1">
        <f t="array" ref="R314">ROUND(P314*getKurs($A314),2)</f>
        <v>228762.91</v>
      </c>
      <c r="S314" s="10" cm="1">
        <f t="array" ref="S314">ROUND(Q314*getKurs($A314),2)</f>
        <v>228639.68</v>
      </c>
      <c r="T314" s="10">
        <f t="shared" si="52"/>
        <v>232362.91</v>
      </c>
      <c r="U314" s="10" cm="1">
        <f t="array" ref="U314">getParm(Tarifart,"StoSatz")*(Dauer-C314)*Beitrag*Zahlweise*(C314&lt;BZDauer)</f>
        <v>0</v>
      </c>
      <c r="V314" s="10">
        <f t="shared" si="57"/>
        <v>228639.68</v>
      </c>
    </row>
    <row r="315" spans="1:22" x14ac:dyDescent="0.45">
      <c r="A315" s="15">
        <f t="shared" si="58"/>
        <v>45839</v>
      </c>
      <c r="B315">
        <f t="shared" si="59"/>
        <v>306</v>
      </c>
      <c r="C315">
        <f t="shared" si="53"/>
        <v>25</v>
      </c>
      <c r="D315">
        <f t="shared" si="60"/>
        <v>6</v>
      </c>
      <c r="E315">
        <f t="shared" si="50"/>
        <v>1</v>
      </c>
      <c r="F315" s="10">
        <f t="shared" si="51"/>
        <v>0</v>
      </c>
      <c r="G315" s="10" cm="1">
        <f t="array" ref="G315">ROUND(getParm(Tarifart,"alpha")/(2*Zahlweise)*BeiSum*(C315&lt;2)*E315,2)</f>
        <v>0</v>
      </c>
      <c r="H315" s="10" cm="1">
        <f t="array" ref="H315">ROUND(F315*getParm(Tarifart,"beta")*E315,2)</f>
        <v>0</v>
      </c>
      <c r="I315" s="10" cm="1">
        <f t="array" ref="I315">ROUND(F315*get_Üb(YEAR(A315),$I$8)*E315,2)</f>
        <v>0</v>
      </c>
      <c r="J315" s="10">
        <f t="shared" si="54"/>
        <v>0</v>
      </c>
      <c r="K315" s="10">
        <f t="shared" si="55"/>
        <v>0</v>
      </c>
      <c r="L315" s="10" cm="1">
        <f t="array" ref="L315">ROUND(1/12*MAX(MTSum-R315-K315,MRSum)*Act_qx(x+C315,Geschlecht,getParm(Tarifart,"Tafel"),YEAR(GebDat),x+Dauer,1),2)</f>
        <v>3.7</v>
      </c>
      <c r="M315" s="10" cm="1">
        <f t="array" ref="M315">ROUND(L315*get_Üb(YEAR(A315),$M$8),2)</f>
        <v>0.19</v>
      </c>
      <c r="N315" s="10" cm="1">
        <f t="array" ref="N315">ROUND(R315*getParm(Tarifart,IF(C315&lt;BZDauer,"gamma1","gamma2")),2)</f>
        <v>135.71</v>
      </c>
      <c r="O315" s="10" cm="1">
        <f t="array" ref="O315">ROUND(R315*get_Üb(YEAR(A315),$O$8),2)</f>
        <v>22.62</v>
      </c>
      <c r="P315" s="19">
        <f t="shared" si="56"/>
        <v>9.5542530985000003</v>
      </c>
      <c r="Q315" s="19" cm="1">
        <f t="array" ref="Q315">ROUND(P315+1/getKurs(EDATE(A315,-1))*(K315-L315-N315-getParm(Tarifart,"StK")+M315+O315),10)*(C315&lt;Dauer)</f>
        <v>9.5493389026000006</v>
      </c>
      <c r="R315" s="10" cm="1">
        <f t="array" ref="R315">ROUND(P315*getKurs($A315),2)</f>
        <v>226180.6</v>
      </c>
      <c r="S315" s="10" cm="1">
        <f t="array" ref="S315">ROUND(Q315*getKurs($A315),2)</f>
        <v>226064.27</v>
      </c>
      <c r="T315" s="10">
        <f t="shared" si="52"/>
        <v>229780.6</v>
      </c>
      <c r="U315" s="10" cm="1">
        <f t="array" ref="U315">getParm(Tarifart,"StoSatz")*(Dauer-C315)*Beitrag*Zahlweise*(C315&lt;BZDauer)</f>
        <v>0</v>
      </c>
      <c r="V315" s="10">
        <f t="shared" si="57"/>
        <v>226064.27</v>
      </c>
    </row>
    <row r="316" spans="1:22" x14ac:dyDescent="0.45">
      <c r="A316" s="15">
        <f t="shared" si="58"/>
        <v>45870</v>
      </c>
      <c r="B316">
        <f t="shared" si="59"/>
        <v>307</v>
      </c>
      <c r="C316">
        <f t="shared" si="53"/>
        <v>25</v>
      </c>
      <c r="D316">
        <f t="shared" si="60"/>
        <v>7</v>
      </c>
      <c r="E316">
        <f t="shared" si="50"/>
        <v>1</v>
      </c>
      <c r="F316" s="10">
        <f t="shared" si="51"/>
        <v>0</v>
      </c>
      <c r="G316" s="10" cm="1">
        <f t="array" ref="G316">ROUND(getParm(Tarifart,"alpha")/(2*Zahlweise)*BeiSum*(C316&lt;2)*E316,2)</f>
        <v>0</v>
      </c>
      <c r="H316" s="10" cm="1">
        <f t="array" ref="H316">ROUND(F316*getParm(Tarifart,"beta")*E316,2)</f>
        <v>0</v>
      </c>
      <c r="I316" s="10" cm="1">
        <f t="array" ref="I316">ROUND(F316*get_Üb(YEAR(A316),$I$8)*E316,2)</f>
        <v>0</v>
      </c>
      <c r="J316" s="10">
        <f t="shared" si="54"/>
        <v>0</v>
      </c>
      <c r="K316" s="10">
        <f t="shared" si="55"/>
        <v>0</v>
      </c>
      <c r="L316" s="10" cm="1">
        <f t="array" ref="L316">ROUND(1/12*MAX(MTSum-R316-K316,MRSum)*Act_qx(x+C316,Geschlecht,getParm(Tarifart,"Tafel"),YEAR(GebDat),x+Dauer,1),2)</f>
        <v>3.7</v>
      </c>
      <c r="M316" s="10" cm="1">
        <f t="array" ref="M316">ROUND(L316*get_Üb(YEAR(A316),$M$8),2)</f>
        <v>0.19</v>
      </c>
      <c r="N316" s="10" cm="1">
        <f t="array" ref="N316">ROUND(R316*getParm(Tarifart,IF(C316&lt;BZDauer,"gamma1","gamma2")),2)</f>
        <v>134.22</v>
      </c>
      <c r="O316" s="10" cm="1">
        <f t="array" ref="O316">ROUND(R316*get_Üb(YEAR(A316),$O$8),2)</f>
        <v>22.37</v>
      </c>
      <c r="P316" s="19">
        <f t="shared" si="56"/>
        <v>9.5493389026000006</v>
      </c>
      <c r="Q316" s="19" cm="1">
        <f t="array" ref="Q316">ROUND(P316+1/getKurs(EDATE(A316,-1))*(K316-L316-N316-getParm(Tarifart,"StK")+M316+O316),10)*(C316&lt;Dauer)</f>
        <v>9.5444236584999995</v>
      </c>
      <c r="R316" s="10" cm="1">
        <f t="array" ref="R316">ROUND(P316*getKurs($A316),2)</f>
        <v>223702.53</v>
      </c>
      <c r="S316" s="10" cm="1">
        <f t="array" ref="S316">ROUND(Q316*getKurs($A316),2)</f>
        <v>223587.38</v>
      </c>
      <c r="T316" s="10">
        <f t="shared" si="52"/>
        <v>227302.53</v>
      </c>
      <c r="U316" s="10" cm="1">
        <f t="array" ref="U316">getParm(Tarifart,"StoSatz")*(Dauer-C316)*Beitrag*Zahlweise*(C316&lt;BZDauer)</f>
        <v>0</v>
      </c>
      <c r="V316" s="10">
        <f t="shared" si="57"/>
        <v>223587.38</v>
      </c>
    </row>
    <row r="317" spans="1:22" x14ac:dyDescent="0.45">
      <c r="A317" s="15">
        <f t="shared" si="58"/>
        <v>45901</v>
      </c>
      <c r="B317">
        <f t="shared" si="59"/>
        <v>308</v>
      </c>
      <c r="C317">
        <f t="shared" si="53"/>
        <v>25</v>
      </c>
      <c r="D317">
        <f t="shared" si="60"/>
        <v>8</v>
      </c>
      <c r="E317">
        <f t="shared" si="50"/>
        <v>1</v>
      </c>
      <c r="F317" s="10">
        <f t="shared" si="51"/>
        <v>0</v>
      </c>
      <c r="G317" s="10" cm="1">
        <f t="array" ref="G317">ROUND(getParm(Tarifart,"alpha")/(2*Zahlweise)*BeiSum*(C317&lt;2)*E317,2)</f>
        <v>0</v>
      </c>
      <c r="H317" s="10" cm="1">
        <f t="array" ref="H317">ROUND(F317*getParm(Tarifart,"beta")*E317,2)</f>
        <v>0</v>
      </c>
      <c r="I317" s="10" cm="1">
        <f t="array" ref="I317">ROUND(F317*get_Üb(YEAR(A317),$I$8)*E317,2)</f>
        <v>0</v>
      </c>
      <c r="J317" s="10">
        <f t="shared" si="54"/>
        <v>0</v>
      </c>
      <c r="K317" s="10">
        <f t="shared" si="55"/>
        <v>0</v>
      </c>
      <c r="L317" s="10" cm="1">
        <f t="array" ref="L317">ROUND(1/12*MAX(MTSum-R317-K317,MRSum)*Act_qx(x+C317,Geschlecht,getParm(Tarifart,"Tafel"),YEAR(GebDat),x+Dauer,1),2)</f>
        <v>3.7</v>
      </c>
      <c r="M317" s="10" cm="1">
        <f t="array" ref="M317">ROUND(L317*get_Üb(YEAR(A317),$M$8),2)</f>
        <v>0.19</v>
      </c>
      <c r="N317" s="10" cm="1">
        <f t="array" ref="N317">ROUND(R317*getParm(Tarifart,IF(C317&lt;BZDauer,"gamma1","gamma2")),2)</f>
        <v>137.65</v>
      </c>
      <c r="O317" s="10" cm="1">
        <f t="array" ref="O317">ROUND(R317*get_Üb(YEAR(A317),$O$8),2)</f>
        <v>22.94</v>
      </c>
      <c r="P317" s="19">
        <f t="shared" si="56"/>
        <v>9.5444236584999995</v>
      </c>
      <c r="Q317" s="19" cm="1">
        <f t="array" ref="Q317">ROUND(P317+1/getKurs(EDATE(A317,-1))*(K317-L317-N317-getParm(Tarifart,"StK")+M317+O317),10)*(C317&lt;Dauer)</f>
        <v>9.5393344349000007</v>
      </c>
      <c r="R317" s="10" cm="1">
        <f t="array" ref="R317">ROUND(P317*getKurs($A317),2)</f>
        <v>229422.46</v>
      </c>
      <c r="S317" s="10" cm="1">
        <f t="array" ref="S317">ROUND(Q317*getKurs($A317),2)</f>
        <v>229300.13</v>
      </c>
      <c r="T317" s="10">
        <f t="shared" si="52"/>
        <v>233022.46</v>
      </c>
      <c r="U317" s="10" cm="1">
        <f t="array" ref="U317">getParm(Tarifart,"StoSatz")*(Dauer-C317)*Beitrag*Zahlweise*(C317&lt;BZDauer)</f>
        <v>0</v>
      </c>
      <c r="V317" s="10">
        <f t="shared" si="57"/>
        <v>229300.13</v>
      </c>
    </row>
    <row r="318" spans="1:22" x14ac:dyDescent="0.45">
      <c r="A318" s="15">
        <f t="shared" si="58"/>
        <v>45931</v>
      </c>
      <c r="B318">
        <f t="shared" si="59"/>
        <v>309</v>
      </c>
      <c r="C318">
        <f t="shared" si="53"/>
        <v>25</v>
      </c>
      <c r="D318">
        <f t="shared" si="60"/>
        <v>9</v>
      </c>
      <c r="E318">
        <f t="shared" si="50"/>
        <v>1</v>
      </c>
      <c r="F318" s="10">
        <f t="shared" si="51"/>
        <v>0</v>
      </c>
      <c r="G318" s="10" cm="1">
        <f t="array" ref="G318">ROUND(getParm(Tarifart,"alpha")/(2*Zahlweise)*BeiSum*(C318&lt;2)*E318,2)</f>
        <v>0</v>
      </c>
      <c r="H318" s="10" cm="1">
        <f t="array" ref="H318">ROUND(F318*getParm(Tarifart,"beta")*E318,2)</f>
        <v>0</v>
      </c>
      <c r="I318" s="10" cm="1">
        <f t="array" ref="I318">ROUND(F318*get_Üb(YEAR(A318),$I$8)*E318,2)</f>
        <v>0</v>
      </c>
      <c r="J318" s="10">
        <f t="shared" si="54"/>
        <v>0</v>
      </c>
      <c r="K318" s="10">
        <f t="shared" si="55"/>
        <v>0</v>
      </c>
      <c r="L318" s="10" cm="1">
        <f t="array" ref="L318">ROUND(1/12*MAX(MTSum-R318-K318,MRSum)*Act_qx(x+C318,Geschlecht,getParm(Tarifart,"Tafel"),YEAR(GebDat),x+Dauer,1),2)</f>
        <v>3.7</v>
      </c>
      <c r="M318" s="10" cm="1">
        <f t="array" ref="M318">ROUND(L318*get_Üb(YEAR(A318),$M$8),2)</f>
        <v>0.19</v>
      </c>
      <c r="N318" s="10" cm="1">
        <f t="array" ref="N318">ROUND(R318*getParm(Tarifart,IF(C318&lt;BZDauer,"gamma1","gamma2")),2)</f>
        <v>138.02000000000001</v>
      </c>
      <c r="O318" s="10" cm="1">
        <f t="array" ref="O318">ROUND(R318*get_Üb(YEAR(A318),$O$8),2)</f>
        <v>23</v>
      </c>
      <c r="P318" s="19">
        <f t="shared" si="56"/>
        <v>9.5393344349000007</v>
      </c>
      <c r="Q318" s="19" cm="1">
        <f t="array" ref="Q318">ROUND(P318+1/getKurs(EDATE(A318,-1))*(K318-L318-N318-getParm(Tarifart,"StK")+M318+O318),10)*(C318&lt;Dauer)</f>
        <v>9.5343617528000006</v>
      </c>
      <c r="R318" s="10" cm="1">
        <f t="array" ref="R318">ROUND(P318*getKurs($A318),2)</f>
        <v>230027.89</v>
      </c>
      <c r="S318" s="10" cm="1">
        <f t="array" ref="S318">ROUND(Q318*getKurs($A318),2)</f>
        <v>229907.98</v>
      </c>
      <c r="T318" s="10">
        <f t="shared" si="52"/>
        <v>233627.89</v>
      </c>
      <c r="U318" s="10" cm="1">
        <f t="array" ref="U318">getParm(Tarifart,"StoSatz")*(Dauer-C318)*Beitrag*Zahlweise*(C318&lt;BZDauer)</f>
        <v>0</v>
      </c>
      <c r="V318" s="10">
        <f t="shared" si="57"/>
        <v>229907.98</v>
      </c>
    </row>
    <row r="319" spans="1:22" x14ac:dyDescent="0.45">
      <c r="A319" s="15">
        <f t="shared" si="58"/>
        <v>45962</v>
      </c>
      <c r="B319">
        <f t="shared" si="59"/>
        <v>310</v>
      </c>
      <c r="C319">
        <f t="shared" si="53"/>
        <v>25</v>
      </c>
      <c r="D319">
        <f t="shared" si="60"/>
        <v>10</v>
      </c>
      <c r="E319">
        <f t="shared" si="50"/>
        <v>1</v>
      </c>
      <c r="F319" s="10">
        <f t="shared" si="51"/>
        <v>0</v>
      </c>
      <c r="G319" s="10" cm="1">
        <f t="array" ref="G319">ROUND(getParm(Tarifart,"alpha")/(2*Zahlweise)*BeiSum*(C319&lt;2)*E319,2)</f>
        <v>0</v>
      </c>
      <c r="H319" s="10" cm="1">
        <f t="array" ref="H319">ROUND(F319*getParm(Tarifart,"beta")*E319,2)</f>
        <v>0</v>
      </c>
      <c r="I319" s="10" cm="1">
        <f t="array" ref="I319">ROUND(F319*get_Üb(YEAR(A319),$I$8)*E319,2)</f>
        <v>0</v>
      </c>
      <c r="J319" s="10">
        <f t="shared" si="54"/>
        <v>0</v>
      </c>
      <c r="K319" s="10">
        <f t="shared" si="55"/>
        <v>0</v>
      </c>
      <c r="L319" s="10" cm="1">
        <f t="array" ref="L319">ROUND(1/12*MAX(MTSum-R319-K319,MRSum)*Act_qx(x+C319,Geschlecht,getParm(Tarifart,"Tafel"),YEAR(GebDat),x+Dauer,1),2)</f>
        <v>3.7</v>
      </c>
      <c r="M319" s="10" cm="1">
        <f t="array" ref="M319">ROUND(L319*get_Üb(YEAR(A319),$M$8),2)</f>
        <v>0.19</v>
      </c>
      <c r="N319" s="10" cm="1">
        <f t="array" ref="N319">ROUND(R319*getParm(Tarifart,IF(C319&lt;BZDauer,"gamma1","gamma2")),2)</f>
        <v>138.05000000000001</v>
      </c>
      <c r="O319" s="10" cm="1">
        <f t="array" ref="O319">ROUND(R319*get_Üb(YEAR(A319),$O$8),2)</f>
        <v>23.01</v>
      </c>
      <c r="P319" s="19">
        <f t="shared" si="56"/>
        <v>9.5343617528000006</v>
      </c>
      <c r="Q319" s="19" cm="1">
        <f t="array" ref="Q319">ROUND(P319+1/getKurs(EDATE(A319,-1))*(K319-L319-N319-getParm(Tarifart,"StK")+M319+O319),10)*(C319&lt;Dauer)</f>
        <v>9.5294039737999992</v>
      </c>
      <c r="R319" s="10" cm="1">
        <f t="array" ref="R319">ROUND(P319*getKurs($A319),2)</f>
        <v>230087.13</v>
      </c>
      <c r="S319" s="10" cm="1">
        <f t="array" ref="S319">ROUND(Q319*getKurs($A319),2)</f>
        <v>229967.48</v>
      </c>
      <c r="T319" s="10">
        <f t="shared" si="52"/>
        <v>233687.13</v>
      </c>
      <c r="U319" s="10" cm="1">
        <f t="array" ref="U319">getParm(Tarifart,"StoSatz")*(Dauer-C319)*Beitrag*Zahlweise*(C319&lt;BZDauer)</f>
        <v>0</v>
      </c>
      <c r="V319" s="10">
        <f t="shared" si="57"/>
        <v>229967.48</v>
      </c>
    </row>
    <row r="320" spans="1:22" x14ac:dyDescent="0.45">
      <c r="A320" s="15">
        <f t="shared" si="58"/>
        <v>45992</v>
      </c>
      <c r="B320">
        <f t="shared" si="59"/>
        <v>311</v>
      </c>
      <c r="C320">
        <f t="shared" si="53"/>
        <v>25</v>
      </c>
      <c r="D320">
        <f t="shared" si="60"/>
        <v>11</v>
      </c>
      <c r="E320">
        <f t="shared" si="50"/>
        <v>1</v>
      </c>
      <c r="F320" s="10">
        <f t="shared" si="51"/>
        <v>0</v>
      </c>
      <c r="G320" s="10" cm="1">
        <f t="array" ref="G320">ROUND(getParm(Tarifart,"alpha")/(2*Zahlweise)*BeiSum*(C320&lt;2)*E320,2)</f>
        <v>0</v>
      </c>
      <c r="H320" s="10" cm="1">
        <f t="array" ref="H320">ROUND(F320*getParm(Tarifart,"beta")*E320,2)</f>
        <v>0</v>
      </c>
      <c r="I320" s="10" cm="1">
        <f t="array" ref="I320">ROUND(F320*get_Üb(YEAR(A320),$I$8)*E320,2)</f>
        <v>0</v>
      </c>
      <c r="J320" s="10">
        <f t="shared" si="54"/>
        <v>0</v>
      </c>
      <c r="K320" s="10">
        <f t="shared" si="55"/>
        <v>0</v>
      </c>
      <c r="L320" s="10" cm="1">
        <f t="array" ref="L320">ROUND(1/12*MAX(MTSum-R320-K320,MRSum)*Act_qx(x+C320,Geschlecht,getParm(Tarifart,"Tafel"),YEAR(GebDat),x+Dauer,1),2)</f>
        <v>3.7</v>
      </c>
      <c r="M320" s="10" cm="1">
        <f t="array" ref="M320">ROUND(L320*get_Üb(YEAR(A320),$M$8),2)</f>
        <v>0.19</v>
      </c>
      <c r="N320" s="10" cm="1">
        <f t="array" ref="N320">ROUND(R320*getParm(Tarifart,IF(C320&lt;BZDauer,"gamma1","gamma2")),2)</f>
        <v>134.88</v>
      </c>
      <c r="O320" s="10" cm="1">
        <f t="array" ref="O320">ROUND(R320*get_Üb(YEAR(A320),$O$8),2)</f>
        <v>22.48</v>
      </c>
      <c r="P320" s="19">
        <f t="shared" si="56"/>
        <v>9.5294039737999992</v>
      </c>
      <c r="Q320" s="19" cm="1">
        <f t="array" ref="Q320">ROUND(P320+1/getKurs(EDATE(A320,-1))*(K320-L320-N320-getParm(Tarifart,"StK")+M320+O320),10)*(C320&lt;Dauer)</f>
        <v>9.5245594514</v>
      </c>
      <c r="R320" s="10" cm="1">
        <f t="array" ref="R320">ROUND(P320*getKurs($A320),2)</f>
        <v>224793.3</v>
      </c>
      <c r="S320" s="10" cm="1">
        <f t="array" ref="S320">ROUND(Q320*getKurs($A320),2)</f>
        <v>224679.02</v>
      </c>
      <c r="T320" s="10">
        <f t="shared" si="52"/>
        <v>228393.3</v>
      </c>
      <c r="U320" s="10" cm="1">
        <f t="array" ref="U320">getParm(Tarifart,"StoSatz")*(Dauer-C320)*Beitrag*Zahlweise*(C320&lt;BZDauer)</f>
        <v>0</v>
      </c>
      <c r="V320" s="10">
        <f t="shared" si="57"/>
        <v>224679.02</v>
      </c>
    </row>
    <row r="321" spans="1:22" x14ac:dyDescent="0.45">
      <c r="A321" s="15">
        <f t="shared" si="58"/>
        <v>46023</v>
      </c>
      <c r="B321">
        <f t="shared" si="59"/>
        <v>312</v>
      </c>
      <c r="C321">
        <f t="shared" si="53"/>
        <v>26</v>
      </c>
      <c r="D321">
        <f t="shared" si="60"/>
        <v>0</v>
      </c>
      <c r="E321">
        <f t="shared" si="50"/>
        <v>1</v>
      </c>
      <c r="F321" s="10">
        <f t="shared" si="51"/>
        <v>0</v>
      </c>
      <c r="G321" s="10" cm="1">
        <f t="array" ref="G321">ROUND(getParm(Tarifart,"alpha")/(2*Zahlweise)*BeiSum*(C321&lt;2)*E321,2)</f>
        <v>0</v>
      </c>
      <c r="H321" s="10" cm="1">
        <f t="array" ref="H321">ROUND(F321*getParm(Tarifart,"beta")*E321,2)</f>
        <v>0</v>
      </c>
      <c r="I321" s="10" cm="1">
        <f t="array" ref="I321">ROUND(F321*get_Üb(YEAR(A321),$I$8)*E321,2)</f>
        <v>0</v>
      </c>
      <c r="J321" s="10">
        <f t="shared" si="54"/>
        <v>0</v>
      </c>
      <c r="K321" s="10">
        <f t="shared" si="55"/>
        <v>0</v>
      </c>
      <c r="L321" s="10" cm="1">
        <f t="array" ref="L321">ROUND(1/12*MAX(MTSum-R321-K321,MRSum)*Act_qx(x+C321,Geschlecht,getParm(Tarifart,"Tafel"),YEAR(GebDat),x+Dauer,1),2)</f>
        <v>4.0599999999999996</v>
      </c>
      <c r="M321" s="10" cm="1">
        <f t="array" ref="M321">ROUND(L321*get_Üb(YEAR(A321),$M$8),2)</f>
        <v>0.2</v>
      </c>
      <c r="N321" s="10" cm="1">
        <f t="array" ref="N321">ROUND(R321*getParm(Tarifart,IF(C321&lt;BZDauer,"gamma1","gamma2")),2)</f>
        <v>140.24</v>
      </c>
      <c r="O321" s="10" cm="1">
        <f t="array" ref="O321">ROUND(R321*get_Üb(YEAR(A321),$O$8),2)</f>
        <v>23.37</v>
      </c>
      <c r="P321" s="19">
        <f t="shared" si="56"/>
        <v>9.5245594514</v>
      </c>
      <c r="Q321" s="19" cm="1">
        <f t="array" ref="Q321">ROUND(P321+1/getKurs(EDATE(A321,-1))*(K321-L321-N321-getParm(Tarifart,"StK")+M321+O321),10)*(C321&lt;Dauer)</f>
        <v>9.5193990915000004</v>
      </c>
      <c r="R321" s="10" cm="1">
        <f t="array" ref="R321">ROUND(P321*getKurs($A321),2)</f>
        <v>233726.4</v>
      </c>
      <c r="S321" s="10" cm="1">
        <f t="array" ref="S321">ROUND(Q321*getKurs($A321),2)</f>
        <v>233599.77</v>
      </c>
      <c r="T321" s="10">
        <f t="shared" si="52"/>
        <v>237326.4</v>
      </c>
      <c r="U321" s="10" cm="1">
        <f t="array" ref="U321">getParm(Tarifart,"StoSatz")*(Dauer-C321)*Beitrag*Zahlweise*(C321&lt;BZDauer)</f>
        <v>0</v>
      </c>
      <c r="V321" s="10">
        <f t="shared" si="57"/>
        <v>233599.77</v>
      </c>
    </row>
    <row r="322" spans="1:22" x14ac:dyDescent="0.45">
      <c r="A322" s="15">
        <f t="shared" si="58"/>
        <v>46054</v>
      </c>
      <c r="B322">
        <f t="shared" si="59"/>
        <v>313</v>
      </c>
      <c r="C322">
        <f t="shared" si="53"/>
        <v>26</v>
      </c>
      <c r="D322">
        <f t="shared" si="60"/>
        <v>1</v>
      </c>
      <c r="E322">
        <f t="shared" si="50"/>
        <v>1</v>
      </c>
      <c r="F322" s="10">
        <f t="shared" si="51"/>
        <v>0</v>
      </c>
      <c r="G322" s="10" cm="1">
        <f t="array" ref="G322">ROUND(getParm(Tarifart,"alpha")/(2*Zahlweise)*BeiSum*(C322&lt;2)*E322,2)</f>
        <v>0</v>
      </c>
      <c r="H322" s="10" cm="1">
        <f t="array" ref="H322">ROUND(F322*getParm(Tarifart,"beta")*E322,2)</f>
        <v>0</v>
      </c>
      <c r="I322" s="10" cm="1">
        <f t="array" ref="I322">ROUND(F322*get_Üb(YEAR(A322),$I$8)*E322,2)</f>
        <v>0</v>
      </c>
      <c r="J322" s="10">
        <f t="shared" si="54"/>
        <v>0</v>
      </c>
      <c r="K322" s="10">
        <f t="shared" si="55"/>
        <v>0</v>
      </c>
      <c r="L322" s="10" cm="1">
        <f t="array" ref="L322">ROUND(1/12*MAX(MTSum-R322-K322,MRSum)*Act_qx(x+C322,Geschlecht,getParm(Tarifart,"Tafel"),YEAR(GebDat),x+Dauer,1),2)</f>
        <v>4.0599999999999996</v>
      </c>
      <c r="M322" s="10" cm="1">
        <f t="array" ref="M322">ROUND(L322*get_Üb(YEAR(A322),$M$8),2)</f>
        <v>0.2</v>
      </c>
      <c r="N322" s="10" cm="1">
        <f t="array" ref="N322">ROUND(R322*getParm(Tarifart,IF(C322&lt;BZDauer,"gamma1","gamma2")),2)</f>
        <v>141.63</v>
      </c>
      <c r="O322" s="10" cm="1">
        <f t="array" ref="O322">ROUND(R322*get_Üb(YEAR(A322),$O$8),2)</f>
        <v>23.61</v>
      </c>
      <c r="P322" s="19">
        <f t="shared" si="56"/>
        <v>9.5193990915000004</v>
      </c>
      <c r="Q322" s="19" cm="1">
        <f t="array" ref="Q322">ROUND(P322+1/getKurs(EDATE(A322,-1))*(K322-L322-N322-getParm(Tarifart,"StK")+M322+O322),10)*(C322&lt;Dauer)</f>
        <v>9.5143916218999998</v>
      </c>
      <c r="R322" s="10" cm="1">
        <f t="array" ref="R322">ROUND(P322*getKurs($A322),2)</f>
        <v>236057.49</v>
      </c>
      <c r="S322" s="10" cm="1">
        <f t="array" ref="S322">ROUND(Q322*getKurs($A322),2)</f>
        <v>235933.32</v>
      </c>
      <c r="T322" s="10">
        <f t="shared" si="52"/>
        <v>239657.49</v>
      </c>
      <c r="U322" s="10" cm="1">
        <f t="array" ref="U322">getParm(Tarifart,"StoSatz")*(Dauer-C322)*Beitrag*Zahlweise*(C322&lt;BZDauer)</f>
        <v>0</v>
      </c>
      <c r="V322" s="10">
        <f t="shared" si="57"/>
        <v>235933.32</v>
      </c>
    </row>
    <row r="323" spans="1:22" x14ac:dyDescent="0.45">
      <c r="A323" s="15">
        <f t="shared" si="58"/>
        <v>46082</v>
      </c>
      <c r="B323">
        <f t="shared" si="59"/>
        <v>314</v>
      </c>
      <c r="C323">
        <f t="shared" si="53"/>
        <v>26</v>
      </c>
      <c r="D323">
        <f t="shared" si="60"/>
        <v>2</v>
      </c>
      <c r="E323">
        <f t="shared" si="50"/>
        <v>1</v>
      </c>
      <c r="F323" s="10">
        <f t="shared" si="51"/>
        <v>0</v>
      </c>
      <c r="G323" s="10" cm="1">
        <f t="array" ref="G323">ROUND(getParm(Tarifart,"alpha")/(2*Zahlweise)*BeiSum*(C323&lt;2)*E323,2)</f>
        <v>0</v>
      </c>
      <c r="H323" s="10" cm="1">
        <f t="array" ref="H323">ROUND(F323*getParm(Tarifart,"beta")*E323,2)</f>
        <v>0</v>
      </c>
      <c r="I323" s="10" cm="1">
        <f t="array" ref="I323">ROUND(F323*get_Üb(YEAR(A323),$I$8)*E323,2)</f>
        <v>0</v>
      </c>
      <c r="J323" s="10">
        <f t="shared" si="54"/>
        <v>0</v>
      </c>
      <c r="K323" s="10">
        <f t="shared" si="55"/>
        <v>0</v>
      </c>
      <c r="L323" s="10" cm="1">
        <f t="array" ref="L323">ROUND(1/12*MAX(MTSum-R323-K323,MRSum)*Act_qx(x+C323,Geschlecht,getParm(Tarifart,"Tafel"),YEAR(GebDat),x+Dauer,1),2)</f>
        <v>4.0599999999999996</v>
      </c>
      <c r="M323" s="10" cm="1">
        <f t="array" ref="M323">ROUND(L323*get_Üb(YEAR(A323),$M$8),2)</f>
        <v>0.2</v>
      </c>
      <c r="N323" s="10" cm="1">
        <f t="array" ref="N323">ROUND(R323*getParm(Tarifart,IF(C323&lt;BZDauer,"gamma1","gamma2")),2)</f>
        <v>140.65</v>
      </c>
      <c r="O323" s="10" cm="1">
        <f t="array" ref="O323">ROUND(R323*get_Üb(YEAR(A323),$O$8),2)</f>
        <v>23.44</v>
      </c>
      <c r="P323" s="19">
        <f t="shared" si="56"/>
        <v>9.5143916218999998</v>
      </c>
      <c r="Q323" s="19" cm="1">
        <f t="array" ref="Q323">ROUND(P323+1/getKurs(EDATE(A323,-1))*(K323-L323-N323-getParm(Tarifart,"StK")+M323+O323),10)*(C323&lt;Dauer)</f>
        <v>9.5094689522000007</v>
      </c>
      <c r="R323" s="10" cm="1">
        <f t="array" ref="R323">ROUND(P323*getKurs($A323),2)</f>
        <v>234415.58</v>
      </c>
      <c r="S323" s="10" cm="1">
        <f t="array" ref="S323">ROUND(Q323*getKurs($A323),2)</f>
        <v>234294.3</v>
      </c>
      <c r="T323" s="10">
        <f t="shared" si="52"/>
        <v>238015.58</v>
      </c>
      <c r="U323" s="10" cm="1">
        <f t="array" ref="U323">getParm(Tarifart,"StoSatz")*(Dauer-C323)*Beitrag*Zahlweise*(C323&lt;BZDauer)</f>
        <v>0</v>
      </c>
      <c r="V323" s="10">
        <f t="shared" si="57"/>
        <v>234294.3</v>
      </c>
    </row>
    <row r="324" spans="1:22" x14ac:dyDescent="0.45">
      <c r="A324" s="15">
        <f t="shared" si="58"/>
        <v>46113</v>
      </c>
      <c r="B324">
        <f t="shared" si="59"/>
        <v>315</v>
      </c>
      <c r="C324">
        <f t="shared" si="53"/>
        <v>26</v>
      </c>
      <c r="D324">
        <f t="shared" si="60"/>
        <v>3</v>
      </c>
      <c r="E324">
        <f t="shared" si="50"/>
        <v>1</v>
      </c>
      <c r="F324" s="10">
        <f t="shared" si="51"/>
        <v>0</v>
      </c>
      <c r="G324" s="10" cm="1">
        <f t="array" ref="G324">ROUND(getParm(Tarifart,"alpha")/(2*Zahlweise)*BeiSum*(C324&lt;2)*E324,2)</f>
        <v>0</v>
      </c>
      <c r="H324" s="10" cm="1">
        <f t="array" ref="H324">ROUND(F324*getParm(Tarifart,"beta")*E324,2)</f>
        <v>0</v>
      </c>
      <c r="I324" s="10" cm="1">
        <f t="array" ref="I324">ROUND(F324*get_Üb(YEAR(A324),$I$8)*E324,2)</f>
        <v>0</v>
      </c>
      <c r="J324" s="10">
        <f t="shared" si="54"/>
        <v>0</v>
      </c>
      <c r="K324" s="10">
        <f t="shared" si="55"/>
        <v>0</v>
      </c>
      <c r="L324" s="10" cm="1">
        <f t="array" ref="L324">ROUND(1/12*MAX(MTSum-R324-K324,MRSum)*Act_qx(x+C324,Geschlecht,getParm(Tarifart,"Tafel"),YEAR(GebDat),x+Dauer,1),2)</f>
        <v>4.0599999999999996</v>
      </c>
      <c r="M324" s="10" cm="1">
        <f t="array" ref="M324">ROUND(L324*get_Üb(YEAR(A324),$M$8),2)</f>
        <v>0.2</v>
      </c>
      <c r="N324" s="10" cm="1">
        <f t="array" ref="N324">ROUND(R324*getParm(Tarifart,IF(C324&lt;BZDauer,"gamma1","gamma2")),2)</f>
        <v>132.94</v>
      </c>
      <c r="O324" s="10" cm="1">
        <f t="array" ref="O324">ROUND(R324*get_Üb(YEAR(A324),$O$8),2)</f>
        <v>22.16</v>
      </c>
      <c r="P324" s="19">
        <f t="shared" si="56"/>
        <v>9.5094689522000007</v>
      </c>
      <c r="Q324" s="19" cm="1">
        <f t="array" ref="Q324">ROUND(P324+1/getKurs(EDATE(A324,-1))*(K324-L324-N324-getParm(Tarifart,"StK")+M324+O324),10)*(C324&lt;Dauer)</f>
        <v>9.5047753894000007</v>
      </c>
      <c r="R324" s="10" cm="1">
        <f t="array" ref="R324">ROUND(P324*getKurs($A324),2)</f>
        <v>221560.07</v>
      </c>
      <c r="S324" s="10" cm="1">
        <f t="array" ref="S324">ROUND(Q324*getKurs($A324),2)</f>
        <v>221450.72</v>
      </c>
      <c r="T324" s="10">
        <f t="shared" si="52"/>
        <v>225160.07</v>
      </c>
      <c r="U324" s="10" cm="1">
        <f t="array" ref="U324">getParm(Tarifart,"StoSatz")*(Dauer-C324)*Beitrag*Zahlweise*(C324&lt;BZDauer)</f>
        <v>0</v>
      </c>
      <c r="V324" s="10">
        <f t="shared" si="57"/>
        <v>221450.72</v>
      </c>
    </row>
    <row r="325" spans="1:22" x14ac:dyDescent="0.45">
      <c r="A325" s="15">
        <f t="shared" si="58"/>
        <v>46143</v>
      </c>
      <c r="B325">
        <f t="shared" si="59"/>
        <v>316</v>
      </c>
      <c r="C325">
        <f t="shared" si="53"/>
        <v>26</v>
      </c>
      <c r="D325">
        <f t="shared" si="60"/>
        <v>4</v>
      </c>
      <c r="E325">
        <f t="shared" si="50"/>
        <v>1</v>
      </c>
      <c r="F325" s="10">
        <f t="shared" si="51"/>
        <v>0</v>
      </c>
      <c r="G325" s="10" cm="1">
        <f t="array" ref="G325">ROUND(getParm(Tarifart,"alpha")/(2*Zahlweise)*BeiSum*(C325&lt;2)*E325,2)</f>
        <v>0</v>
      </c>
      <c r="H325" s="10" cm="1">
        <f t="array" ref="H325">ROUND(F325*getParm(Tarifart,"beta")*E325,2)</f>
        <v>0</v>
      </c>
      <c r="I325" s="10" cm="1">
        <f t="array" ref="I325">ROUND(F325*get_Üb(YEAR(A325),$I$8)*E325,2)</f>
        <v>0</v>
      </c>
      <c r="J325" s="10">
        <f t="shared" si="54"/>
        <v>0</v>
      </c>
      <c r="K325" s="10">
        <f t="shared" si="55"/>
        <v>0</v>
      </c>
      <c r="L325" s="10" cm="1">
        <f t="array" ref="L325">ROUND(1/12*MAX(MTSum-R325-K325,MRSum)*Act_qx(x+C325,Geschlecht,getParm(Tarifart,"Tafel"),YEAR(GebDat),x+Dauer,1),2)</f>
        <v>4.0599999999999996</v>
      </c>
      <c r="M325" s="10" cm="1">
        <f t="array" ref="M325">ROUND(L325*get_Üb(YEAR(A325),$M$8),2)</f>
        <v>0.2</v>
      </c>
      <c r="N325" s="10" cm="1">
        <f t="array" ref="N325">ROUND(R325*getParm(Tarifart,IF(C325&lt;BZDauer,"gamma1","gamma2")),2)</f>
        <v>136.82</v>
      </c>
      <c r="O325" s="10" cm="1">
        <f t="array" ref="O325">ROUND(R325*get_Üb(YEAR(A325),$O$8),2)</f>
        <v>22.8</v>
      </c>
      <c r="P325" s="19">
        <f t="shared" si="56"/>
        <v>9.5047753894000007</v>
      </c>
      <c r="Q325" s="19" cm="1">
        <f t="array" ref="Q325">ROUND(P325+1/getKurs(EDATE(A325,-1))*(K325-L325-N325-getParm(Tarifart,"StK")+M325+O325),10)*(C325&lt;Dauer)</f>
        <v>9.4996730003999996</v>
      </c>
      <c r="R325" s="10" cm="1">
        <f t="array" ref="R325">ROUND(P325*getKurs($A325),2)</f>
        <v>228031.63</v>
      </c>
      <c r="S325" s="10" cm="1">
        <f t="array" ref="S325">ROUND(Q325*getKurs($A325),2)</f>
        <v>227909.22</v>
      </c>
      <c r="T325" s="10">
        <f t="shared" si="52"/>
        <v>231631.63</v>
      </c>
      <c r="U325" s="10" cm="1">
        <f t="array" ref="U325">getParm(Tarifart,"StoSatz")*(Dauer-C325)*Beitrag*Zahlweise*(C325&lt;BZDauer)</f>
        <v>0</v>
      </c>
      <c r="V325" s="10">
        <f t="shared" si="57"/>
        <v>227909.22</v>
      </c>
    </row>
    <row r="326" spans="1:22" x14ac:dyDescent="0.45">
      <c r="A326" s="15">
        <f t="shared" si="58"/>
        <v>46174</v>
      </c>
      <c r="B326">
        <f t="shared" si="59"/>
        <v>317</v>
      </c>
      <c r="C326">
        <f t="shared" si="53"/>
        <v>26</v>
      </c>
      <c r="D326">
        <f t="shared" si="60"/>
        <v>5</v>
      </c>
      <c r="E326">
        <f t="shared" si="50"/>
        <v>1</v>
      </c>
      <c r="F326" s="10">
        <f t="shared" si="51"/>
        <v>0</v>
      </c>
      <c r="G326" s="10" cm="1">
        <f t="array" ref="G326">ROUND(getParm(Tarifart,"alpha")/(2*Zahlweise)*BeiSum*(C326&lt;2)*E326,2)</f>
        <v>0</v>
      </c>
      <c r="H326" s="10" cm="1">
        <f t="array" ref="H326">ROUND(F326*getParm(Tarifart,"beta")*E326,2)</f>
        <v>0</v>
      </c>
      <c r="I326" s="10" cm="1">
        <f t="array" ref="I326">ROUND(F326*get_Üb(YEAR(A326),$I$8)*E326,2)</f>
        <v>0</v>
      </c>
      <c r="J326" s="10">
        <f t="shared" si="54"/>
        <v>0</v>
      </c>
      <c r="K326" s="10">
        <f t="shared" si="55"/>
        <v>0</v>
      </c>
      <c r="L326" s="10" cm="1">
        <f t="array" ref="L326">ROUND(1/12*MAX(MTSum-R326-K326,MRSum)*Act_qx(x+C326,Geschlecht,getParm(Tarifart,"Tafel"),YEAR(GebDat),x+Dauer,1),2)</f>
        <v>4.0599999999999996</v>
      </c>
      <c r="M326" s="10" cm="1">
        <f t="array" ref="M326">ROUND(L326*get_Üb(YEAR(A326),$M$8),2)</f>
        <v>0.2</v>
      </c>
      <c r="N326" s="10" cm="1">
        <f t="array" ref="N326">ROUND(R326*getParm(Tarifart,IF(C326&lt;BZDauer,"gamma1","gamma2")),2)</f>
        <v>136.99</v>
      </c>
      <c r="O326" s="10" cm="1">
        <f t="array" ref="O326">ROUND(R326*get_Üb(YEAR(A326),$O$8),2)</f>
        <v>22.83</v>
      </c>
      <c r="P326" s="19">
        <f t="shared" si="56"/>
        <v>9.4996730003999996</v>
      </c>
      <c r="Q326" s="19" cm="1">
        <f t="array" ref="Q326">ROUND(P326+1/getKurs(EDATE(A326,-1))*(K326-L326-N326-getParm(Tarifart,"StK")+M326+O326),10)*(C326&lt;Dauer)</f>
        <v>9.4947120292000005</v>
      </c>
      <c r="R326" s="10" cm="1">
        <f t="array" ref="R326">ROUND(P326*getKurs($A326),2)</f>
        <v>228318.37</v>
      </c>
      <c r="S326" s="10" cm="1">
        <f t="array" ref="S326">ROUND(Q326*getKurs($A326),2)</f>
        <v>228199.14</v>
      </c>
      <c r="T326" s="10">
        <f t="shared" si="52"/>
        <v>231918.37</v>
      </c>
      <c r="U326" s="10" cm="1">
        <f t="array" ref="U326">getParm(Tarifart,"StoSatz")*(Dauer-C326)*Beitrag*Zahlweise*(C326&lt;BZDauer)</f>
        <v>0</v>
      </c>
      <c r="V326" s="10">
        <f t="shared" si="57"/>
        <v>228199.14</v>
      </c>
    </row>
    <row r="327" spans="1:22" x14ac:dyDescent="0.45">
      <c r="A327" s="15">
        <f t="shared" si="58"/>
        <v>46204</v>
      </c>
      <c r="B327">
        <f t="shared" si="59"/>
        <v>318</v>
      </c>
      <c r="C327">
        <f t="shared" si="53"/>
        <v>26</v>
      </c>
      <c r="D327">
        <f t="shared" si="60"/>
        <v>6</v>
      </c>
      <c r="E327">
        <f t="shared" si="50"/>
        <v>1</v>
      </c>
      <c r="F327" s="10">
        <f t="shared" si="51"/>
        <v>0</v>
      </c>
      <c r="G327" s="10" cm="1">
        <f t="array" ref="G327">ROUND(getParm(Tarifart,"alpha")/(2*Zahlweise)*BeiSum*(C327&lt;2)*E327,2)</f>
        <v>0</v>
      </c>
      <c r="H327" s="10" cm="1">
        <f t="array" ref="H327">ROUND(F327*getParm(Tarifart,"beta")*E327,2)</f>
        <v>0</v>
      </c>
      <c r="I327" s="10" cm="1">
        <f t="array" ref="I327">ROUND(F327*get_Üb(YEAR(A327),$I$8)*E327,2)</f>
        <v>0</v>
      </c>
      <c r="J327" s="10">
        <f t="shared" si="54"/>
        <v>0</v>
      </c>
      <c r="K327" s="10">
        <f t="shared" si="55"/>
        <v>0</v>
      </c>
      <c r="L327" s="10" cm="1">
        <f t="array" ref="L327">ROUND(1/12*MAX(MTSum-R327-K327,MRSum)*Act_qx(x+C327,Geschlecht,getParm(Tarifart,"Tafel"),YEAR(GebDat),x+Dauer,1),2)</f>
        <v>4.0599999999999996</v>
      </c>
      <c r="M327" s="10" cm="1">
        <f t="array" ref="M327">ROUND(L327*get_Üb(YEAR(A327),$M$8),2)</f>
        <v>0.2</v>
      </c>
      <c r="N327" s="10" cm="1">
        <f t="array" ref="N327">ROUND(R327*getParm(Tarifart,IF(C327&lt;BZDauer,"gamma1","gamma2")),2)</f>
        <v>137.84</v>
      </c>
      <c r="O327" s="10" cm="1">
        <f t="array" ref="O327">ROUND(R327*get_Üb(YEAR(A327),$O$8),2)</f>
        <v>22.97</v>
      </c>
      <c r="P327" s="19">
        <f t="shared" si="56"/>
        <v>9.4947120292000005</v>
      </c>
      <c r="Q327" s="19" cm="1">
        <f t="array" ref="Q327">ROUND(P327+1/getKurs(EDATE(A327,-1))*(K327-L327-N327-getParm(Tarifart,"StK")+M327+O327),10)*(C327&lt;Dauer)</f>
        <v>9.4897304070999997</v>
      </c>
      <c r="R327" s="10" cm="1">
        <f t="array" ref="R327">ROUND(P327*getKurs($A327),2)</f>
        <v>229733.67</v>
      </c>
      <c r="S327" s="10" cm="1">
        <f t="array" ref="S327">ROUND(Q327*getKurs($A327),2)</f>
        <v>229613.14</v>
      </c>
      <c r="T327" s="10">
        <f t="shared" si="52"/>
        <v>233333.67</v>
      </c>
      <c r="U327" s="10" cm="1">
        <f t="array" ref="U327">getParm(Tarifart,"StoSatz")*(Dauer-C327)*Beitrag*Zahlweise*(C327&lt;BZDauer)</f>
        <v>0</v>
      </c>
      <c r="V327" s="10">
        <f t="shared" si="57"/>
        <v>229613.14</v>
      </c>
    </row>
    <row r="328" spans="1:22" x14ac:dyDescent="0.45">
      <c r="A328" s="15">
        <f t="shared" si="58"/>
        <v>46235</v>
      </c>
      <c r="B328">
        <f t="shared" si="59"/>
        <v>319</v>
      </c>
      <c r="C328">
        <f t="shared" si="53"/>
        <v>26</v>
      </c>
      <c r="D328">
        <f t="shared" si="60"/>
        <v>7</v>
      </c>
      <c r="E328">
        <f t="shared" si="50"/>
        <v>1</v>
      </c>
      <c r="F328" s="10">
        <f t="shared" si="51"/>
        <v>0</v>
      </c>
      <c r="G328" s="10" cm="1">
        <f t="array" ref="G328">ROUND(getParm(Tarifart,"alpha")/(2*Zahlweise)*BeiSum*(C328&lt;2)*E328,2)</f>
        <v>0</v>
      </c>
      <c r="H328" s="10" cm="1">
        <f t="array" ref="H328">ROUND(F328*getParm(Tarifart,"beta")*E328,2)</f>
        <v>0</v>
      </c>
      <c r="I328" s="10" cm="1">
        <f t="array" ref="I328">ROUND(F328*get_Üb(YEAR(A328),$I$8)*E328,2)</f>
        <v>0</v>
      </c>
      <c r="J328" s="10">
        <f t="shared" si="54"/>
        <v>0</v>
      </c>
      <c r="K328" s="10">
        <f t="shared" si="55"/>
        <v>0</v>
      </c>
      <c r="L328" s="10" cm="1">
        <f t="array" ref="L328">ROUND(1/12*MAX(MTSum-R328-K328,MRSum)*Act_qx(x+C328,Geschlecht,getParm(Tarifart,"Tafel"),YEAR(GebDat),x+Dauer,1),2)</f>
        <v>4.0599999999999996</v>
      </c>
      <c r="M328" s="10" cm="1">
        <f t="array" ref="M328">ROUND(L328*get_Üb(YEAR(A328),$M$8),2)</f>
        <v>0.2</v>
      </c>
      <c r="N328" s="10" cm="1">
        <f t="array" ref="N328">ROUND(R328*getParm(Tarifart,IF(C328&lt;BZDauer,"gamma1","gamma2")),2)</f>
        <v>138.88999999999999</v>
      </c>
      <c r="O328" s="10" cm="1">
        <f t="array" ref="O328">ROUND(R328*get_Üb(YEAR(A328),$O$8),2)</f>
        <v>23.15</v>
      </c>
      <c r="P328" s="19">
        <f t="shared" si="56"/>
        <v>9.4897304070999997</v>
      </c>
      <c r="Q328" s="19" cm="1">
        <f t="array" ref="Q328">ROUND(P328+1/getKurs(EDATE(A328,-1))*(K328-L328-N328-getParm(Tarifart,"StK")+M328+O328),10)*(C328&lt;Dauer)</f>
        <v>9.4847461038999992</v>
      </c>
      <c r="R328" s="10" cm="1">
        <f t="array" ref="R328">ROUND(P328*getKurs($A328),2)</f>
        <v>231487.83</v>
      </c>
      <c r="S328" s="10" cm="1">
        <f t="array" ref="S328">ROUND(Q328*getKurs($A328),2)</f>
        <v>231366.25</v>
      </c>
      <c r="T328" s="10">
        <f t="shared" si="52"/>
        <v>235087.83</v>
      </c>
      <c r="U328" s="10" cm="1">
        <f t="array" ref="U328">getParm(Tarifart,"StoSatz")*(Dauer-C328)*Beitrag*Zahlweise*(C328&lt;BZDauer)</f>
        <v>0</v>
      </c>
      <c r="V328" s="10">
        <f t="shared" si="57"/>
        <v>231366.25</v>
      </c>
    </row>
    <row r="329" spans="1:22" x14ac:dyDescent="0.45">
      <c r="A329" s="15">
        <f t="shared" si="58"/>
        <v>46266</v>
      </c>
      <c r="B329">
        <f t="shared" si="59"/>
        <v>320</v>
      </c>
      <c r="C329">
        <f t="shared" si="53"/>
        <v>26</v>
      </c>
      <c r="D329">
        <f t="shared" si="60"/>
        <v>8</v>
      </c>
      <c r="E329">
        <f t="shared" ref="E329:E392" si="61">IF(MOD(B329,12/Zahlweise)=0,1,0)</f>
        <v>1</v>
      </c>
      <c r="F329" s="10">
        <f t="shared" ref="F329:F392" si="62">Beitrag*E329*(C329&lt;BZDauer)</f>
        <v>0</v>
      </c>
      <c r="G329" s="10" cm="1">
        <f t="array" ref="G329">ROUND(getParm(Tarifart,"alpha")/(2*Zahlweise)*BeiSum*(C329&lt;2)*E329,2)</f>
        <v>0</v>
      </c>
      <c r="H329" s="10" cm="1">
        <f t="array" ref="H329">ROUND(F329*getParm(Tarifart,"beta")*E329,2)</f>
        <v>0</v>
      </c>
      <c r="I329" s="10" cm="1">
        <f t="array" ref="I329">ROUND(F329*get_Üb(YEAR(A329),$I$8)*E329,2)</f>
        <v>0</v>
      </c>
      <c r="J329" s="10">
        <f t="shared" si="54"/>
        <v>0</v>
      </c>
      <c r="K329" s="10">
        <f t="shared" si="55"/>
        <v>0</v>
      </c>
      <c r="L329" s="10" cm="1">
        <f t="array" ref="L329">ROUND(1/12*MAX(MTSum-R329-K329,MRSum)*Act_qx(x+C329,Geschlecht,getParm(Tarifart,"Tafel"),YEAR(GebDat),x+Dauer,1),2)</f>
        <v>4.0599999999999996</v>
      </c>
      <c r="M329" s="10" cm="1">
        <f t="array" ref="M329">ROUND(L329*get_Üb(YEAR(A329),$M$8),2)</f>
        <v>0.2</v>
      </c>
      <c r="N329" s="10" cm="1">
        <f t="array" ref="N329">ROUND(R329*getParm(Tarifart,IF(C329&lt;BZDauer,"gamma1","gamma2")),2)</f>
        <v>139.94999999999999</v>
      </c>
      <c r="O329" s="10" cm="1">
        <f t="array" ref="O329">ROUND(R329*get_Üb(YEAR(A329),$O$8),2)</f>
        <v>23.33</v>
      </c>
      <c r="P329" s="19">
        <f t="shared" si="56"/>
        <v>9.4847461038999992</v>
      </c>
      <c r="Q329" s="19" cm="1">
        <f t="array" ref="Q329">ROUND(P329+1/getKurs(EDATE(A329,-1))*(K329-L329-N329-getParm(Tarifart,"StK")+M329+O329),10)*(C329&lt;Dauer)</f>
        <v>9.4797660908000001</v>
      </c>
      <c r="R329" s="10" cm="1">
        <f t="array" ref="R329">ROUND(P329*getKurs($A329),2)</f>
        <v>233255.33</v>
      </c>
      <c r="S329" s="10" cm="1">
        <f t="array" ref="S329">ROUND(Q329*getKurs($A329),2)</f>
        <v>233132.85</v>
      </c>
      <c r="T329" s="10">
        <f t="shared" ref="T329:T392" si="63">ROUND(MAX(MTSum,R329+MRSum),2)</f>
        <v>236855.33</v>
      </c>
      <c r="U329" s="10" cm="1">
        <f t="array" ref="U329">getParm(Tarifart,"StoSatz")*(Dauer-C329)*Beitrag*Zahlweise*(C329&lt;BZDauer)</f>
        <v>0</v>
      </c>
      <c r="V329" s="10">
        <f t="shared" si="57"/>
        <v>233132.85</v>
      </c>
    </row>
    <row r="330" spans="1:22" x14ac:dyDescent="0.45">
      <c r="A330" s="15">
        <f t="shared" si="58"/>
        <v>46296</v>
      </c>
      <c r="B330">
        <f t="shared" si="59"/>
        <v>321</v>
      </c>
      <c r="C330">
        <f t="shared" ref="C330:C393" si="64">QUOTIENT(B330,12)</f>
        <v>26</v>
      </c>
      <c r="D330">
        <f t="shared" si="60"/>
        <v>9</v>
      </c>
      <c r="E330">
        <f t="shared" si="61"/>
        <v>1</v>
      </c>
      <c r="F330" s="10">
        <f t="shared" si="62"/>
        <v>0</v>
      </c>
      <c r="G330" s="10" cm="1">
        <f t="array" ref="G330">ROUND(getParm(Tarifart,"alpha")/(2*Zahlweise)*BeiSum*(C330&lt;2)*E330,2)</f>
        <v>0</v>
      </c>
      <c r="H330" s="10" cm="1">
        <f t="array" ref="H330">ROUND(F330*getParm(Tarifart,"beta")*E330,2)</f>
        <v>0</v>
      </c>
      <c r="I330" s="10" cm="1">
        <f t="array" ref="I330">ROUND(F330*get_Üb(YEAR(A330),$I$8)*E330,2)</f>
        <v>0</v>
      </c>
      <c r="J330" s="10">
        <f t="shared" ref="J330:J393" si="65">G330+H330</f>
        <v>0</v>
      </c>
      <c r="K330" s="10">
        <f t="shared" ref="K330:K393" si="66">F330-J330+I330</f>
        <v>0</v>
      </c>
      <c r="L330" s="10" cm="1">
        <f t="array" ref="L330">ROUND(1/12*MAX(MTSum-R330-K330,MRSum)*Act_qx(x+C330,Geschlecht,getParm(Tarifart,"Tafel"),YEAR(GebDat),x+Dauer,1),2)</f>
        <v>4.0599999999999996</v>
      </c>
      <c r="M330" s="10" cm="1">
        <f t="array" ref="M330">ROUND(L330*get_Üb(YEAR(A330),$M$8),2)</f>
        <v>0.2</v>
      </c>
      <c r="N330" s="10" cm="1">
        <f t="array" ref="N330">ROUND(R330*getParm(Tarifart,IF(C330&lt;BZDauer,"gamma1","gamma2")),2)</f>
        <v>141.02000000000001</v>
      </c>
      <c r="O330" s="10" cm="1">
        <f t="array" ref="O330">ROUND(R330*get_Üb(YEAR(A330),$O$8),2)</f>
        <v>23.5</v>
      </c>
      <c r="P330" s="19">
        <f t="shared" ref="P330:P393" si="67">Q329*(C330&lt;Dauer)</f>
        <v>9.4797660908000001</v>
      </c>
      <c r="Q330" s="19" cm="1">
        <f t="array" ref="Q330">ROUND(P330+1/getKurs(EDATE(A330,-1))*(K330-L330-N330-getParm(Tarifart,"StK")+M330+O330),10)*(C330&lt;Dauer)</f>
        <v>9.4747898132999993</v>
      </c>
      <c r="R330" s="10" cm="1">
        <f t="array" ref="R330">ROUND(P330*getKurs($A330),2)</f>
        <v>235036.39</v>
      </c>
      <c r="S330" s="10" cm="1">
        <f t="array" ref="S330">ROUND(Q330*getKurs($A330),2)</f>
        <v>234913.01</v>
      </c>
      <c r="T330" s="10">
        <f t="shared" si="63"/>
        <v>238636.39</v>
      </c>
      <c r="U330" s="10" cm="1">
        <f t="array" ref="U330">getParm(Tarifart,"StoSatz")*(Dauer-C330)*Beitrag*Zahlweise*(C330&lt;BZDauer)</f>
        <v>0</v>
      </c>
      <c r="V330" s="10">
        <f t="shared" ref="V330:V393" si="68">MAX(S330-U330,0)</f>
        <v>234913.01</v>
      </c>
    </row>
    <row r="331" spans="1:22" x14ac:dyDescent="0.45">
      <c r="A331" s="15">
        <f t="shared" ref="A331:A394" si="69">EDATE(A330,1)</f>
        <v>46327</v>
      </c>
      <c r="B331">
        <f t="shared" si="59"/>
        <v>322</v>
      </c>
      <c r="C331">
        <f t="shared" si="64"/>
        <v>26</v>
      </c>
      <c r="D331">
        <f t="shared" si="60"/>
        <v>10</v>
      </c>
      <c r="E331">
        <f t="shared" si="61"/>
        <v>1</v>
      </c>
      <c r="F331" s="10">
        <f t="shared" si="62"/>
        <v>0</v>
      </c>
      <c r="G331" s="10" cm="1">
        <f t="array" ref="G331">ROUND(getParm(Tarifart,"alpha")/(2*Zahlweise)*BeiSum*(C331&lt;2)*E331,2)</f>
        <v>0</v>
      </c>
      <c r="H331" s="10" cm="1">
        <f t="array" ref="H331">ROUND(F331*getParm(Tarifart,"beta")*E331,2)</f>
        <v>0</v>
      </c>
      <c r="I331" s="10" cm="1">
        <f t="array" ref="I331">ROUND(F331*get_Üb(YEAR(A331),$I$8)*E331,2)</f>
        <v>0</v>
      </c>
      <c r="J331" s="10">
        <f t="shared" si="65"/>
        <v>0</v>
      </c>
      <c r="K331" s="10">
        <f t="shared" si="66"/>
        <v>0</v>
      </c>
      <c r="L331" s="10" cm="1">
        <f t="array" ref="L331">ROUND(1/12*MAX(MTSum-R331-K331,MRSum)*Act_qx(x+C331,Geschlecht,getParm(Tarifart,"Tafel"),YEAR(GebDat),x+Dauer,1),2)</f>
        <v>4.0599999999999996</v>
      </c>
      <c r="M331" s="10" cm="1">
        <f t="array" ref="M331">ROUND(L331*get_Üb(YEAR(A331),$M$8),2)</f>
        <v>0.2</v>
      </c>
      <c r="N331" s="10" cm="1">
        <f t="array" ref="N331">ROUND(R331*getParm(Tarifart,IF(C331&lt;BZDauer,"gamma1","gamma2")),2)</f>
        <v>142.1</v>
      </c>
      <c r="O331" s="10" cm="1">
        <f t="array" ref="O331">ROUND(R331*get_Üb(YEAR(A331),$O$8),2)</f>
        <v>23.68</v>
      </c>
      <c r="P331" s="19">
        <f t="shared" si="67"/>
        <v>9.4747898132999993</v>
      </c>
      <c r="Q331" s="19" cm="1">
        <f t="array" ref="Q331">ROUND(P331+1/getKurs(EDATE(A331,-1))*(K331-L331-N331-getParm(Tarifart,"StK")+M331+O331),10)*(C331&lt;Dauer)</f>
        <v>9.4698175382999992</v>
      </c>
      <c r="R331" s="10" cm="1">
        <f t="array" ref="R331">ROUND(P331*getKurs($A331),2)</f>
        <v>236830.99</v>
      </c>
      <c r="S331" s="10" cm="1">
        <f t="array" ref="S331">ROUND(Q331*getKurs($A331),2)</f>
        <v>236706.71</v>
      </c>
      <c r="T331" s="10">
        <f t="shared" si="63"/>
        <v>240430.99</v>
      </c>
      <c r="U331" s="10" cm="1">
        <f t="array" ref="U331">getParm(Tarifart,"StoSatz")*(Dauer-C331)*Beitrag*Zahlweise*(C331&lt;BZDauer)</f>
        <v>0</v>
      </c>
      <c r="V331" s="10">
        <f t="shared" si="68"/>
        <v>236706.71</v>
      </c>
    </row>
    <row r="332" spans="1:22" x14ac:dyDescent="0.45">
      <c r="A332" s="15">
        <f t="shared" si="69"/>
        <v>46357</v>
      </c>
      <c r="B332">
        <f t="shared" si="59"/>
        <v>323</v>
      </c>
      <c r="C332">
        <f t="shared" si="64"/>
        <v>26</v>
      </c>
      <c r="D332">
        <f t="shared" si="60"/>
        <v>11</v>
      </c>
      <c r="E332">
        <f t="shared" si="61"/>
        <v>1</v>
      </c>
      <c r="F332" s="10">
        <f t="shared" si="62"/>
        <v>0</v>
      </c>
      <c r="G332" s="10" cm="1">
        <f t="array" ref="G332">ROUND(getParm(Tarifart,"alpha")/(2*Zahlweise)*BeiSum*(C332&lt;2)*E332,2)</f>
        <v>0</v>
      </c>
      <c r="H332" s="10" cm="1">
        <f t="array" ref="H332">ROUND(F332*getParm(Tarifart,"beta")*E332,2)</f>
        <v>0</v>
      </c>
      <c r="I332" s="10" cm="1">
        <f t="array" ref="I332">ROUND(F332*get_Üb(YEAR(A332),$I$8)*E332,2)</f>
        <v>0</v>
      </c>
      <c r="J332" s="10">
        <f t="shared" si="65"/>
        <v>0</v>
      </c>
      <c r="K332" s="10">
        <f t="shared" si="66"/>
        <v>0</v>
      </c>
      <c r="L332" s="10" cm="1">
        <f t="array" ref="L332">ROUND(1/12*MAX(MTSum-R332-K332,MRSum)*Act_qx(x+C332,Geschlecht,getParm(Tarifart,"Tafel"),YEAR(GebDat),x+Dauer,1),2)</f>
        <v>4.0599999999999996</v>
      </c>
      <c r="M332" s="10" cm="1">
        <f t="array" ref="M332">ROUND(L332*get_Üb(YEAR(A332),$M$8),2)</f>
        <v>0.2</v>
      </c>
      <c r="N332" s="10" cm="1">
        <f t="array" ref="N332">ROUND(R332*getParm(Tarifart,IF(C332&lt;BZDauer,"gamma1","gamma2")),2)</f>
        <v>143.18</v>
      </c>
      <c r="O332" s="10" cm="1">
        <f t="array" ref="O332">ROUND(R332*get_Üb(YEAR(A332),$O$8),2)</f>
        <v>23.86</v>
      </c>
      <c r="P332" s="19">
        <f t="shared" si="67"/>
        <v>9.4698175382999992</v>
      </c>
      <c r="Q332" s="19" cm="1">
        <f t="array" ref="Q332">ROUND(P332+1/getKurs(EDATE(A332,-1))*(K332-L332-N332-getParm(Tarifart,"StK")+M332+O332),10)*(C332&lt;Dauer)</f>
        <v>9.4648495255</v>
      </c>
      <c r="R332" s="10" cm="1">
        <f t="array" ref="R332">ROUND(P332*getKurs($A332),2)</f>
        <v>238639.4</v>
      </c>
      <c r="S332" s="10" cm="1">
        <f t="array" ref="S332">ROUND(Q332*getKurs($A332),2)</f>
        <v>238514.21</v>
      </c>
      <c r="T332" s="10">
        <f t="shared" si="63"/>
        <v>242239.4</v>
      </c>
      <c r="U332" s="10" cm="1">
        <f t="array" ref="U332">getParm(Tarifart,"StoSatz")*(Dauer-C332)*Beitrag*Zahlweise*(C332&lt;BZDauer)</f>
        <v>0</v>
      </c>
      <c r="V332" s="10">
        <f t="shared" si="68"/>
        <v>238514.21</v>
      </c>
    </row>
    <row r="333" spans="1:22" x14ac:dyDescent="0.45">
      <c r="A333" s="15">
        <f t="shared" si="69"/>
        <v>46388</v>
      </c>
      <c r="B333">
        <f t="shared" si="59"/>
        <v>324</v>
      </c>
      <c r="C333">
        <f t="shared" si="64"/>
        <v>27</v>
      </c>
      <c r="D333">
        <f t="shared" si="60"/>
        <v>0</v>
      </c>
      <c r="E333">
        <f t="shared" si="61"/>
        <v>1</v>
      </c>
      <c r="F333" s="10">
        <f t="shared" si="62"/>
        <v>0</v>
      </c>
      <c r="G333" s="10" cm="1">
        <f t="array" ref="G333">ROUND(getParm(Tarifart,"alpha")/(2*Zahlweise)*BeiSum*(C333&lt;2)*E333,2)</f>
        <v>0</v>
      </c>
      <c r="H333" s="10" cm="1">
        <f t="array" ref="H333">ROUND(F333*getParm(Tarifart,"beta")*E333,2)</f>
        <v>0</v>
      </c>
      <c r="I333" s="10" cm="1">
        <f t="array" ref="I333">ROUND(F333*get_Üb(YEAR(A333),$I$8)*E333,2)</f>
        <v>0</v>
      </c>
      <c r="J333" s="10">
        <f t="shared" si="65"/>
        <v>0</v>
      </c>
      <c r="K333" s="10">
        <f t="shared" si="66"/>
        <v>0</v>
      </c>
      <c r="L333" s="10" cm="1">
        <f t="array" ref="L333">ROUND(1/12*MAX(MTSum-R333-K333,MRSum)*Act_qx(x+C333,Geschlecht,getParm(Tarifart,"Tafel"),YEAR(GebDat),x+Dauer,1),2)</f>
        <v>4.4400000000000004</v>
      </c>
      <c r="M333" s="10" cm="1">
        <f t="array" ref="M333">ROUND(L333*get_Üb(YEAR(A333),$M$8),2)</f>
        <v>0.22</v>
      </c>
      <c r="N333" s="10" cm="1">
        <f t="array" ref="N333">ROUND(R333*getParm(Tarifart,IF(C333&lt;BZDauer,"gamma1","gamma2")),2)</f>
        <v>144.07</v>
      </c>
      <c r="O333" s="10" cm="1">
        <f t="array" ref="O333">ROUND(R333*get_Üb(YEAR(A333),$O$8),2)</f>
        <v>24.01</v>
      </c>
      <c r="P333" s="19">
        <f t="shared" si="67"/>
        <v>9.4648495255</v>
      </c>
      <c r="Q333" s="19" cm="1">
        <f t="array" ref="Q333">ROUND(P333+1/getKurs(EDATE(A333,-1))*(K333-L333-N333-getParm(Tarifart,"StK")+M333+O333),10)*(C333&lt;Dauer)</f>
        <v>9.4598780969000007</v>
      </c>
      <c r="R333" s="10" cm="1">
        <f t="array" ref="R333">ROUND(P333*getKurs($A333),2)</f>
        <v>240110.45</v>
      </c>
      <c r="S333" s="10" cm="1">
        <f t="array" ref="S333">ROUND(Q333*getKurs($A333),2)</f>
        <v>239984.34</v>
      </c>
      <c r="T333" s="10">
        <f t="shared" si="63"/>
        <v>243710.45</v>
      </c>
      <c r="U333" s="10" cm="1">
        <f t="array" ref="U333">getParm(Tarifart,"StoSatz")*(Dauer-C333)*Beitrag*Zahlweise*(C333&lt;BZDauer)</f>
        <v>0</v>
      </c>
      <c r="V333" s="10">
        <f t="shared" si="68"/>
        <v>239984.34</v>
      </c>
    </row>
    <row r="334" spans="1:22" x14ac:dyDescent="0.45">
      <c r="A334" s="15">
        <f t="shared" si="69"/>
        <v>46419</v>
      </c>
      <c r="B334">
        <f t="shared" si="59"/>
        <v>325</v>
      </c>
      <c r="C334">
        <f t="shared" si="64"/>
        <v>27</v>
      </c>
      <c r="D334">
        <f t="shared" si="60"/>
        <v>1</v>
      </c>
      <c r="E334">
        <f t="shared" si="61"/>
        <v>1</v>
      </c>
      <c r="F334" s="10">
        <f t="shared" si="62"/>
        <v>0</v>
      </c>
      <c r="G334" s="10" cm="1">
        <f t="array" ref="G334">ROUND(getParm(Tarifart,"alpha")/(2*Zahlweise)*BeiSum*(C334&lt;2)*E334,2)</f>
        <v>0</v>
      </c>
      <c r="H334" s="10" cm="1">
        <f t="array" ref="H334">ROUND(F334*getParm(Tarifart,"beta")*E334,2)</f>
        <v>0</v>
      </c>
      <c r="I334" s="10" cm="1">
        <f t="array" ref="I334">ROUND(F334*get_Üb(YEAR(A334),$I$8)*E334,2)</f>
        <v>0</v>
      </c>
      <c r="J334" s="10">
        <f t="shared" si="65"/>
        <v>0</v>
      </c>
      <c r="K334" s="10">
        <f t="shared" si="66"/>
        <v>0</v>
      </c>
      <c r="L334" s="10" cm="1">
        <f t="array" ref="L334">ROUND(1/12*MAX(MTSum-R334-K334,MRSum)*Act_qx(x+C334,Geschlecht,getParm(Tarifart,"Tafel"),YEAR(GebDat),x+Dauer,1),2)</f>
        <v>4.4400000000000004</v>
      </c>
      <c r="M334" s="10" cm="1">
        <f t="array" ref="M334">ROUND(L334*get_Üb(YEAR(A334),$M$8),2)</f>
        <v>0.22</v>
      </c>
      <c r="N334" s="10" cm="1">
        <f t="array" ref="N334">ROUND(R334*getParm(Tarifart,IF(C334&lt;BZDauer,"gamma1","gamma2")),2)</f>
        <v>144.94999999999999</v>
      </c>
      <c r="O334" s="10" cm="1">
        <f t="array" ref="O334">ROUND(R334*get_Üb(YEAR(A334),$O$8),2)</f>
        <v>24.16</v>
      </c>
      <c r="P334" s="19">
        <f t="shared" si="67"/>
        <v>9.4598780969000007</v>
      </c>
      <c r="Q334" s="19" cm="1">
        <f t="array" ref="Q334">ROUND(P334+1/getKurs(EDATE(A334,-1))*(K334-L334-N334-getParm(Tarifart,"StK")+M334+O334),10)*(C334&lt;Dauer)</f>
        <v>9.4549109425999998</v>
      </c>
      <c r="R334" s="10" cm="1">
        <f t="array" ref="R334">ROUND(P334*getKurs($A334),2)</f>
        <v>241590.43</v>
      </c>
      <c r="S334" s="10" cm="1">
        <f t="array" ref="S334">ROUND(Q334*getKurs($A334),2)</f>
        <v>241463.58</v>
      </c>
      <c r="T334" s="10">
        <f t="shared" si="63"/>
        <v>245190.43</v>
      </c>
      <c r="U334" s="10" cm="1">
        <f t="array" ref="U334">getParm(Tarifart,"StoSatz")*(Dauer-C334)*Beitrag*Zahlweise*(C334&lt;BZDauer)</f>
        <v>0</v>
      </c>
      <c r="V334" s="10">
        <f t="shared" si="68"/>
        <v>241463.58</v>
      </c>
    </row>
    <row r="335" spans="1:22" x14ac:dyDescent="0.45">
      <c r="A335" s="15">
        <f t="shared" si="69"/>
        <v>46447</v>
      </c>
      <c r="B335">
        <f t="shared" si="59"/>
        <v>326</v>
      </c>
      <c r="C335">
        <f t="shared" si="64"/>
        <v>27</v>
      </c>
      <c r="D335">
        <f t="shared" si="60"/>
        <v>2</v>
      </c>
      <c r="E335">
        <f t="shared" si="61"/>
        <v>1</v>
      </c>
      <c r="F335" s="10">
        <f t="shared" si="62"/>
        <v>0</v>
      </c>
      <c r="G335" s="10" cm="1">
        <f t="array" ref="G335">ROUND(getParm(Tarifart,"alpha")/(2*Zahlweise)*BeiSum*(C335&lt;2)*E335,2)</f>
        <v>0</v>
      </c>
      <c r="H335" s="10" cm="1">
        <f t="array" ref="H335">ROUND(F335*getParm(Tarifart,"beta")*E335,2)</f>
        <v>0</v>
      </c>
      <c r="I335" s="10" cm="1">
        <f t="array" ref="I335">ROUND(F335*get_Üb(YEAR(A335),$I$8)*E335,2)</f>
        <v>0</v>
      </c>
      <c r="J335" s="10">
        <f t="shared" si="65"/>
        <v>0</v>
      </c>
      <c r="K335" s="10">
        <f t="shared" si="66"/>
        <v>0</v>
      </c>
      <c r="L335" s="10" cm="1">
        <f t="array" ref="L335">ROUND(1/12*MAX(MTSum-R335-K335,MRSum)*Act_qx(x+C335,Geschlecht,getParm(Tarifart,"Tafel"),YEAR(GebDat),x+Dauer,1),2)</f>
        <v>4.4400000000000004</v>
      </c>
      <c r="M335" s="10" cm="1">
        <f t="array" ref="M335">ROUND(L335*get_Üb(YEAR(A335),$M$8),2)</f>
        <v>0.22</v>
      </c>
      <c r="N335" s="10" cm="1">
        <f t="array" ref="N335">ROUND(R335*getParm(Tarifart,IF(C335&lt;BZDauer,"gamma1","gamma2")),2)</f>
        <v>145.85</v>
      </c>
      <c r="O335" s="10" cm="1">
        <f t="array" ref="O335">ROUND(R335*get_Üb(YEAR(A335),$O$8),2)</f>
        <v>24.31</v>
      </c>
      <c r="P335" s="19">
        <f t="shared" si="67"/>
        <v>9.4549109425999998</v>
      </c>
      <c r="Q335" s="19" cm="1">
        <f t="array" ref="Q335">ROUND(P335+1/getKurs(EDATE(A335,-1))*(K335-L335-N335-getParm(Tarifart,"StK")+M335+O335),10)*(C335&lt;Dauer)</f>
        <v>9.4499474424999992</v>
      </c>
      <c r="R335" s="10" cm="1">
        <f t="array" ref="R335">ROUND(P335*getKurs($A335),2)</f>
        <v>243079.61</v>
      </c>
      <c r="S335" s="10" cm="1">
        <f t="array" ref="S335">ROUND(Q335*getKurs($A335),2)</f>
        <v>242952.01</v>
      </c>
      <c r="T335" s="10">
        <f t="shared" si="63"/>
        <v>246679.61</v>
      </c>
      <c r="U335" s="10" cm="1">
        <f t="array" ref="U335">getParm(Tarifart,"StoSatz")*(Dauer-C335)*Beitrag*Zahlweise*(C335&lt;BZDauer)</f>
        <v>0</v>
      </c>
      <c r="V335" s="10">
        <f t="shared" si="68"/>
        <v>242952.01</v>
      </c>
    </row>
    <row r="336" spans="1:22" x14ac:dyDescent="0.45">
      <c r="A336" s="15">
        <f t="shared" si="69"/>
        <v>46478</v>
      </c>
      <c r="B336">
        <f t="shared" si="59"/>
        <v>327</v>
      </c>
      <c r="C336">
        <f t="shared" si="64"/>
        <v>27</v>
      </c>
      <c r="D336">
        <f t="shared" si="60"/>
        <v>3</v>
      </c>
      <c r="E336">
        <f t="shared" si="61"/>
        <v>1</v>
      </c>
      <c r="F336" s="10">
        <f t="shared" si="62"/>
        <v>0</v>
      </c>
      <c r="G336" s="10" cm="1">
        <f t="array" ref="G336">ROUND(getParm(Tarifart,"alpha")/(2*Zahlweise)*BeiSum*(C336&lt;2)*E336,2)</f>
        <v>0</v>
      </c>
      <c r="H336" s="10" cm="1">
        <f t="array" ref="H336">ROUND(F336*getParm(Tarifart,"beta")*E336,2)</f>
        <v>0</v>
      </c>
      <c r="I336" s="10" cm="1">
        <f t="array" ref="I336">ROUND(F336*get_Üb(YEAR(A336),$I$8)*E336,2)</f>
        <v>0</v>
      </c>
      <c r="J336" s="10">
        <f t="shared" si="65"/>
        <v>0</v>
      </c>
      <c r="K336" s="10">
        <f t="shared" si="66"/>
        <v>0</v>
      </c>
      <c r="L336" s="10" cm="1">
        <f t="array" ref="L336">ROUND(1/12*MAX(MTSum-R336-K336,MRSum)*Act_qx(x+C336,Geschlecht,getParm(Tarifart,"Tafel"),YEAR(GebDat),x+Dauer,1),2)</f>
        <v>4.4400000000000004</v>
      </c>
      <c r="M336" s="10" cm="1">
        <f t="array" ref="M336">ROUND(L336*get_Üb(YEAR(A336),$M$8),2)</f>
        <v>0.22</v>
      </c>
      <c r="N336" s="10" cm="1">
        <f t="array" ref="N336">ROUND(R336*getParm(Tarifart,IF(C336&lt;BZDauer,"gamma1","gamma2")),2)</f>
        <v>146.75</v>
      </c>
      <c r="O336" s="10" cm="1">
        <f t="array" ref="O336">ROUND(R336*get_Üb(YEAR(A336),$O$8),2)</f>
        <v>24.46</v>
      </c>
      <c r="P336" s="19">
        <f t="shared" si="67"/>
        <v>9.4499474424999992</v>
      </c>
      <c r="Q336" s="19" cm="1">
        <f t="array" ref="Q336">ROUND(P336+1/getKurs(EDATE(A336,-1))*(K336-L336-N336-getParm(Tarifart,"StK")+M336+O336),10)*(C336&lt;Dauer)</f>
        <v>9.4449877683000008</v>
      </c>
      <c r="R336" s="10" cm="1">
        <f t="array" ref="R336">ROUND(P336*getKurs($A336),2)</f>
        <v>244577.96</v>
      </c>
      <c r="S336" s="10" cm="1">
        <f t="array" ref="S336">ROUND(Q336*getKurs($A336),2)</f>
        <v>244449.6</v>
      </c>
      <c r="T336" s="10">
        <f t="shared" si="63"/>
        <v>248177.96</v>
      </c>
      <c r="U336" s="10" cm="1">
        <f t="array" ref="U336">getParm(Tarifart,"StoSatz")*(Dauer-C336)*Beitrag*Zahlweise*(C336&lt;BZDauer)</f>
        <v>0</v>
      </c>
      <c r="V336" s="10">
        <f t="shared" si="68"/>
        <v>244449.6</v>
      </c>
    </row>
    <row r="337" spans="1:22" x14ac:dyDescent="0.45">
      <c r="A337" s="15">
        <f t="shared" si="69"/>
        <v>46508</v>
      </c>
      <c r="B337">
        <f t="shared" si="59"/>
        <v>328</v>
      </c>
      <c r="C337">
        <f t="shared" si="64"/>
        <v>27</v>
      </c>
      <c r="D337">
        <f t="shared" si="60"/>
        <v>4</v>
      </c>
      <c r="E337">
        <f t="shared" si="61"/>
        <v>1</v>
      </c>
      <c r="F337" s="10">
        <f t="shared" si="62"/>
        <v>0</v>
      </c>
      <c r="G337" s="10" cm="1">
        <f t="array" ref="G337">ROUND(getParm(Tarifart,"alpha")/(2*Zahlweise)*BeiSum*(C337&lt;2)*E337,2)</f>
        <v>0</v>
      </c>
      <c r="H337" s="10" cm="1">
        <f t="array" ref="H337">ROUND(F337*getParm(Tarifart,"beta")*E337,2)</f>
        <v>0</v>
      </c>
      <c r="I337" s="10" cm="1">
        <f t="array" ref="I337">ROUND(F337*get_Üb(YEAR(A337),$I$8)*E337,2)</f>
        <v>0</v>
      </c>
      <c r="J337" s="10">
        <f t="shared" si="65"/>
        <v>0</v>
      </c>
      <c r="K337" s="10">
        <f t="shared" si="66"/>
        <v>0</v>
      </c>
      <c r="L337" s="10" cm="1">
        <f t="array" ref="L337">ROUND(1/12*MAX(MTSum-R337-K337,MRSum)*Act_qx(x+C337,Geschlecht,getParm(Tarifart,"Tafel"),YEAR(GebDat),x+Dauer,1),2)</f>
        <v>4.4400000000000004</v>
      </c>
      <c r="M337" s="10" cm="1">
        <f t="array" ref="M337">ROUND(L337*get_Üb(YEAR(A337),$M$8),2)</f>
        <v>0.22</v>
      </c>
      <c r="N337" s="10" cm="1">
        <f t="array" ref="N337">ROUND(R337*getParm(Tarifart,IF(C337&lt;BZDauer,"gamma1","gamma2")),2)</f>
        <v>147.65</v>
      </c>
      <c r="O337" s="10" cm="1">
        <f t="array" ref="O337">ROUND(R337*get_Üb(YEAR(A337),$O$8),2)</f>
        <v>24.61</v>
      </c>
      <c r="P337" s="19">
        <f t="shared" si="67"/>
        <v>9.4449877683000008</v>
      </c>
      <c r="Q337" s="19" cm="1">
        <f t="array" ref="Q337">ROUND(P337+1/getKurs(EDATE(A337,-1))*(K337-L337-N337-getParm(Tarifart,"StK")+M337+O337),10)*(C337&lt;Dauer)</f>
        <v>9.4400320878000006</v>
      </c>
      <c r="R337" s="10" cm="1">
        <f t="array" ref="R337">ROUND(P337*getKurs($A337),2)</f>
        <v>246085.57</v>
      </c>
      <c r="S337" s="10" cm="1">
        <f t="array" ref="S337">ROUND(Q337*getKurs($A337),2)</f>
        <v>245956.45</v>
      </c>
      <c r="T337" s="10">
        <f t="shared" si="63"/>
        <v>249685.57</v>
      </c>
      <c r="U337" s="10" cm="1">
        <f t="array" ref="U337">getParm(Tarifart,"StoSatz")*(Dauer-C337)*Beitrag*Zahlweise*(C337&lt;BZDauer)</f>
        <v>0</v>
      </c>
      <c r="V337" s="10">
        <f t="shared" si="68"/>
        <v>245956.45</v>
      </c>
    </row>
    <row r="338" spans="1:22" x14ac:dyDescent="0.45">
      <c r="A338" s="15">
        <f t="shared" si="69"/>
        <v>46539</v>
      </c>
      <c r="B338">
        <f t="shared" si="59"/>
        <v>329</v>
      </c>
      <c r="C338">
        <f t="shared" si="64"/>
        <v>27</v>
      </c>
      <c r="D338">
        <f t="shared" si="60"/>
        <v>5</v>
      </c>
      <c r="E338">
        <f t="shared" si="61"/>
        <v>1</v>
      </c>
      <c r="F338" s="10">
        <f t="shared" si="62"/>
        <v>0</v>
      </c>
      <c r="G338" s="10" cm="1">
        <f t="array" ref="G338">ROUND(getParm(Tarifart,"alpha")/(2*Zahlweise)*BeiSum*(C338&lt;2)*E338,2)</f>
        <v>0</v>
      </c>
      <c r="H338" s="10" cm="1">
        <f t="array" ref="H338">ROUND(F338*getParm(Tarifart,"beta")*E338,2)</f>
        <v>0</v>
      </c>
      <c r="I338" s="10" cm="1">
        <f t="array" ref="I338">ROUND(F338*get_Üb(YEAR(A338),$I$8)*E338,2)</f>
        <v>0</v>
      </c>
      <c r="J338" s="10">
        <f t="shared" si="65"/>
        <v>0</v>
      </c>
      <c r="K338" s="10">
        <f t="shared" si="66"/>
        <v>0</v>
      </c>
      <c r="L338" s="10" cm="1">
        <f t="array" ref="L338">ROUND(1/12*MAX(MTSum-R338-K338,MRSum)*Act_qx(x+C338,Geschlecht,getParm(Tarifart,"Tafel"),YEAR(GebDat),x+Dauer,1),2)</f>
        <v>4.4400000000000004</v>
      </c>
      <c r="M338" s="10" cm="1">
        <f t="array" ref="M338">ROUND(L338*get_Üb(YEAR(A338),$M$8),2)</f>
        <v>0.22</v>
      </c>
      <c r="N338" s="10" cm="1">
        <f t="array" ref="N338">ROUND(R338*getParm(Tarifart,IF(C338&lt;BZDauer,"gamma1","gamma2")),2)</f>
        <v>148.56</v>
      </c>
      <c r="O338" s="10" cm="1">
        <f t="array" ref="O338">ROUND(R338*get_Üb(YEAR(A338),$O$8),2)</f>
        <v>24.76</v>
      </c>
      <c r="P338" s="19">
        <f t="shared" si="67"/>
        <v>9.4400320878000006</v>
      </c>
      <c r="Q338" s="19" cm="1">
        <f t="array" ref="Q338">ROUND(P338+1/getKurs(EDATE(A338,-1))*(K338-L338-N338-getParm(Tarifart,"StK")+M338+O338),10)*(C338&lt;Dauer)</f>
        <v>9.4350801829000002</v>
      </c>
      <c r="R338" s="10" cm="1">
        <f t="array" ref="R338">ROUND(P338*getKurs($A338),2)</f>
        <v>247602.51</v>
      </c>
      <c r="S338" s="10" cm="1">
        <f t="array" ref="S338">ROUND(Q338*getKurs($A338),2)</f>
        <v>247472.62</v>
      </c>
      <c r="T338" s="10">
        <f t="shared" si="63"/>
        <v>251202.51</v>
      </c>
      <c r="U338" s="10" cm="1">
        <f t="array" ref="U338">getParm(Tarifart,"StoSatz")*(Dauer-C338)*Beitrag*Zahlweise*(C338&lt;BZDauer)</f>
        <v>0</v>
      </c>
      <c r="V338" s="10">
        <f t="shared" si="68"/>
        <v>247472.62</v>
      </c>
    </row>
    <row r="339" spans="1:22" x14ac:dyDescent="0.45">
      <c r="A339" s="15">
        <f t="shared" si="69"/>
        <v>46569</v>
      </c>
      <c r="B339">
        <f t="shared" si="59"/>
        <v>330</v>
      </c>
      <c r="C339">
        <f t="shared" si="64"/>
        <v>27</v>
      </c>
      <c r="D339">
        <f t="shared" si="60"/>
        <v>6</v>
      </c>
      <c r="E339">
        <f t="shared" si="61"/>
        <v>1</v>
      </c>
      <c r="F339" s="10">
        <f t="shared" si="62"/>
        <v>0</v>
      </c>
      <c r="G339" s="10" cm="1">
        <f t="array" ref="G339">ROUND(getParm(Tarifart,"alpha")/(2*Zahlweise)*BeiSum*(C339&lt;2)*E339,2)</f>
        <v>0</v>
      </c>
      <c r="H339" s="10" cm="1">
        <f t="array" ref="H339">ROUND(F339*getParm(Tarifart,"beta")*E339,2)</f>
        <v>0</v>
      </c>
      <c r="I339" s="10" cm="1">
        <f t="array" ref="I339">ROUND(F339*get_Üb(YEAR(A339),$I$8)*E339,2)</f>
        <v>0</v>
      </c>
      <c r="J339" s="10">
        <f t="shared" si="65"/>
        <v>0</v>
      </c>
      <c r="K339" s="10">
        <f t="shared" si="66"/>
        <v>0</v>
      </c>
      <c r="L339" s="10" cm="1">
        <f t="array" ref="L339">ROUND(1/12*MAX(MTSum-R339-K339,MRSum)*Act_qx(x+C339,Geschlecht,getParm(Tarifart,"Tafel"),YEAR(GebDat),x+Dauer,1),2)</f>
        <v>4.4400000000000004</v>
      </c>
      <c r="M339" s="10" cm="1">
        <f t="array" ref="M339">ROUND(L339*get_Üb(YEAR(A339),$M$8),2)</f>
        <v>0.22</v>
      </c>
      <c r="N339" s="10" cm="1">
        <f t="array" ref="N339">ROUND(R339*getParm(Tarifart,IF(C339&lt;BZDauer,"gamma1","gamma2")),2)</f>
        <v>149.47999999999999</v>
      </c>
      <c r="O339" s="10" cm="1">
        <f t="array" ref="O339">ROUND(R339*get_Üb(YEAR(A339),$O$8),2)</f>
        <v>24.91</v>
      </c>
      <c r="P339" s="19">
        <f t="shared" si="67"/>
        <v>9.4350801829000002</v>
      </c>
      <c r="Q339" s="19" cm="1">
        <f t="array" ref="Q339">ROUND(P339+1/getKurs(EDATE(A339,-1))*(K339-L339-N339-getParm(Tarifart,"StK")+M339+O339),10)*(C339&lt;Dauer)</f>
        <v>9.4301318413999997</v>
      </c>
      <c r="R339" s="10" cm="1">
        <f t="array" ref="R339">ROUND(P339*getKurs($A339),2)</f>
        <v>249128.86</v>
      </c>
      <c r="S339" s="10" cm="1">
        <f t="array" ref="S339">ROUND(Q339*getKurs($A339),2)</f>
        <v>248998.2</v>
      </c>
      <c r="T339" s="10">
        <f t="shared" si="63"/>
        <v>252728.86</v>
      </c>
      <c r="U339" s="10" cm="1">
        <f t="array" ref="U339">getParm(Tarifart,"StoSatz")*(Dauer-C339)*Beitrag*Zahlweise*(C339&lt;BZDauer)</f>
        <v>0</v>
      </c>
      <c r="V339" s="10">
        <f t="shared" si="68"/>
        <v>248998.2</v>
      </c>
    </row>
    <row r="340" spans="1:22" x14ac:dyDescent="0.45">
      <c r="A340" s="15">
        <f t="shared" si="69"/>
        <v>46600</v>
      </c>
      <c r="B340">
        <f t="shared" si="59"/>
        <v>331</v>
      </c>
      <c r="C340">
        <f t="shared" si="64"/>
        <v>27</v>
      </c>
      <c r="D340">
        <f t="shared" si="60"/>
        <v>7</v>
      </c>
      <c r="E340">
        <f t="shared" si="61"/>
        <v>1</v>
      </c>
      <c r="F340" s="10">
        <f t="shared" si="62"/>
        <v>0</v>
      </c>
      <c r="G340" s="10" cm="1">
        <f t="array" ref="G340">ROUND(getParm(Tarifart,"alpha")/(2*Zahlweise)*BeiSum*(C340&lt;2)*E340,2)</f>
        <v>0</v>
      </c>
      <c r="H340" s="10" cm="1">
        <f t="array" ref="H340">ROUND(F340*getParm(Tarifart,"beta")*E340,2)</f>
        <v>0</v>
      </c>
      <c r="I340" s="10" cm="1">
        <f t="array" ref="I340">ROUND(F340*get_Üb(YEAR(A340),$I$8)*E340,2)</f>
        <v>0</v>
      </c>
      <c r="J340" s="10">
        <f t="shared" si="65"/>
        <v>0</v>
      </c>
      <c r="K340" s="10">
        <f t="shared" si="66"/>
        <v>0</v>
      </c>
      <c r="L340" s="10" cm="1">
        <f t="array" ref="L340">ROUND(1/12*MAX(MTSum-R340-K340,MRSum)*Act_qx(x+C340,Geschlecht,getParm(Tarifart,"Tafel"),YEAR(GebDat),x+Dauer,1),2)</f>
        <v>4.4400000000000004</v>
      </c>
      <c r="M340" s="10" cm="1">
        <f t="array" ref="M340">ROUND(L340*get_Üb(YEAR(A340),$M$8),2)</f>
        <v>0.22</v>
      </c>
      <c r="N340" s="10" cm="1">
        <f t="array" ref="N340">ROUND(R340*getParm(Tarifart,IF(C340&lt;BZDauer,"gamma1","gamma2")),2)</f>
        <v>150.4</v>
      </c>
      <c r="O340" s="10" cm="1">
        <f t="array" ref="O340">ROUND(R340*get_Üb(YEAR(A340),$O$8),2)</f>
        <v>25.07</v>
      </c>
      <c r="P340" s="19">
        <f t="shared" si="67"/>
        <v>9.4301318413999997</v>
      </c>
      <c r="Q340" s="19" cm="1">
        <f t="array" ref="Q340">ROUND(P340+1/getKurs(EDATE(A340,-1))*(K340-L340-N340-getParm(Tarifart,"StK")+M340+O340),10)*(C340&lt;Dauer)</f>
        <v>9.4251876140000004</v>
      </c>
      <c r="R340" s="10" cm="1">
        <f t="array" ref="R340">ROUND(P340*getKurs($A340),2)</f>
        <v>250664.6</v>
      </c>
      <c r="S340" s="10" cm="1">
        <f t="array" ref="S340">ROUND(Q340*getKurs($A340),2)</f>
        <v>250533.17</v>
      </c>
      <c r="T340" s="10">
        <f t="shared" si="63"/>
        <v>254264.6</v>
      </c>
      <c r="U340" s="10" cm="1">
        <f t="array" ref="U340">getParm(Tarifart,"StoSatz")*(Dauer-C340)*Beitrag*Zahlweise*(C340&lt;BZDauer)</f>
        <v>0</v>
      </c>
      <c r="V340" s="10">
        <f t="shared" si="68"/>
        <v>250533.17</v>
      </c>
    </row>
    <row r="341" spans="1:22" x14ac:dyDescent="0.45">
      <c r="A341" s="15">
        <f t="shared" si="69"/>
        <v>46631</v>
      </c>
      <c r="B341">
        <f t="shared" si="59"/>
        <v>332</v>
      </c>
      <c r="C341">
        <f t="shared" si="64"/>
        <v>27</v>
      </c>
      <c r="D341">
        <f t="shared" si="60"/>
        <v>8</v>
      </c>
      <c r="E341">
        <f t="shared" si="61"/>
        <v>1</v>
      </c>
      <c r="F341" s="10">
        <f t="shared" si="62"/>
        <v>0</v>
      </c>
      <c r="G341" s="10" cm="1">
        <f t="array" ref="G341">ROUND(getParm(Tarifart,"alpha")/(2*Zahlweise)*BeiSum*(C341&lt;2)*E341,2)</f>
        <v>0</v>
      </c>
      <c r="H341" s="10" cm="1">
        <f t="array" ref="H341">ROUND(F341*getParm(Tarifart,"beta")*E341,2)</f>
        <v>0</v>
      </c>
      <c r="I341" s="10" cm="1">
        <f t="array" ref="I341">ROUND(F341*get_Üb(YEAR(A341),$I$8)*E341,2)</f>
        <v>0</v>
      </c>
      <c r="J341" s="10">
        <f t="shared" si="65"/>
        <v>0</v>
      </c>
      <c r="K341" s="10">
        <f t="shared" si="66"/>
        <v>0</v>
      </c>
      <c r="L341" s="10" cm="1">
        <f t="array" ref="L341">ROUND(1/12*MAX(MTSum-R341-K341,MRSum)*Act_qx(x+C341,Geschlecht,getParm(Tarifart,"Tafel"),YEAR(GebDat),x+Dauer,1),2)</f>
        <v>4.4400000000000004</v>
      </c>
      <c r="M341" s="10" cm="1">
        <f t="array" ref="M341">ROUND(L341*get_Üb(YEAR(A341),$M$8),2)</f>
        <v>0.22</v>
      </c>
      <c r="N341" s="10" cm="1">
        <f t="array" ref="N341">ROUND(R341*getParm(Tarifart,IF(C341&lt;BZDauer,"gamma1","gamma2")),2)</f>
        <v>151.33000000000001</v>
      </c>
      <c r="O341" s="10" cm="1">
        <f t="array" ref="O341">ROUND(R341*get_Üb(YEAR(A341),$O$8),2)</f>
        <v>25.22</v>
      </c>
      <c r="P341" s="19">
        <f t="shared" si="67"/>
        <v>9.4251876140000004</v>
      </c>
      <c r="Q341" s="19" cm="1">
        <f t="array" ref="Q341">ROUND(P341+1/getKurs(EDATE(A341,-1))*(K341-L341-N341-getParm(Tarifart,"StK")+M341+O341),10)*(C341&lt;Dauer)</f>
        <v>9.4202469114999996</v>
      </c>
      <c r="R341" s="10" cm="1">
        <f t="array" ref="R341">ROUND(P341*getKurs($A341),2)</f>
        <v>252209.91</v>
      </c>
      <c r="S341" s="10" cm="1">
        <f t="array" ref="S341">ROUND(Q341*getKurs($A341),2)</f>
        <v>252077.71</v>
      </c>
      <c r="T341" s="10">
        <f t="shared" si="63"/>
        <v>255809.91</v>
      </c>
      <c r="U341" s="10" cm="1">
        <f t="array" ref="U341">getParm(Tarifart,"StoSatz")*(Dauer-C341)*Beitrag*Zahlweise*(C341&lt;BZDauer)</f>
        <v>0</v>
      </c>
      <c r="V341" s="10">
        <f t="shared" si="68"/>
        <v>252077.71</v>
      </c>
    </row>
    <row r="342" spans="1:22" x14ac:dyDescent="0.45">
      <c r="A342" s="15">
        <f t="shared" si="69"/>
        <v>46661</v>
      </c>
      <c r="B342">
        <f t="shared" si="59"/>
        <v>333</v>
      </c>
      <c r="C342">
        <f t="shared" si="64"/>
        <v>27</v>
      </c>
      <c r="D342">
        <f t="shared" si="60"/>
        <v>9</v>
      </c>
      <c r="E342">
        <f t="shared" si="61"/>
        <v>1</v>
      </c>
      <c r="F342" s="10">
        <f t="shared" si="62"/>
        <v>0</v>
      </c>
      <c r="G342" s="10" cm="1">
        <f t="array" ref="G342">ROUND(getParm(Tarifart,"alpha")/(2*Zahlweise)*BeiSum*(C342&lt;2)*E342,2)</f>
        <v>0</v>
      </c>
      <c r="H342" s="10" cm="1">
        <f t="array" ref="H342">ROUND(F342*getParm(Tarifart,"beta")*E342,2)</f>
        <v>0</v>
      </c>
      <c r="I342" s="10" cm="1">
        <f t="array" ref="I342">ROUND(F342*get_Üb(YEAR(A342),$I$8)*E342,2)</f>
        <v>0</v>
      </c>
      <c r="J342" s="10">
        <f t="shared" si="65"/>
        <v>0</v>
      </c>
      <c r="K342" s="10">
        <f t="shared" si="66"/>
        <v>0</v>
      </c>
      <c r="L342" s="10" cm="1">
        <f t="array" ref="L342">ROUND(1/12*MAX(MTSum-R342-K342,MRSum)*Act_qx(x+C342,Geschlecht,getParm(Tarifart,"Tafel"),YEAR(GebDat),x+Dauer,1),2)</f>
        <v>4.4400000000000004</v>
      </c>
      <c r="M342" s="10" cm="1">
        <f t="array" ref="M342">ROUND(L342*get_Üb(YEAR(A342),$M$8),2)</f>
        <v>0.22</v>
      </c>
      <c r="N342" s="10" cm="1">
        <f t="array" ref="N342">ROUND(R342*getParm(Tarifart,IF(C342&lt;BZDauer,"gamma1","gamma2")),2)</f>
        <v>152.26</v>
      </c>
      <c r="O342" s="10" cm="1">
        <f t="array" ref="O342">ROUND(R342*get_Üb(YEAR(A342),$O$8),2)</f>
        <v>25.38</v>
      </c>
      <c r="P342" s="19">
        <f t="shared" si="67"/>
        <v>9.4202469114999996</v>
      </c>
      <c r="Q342" s="19" cm="1">
        <f t="array" ref="Q342">ROUND(P342+1/getKurs(EDATE(A342,-1))*(K342-L342-N342-getParm(Tarifart,"StK")+M342+O342),10)*(C342&lt;Dauer)</f>
        <v>9.4153102805</v>
      </c>
      <c r="R342" s="10" cm="1">
        <f t="array" ref="R342">ROUND(P342*getKurs($A342),2)</f>
        <v>253764.68</v>
      </c>
      <c r="S342" s="10" cm="1">
        <f t="array" ref="S342">ROUND(Q342*getKurs($A342),2)</f>
        <v>253631.7</v>
      </c>
      <c r="T342" s="10">
        <f t="shared" si="63"/>
        <v>257364.68</v>
      </c>
      <c r="U342" s="10" cm="1">
        <f t="array" ref="U342">getParm(Tarifart,"StoSatz")*(Dauer-C342)*Beitrag*Zahlweise*(C342&lt;BZDauer)</f>
        <v>0</v>
      </c>
      <c r="V342" s="10">
        <f t="shared" si="68"/>
        <v>253631.7</v>
      </c>
    </row>
    <row r="343" spans="1:22" x14ac:dyDescent="0.45">
      <c r="A343" s="15">
        <f t="shared" si="69"/>
        <v>46692</v>
      </c>
      <c r="B343">
        <f t="shared" si="59"/>
        <v>334</v>
      </c>
      <c r="C343">
        <f t="shared" si="64"/>
        <v>27</v>
      </c>
      <c r="D343">
        <f t="shared" si="60"/>
        <v>10</v>
      </c>
      <c r="E343">
        <f t="shared" si="61"/>
        <v>1</v>
      </c>
      <c r="F343" s="10">
        <f t="shared" si="62"/>
        <v>0</v>
      </c>
      <c r="G343" s="10" cm="1">
        <f t="array" ref="G343">ROUND(getParm(Tarifart,"alpha")/(2*Zahlweise)*BeiSum*(C343&lt;2)*E343,2)</f>
        <v>0</v>
      </c>
      <c r="H343" s="10" cm="1">
        <f t="array" ref="H343">ROUND(F343*getParm(Tarifart,"beta")*E343,2)</f>
        <v>0</v>
      </c>
      <c r="I343" s="10" cm="1">
        <f t="array" ref="I343">ROUND(F343*get_Üb(YEAR(A343),$I$8)*E343,2)</f>
        <v>0</v>
      </c>
      <c r="J343" s="10">
        <f t="shared" si="65"/>
        <v>0</v>
      </c>
      <c r="K343" s="10">
        <f t="shared" si="66"/>
        <v>0</v>
      </c>
      <c r="L343" s="10" cm="1">
        <f t="array" ref="L343">ROUND(1/12*MAX(MTSum-R343-K343,MRSum)*Act_qx(x+C343,Geschlecht,getParm(Tarifart,"Tafel"),YEAR(GebDat),x+Dauer,1),2)</f>
        <v>4.4400000000000004</v>
      </c>
      <c r="M343" s="10" cm="1">
        <f t="array" ref="M343">ROUND(L343*get_Üb(YEAR(A343),$M$8),2)</f>
        <v>0.22</v>
      </c>
      <c r="N343" s="10" cm="1">
        <f t="array" ref="N343">ROUND(R343*getParm(Tarifart,IF(C343&lt;BZDauer,"gamma1","gamma2")),2)</f>
        <v>153.19999999999999</v>
      </c>
      <c r="O343" s="10" cm="1">
        <f t="array" ref="O343">ROUND(R343*get_Üb(YEAR(A343),$O$8),2)</f>
        <v>25.53</v>
      </c>
      <c r="P343" s="19">
        <f t="shared" si="67"/>
        <v>9.4153102805</v>
      </c>
      <c r="Q343" s="19" cm="1">
        <f t="array" ref="Q343">ROUND(P343+1/getKurs(EDATE(A343,-1))*(K343-L343-N343-getParm(Tarifart,"StK")+M343+O343),10)*(C343&lt;Dauer)</f>
        <v>9.4103771408999997</v>
      </c>
      <c r="R343" s="10" cm="1">
        <f t="array" ref="R343">ROUND(P343*getKurs($A343),2)</f>
        <v>255329.19</v>
      </c>
      <c r="S343" s="10" cm="1">
        <f t="array" ref="S343">ROUND(Q343*getKurs($A343),2)</f>
        <v>255195.41</v>
      </c>
      <c r="T343" s="10">
        <f t="shared" si="63"/>
        <v>258929.19</v>
      </c>
      <c r="U343" s="10" cm="1">
        <f t="array" ref="U343">getParm(Tarifart,"StoSatz")*(Dauer-C343)*Beitrag*Zahlweise*(C343&lt;BZDauer)</f>
        <v>0</v>
      </c>
      <c r="V343" s="10">
        <f t="shared" si="68"/>
        <v>255195.41</v>
      </c>
    </row>
    <row r="344" spans="1:22" x14ac:dyDescent="0.45">
      <c r="A344" s="15">
        <f t="shared" si="69"/>
        <v>46722</v>
      </c>
      <c r="B344">
        <f t="shared" si="59"/>
        <v>335</v>
      </c>
      <c r="C344">
        <f t="shared" si="64"/>
        <v>27</v>
      </c>
      <c r="D344">
        <f t="shared" si="60"/>
        <v>11</v>
      </c>
      <c r="E344">
        <f t="shared" si="61"/>
        <v>1</v>
      </c>
      <c r="F344" s="10">
        <f t="shared" si="62"/>
        <v>0</v>
      </c>
      <c r="G344" s="10" cm="1">
        <f t="array" ref="G344">ROUND(getParm(Tarifart,"alpha")/(2*Zahlweise)*BeiSum*(C344&lt;2)*E344,2)</f>
        <v>0</v>
      </c>
      <c r="H344" s="10" cm="1">
        <f t="array" ref="H344">ROUND(F344*getParm(Tarifart,"beta")*E344,2)</f>
        <v>0</v>
      </c>
      <c r="I344" s="10" cm="1">
        <f t="array" ref="I344">ROUND(F344*get_Üb(YEAR(A344),$I$8)*E344,2)</f>
        <v>0</v>
      </c>
      <c r="J344" s="10">
        <f t="shared" si="65"/>
        <v>0</v>
      </c>
      <c r="K344" s="10">
        <f t="shared" si="66"/>
        <v>0</v>
      </c>
      <c r="L344" s="10" cm="1">
        <f t="array" ref="L344">ROUND(1/12*MAX(MTSum-R344-K344,MRSum)*Act_qx(x+C344,Geschlecht,getParm(Tarifart,"Tafel"),YEAR(GebDat),x+Dauer,1),2)</f>
        <v>4.4400000000000004</v>
      </c>
      <c r="M344" s="10" cm="1">
        <f t="array" ref="M344">ROUND(L344*get_Üb(YEAR(A344),$M$8),2)</f>
        <v>0.22</v>
      </c>
      <c r="N344" s="10" cm="1">
        <f t="array" ref="N344">ROUND(R344*getParm(Tarifart,IF(C344&lt;BZDauer,"gamma1","gamma2")),2)</f>
        <v>154.13999999999999</v>
      </c>
      <c r="O344" s="10" cm="1">
        <f t="array" ref="O344">ROUND(R344*get_Üb(YEAR(A344),$O$8),2)</f>
        <v>25.69</v>
      </c>
      <c r="P344" s="19">
        <f t="shared" si="67"/>
        <v>9.4103771408999997</v>
      </c>
      <c r="Q344" s="19" cm="1">
        <f t="array" ref="Q344">ROUND(P344+1/getKurs(EDATE(A344,-1))*(K344-L344-N344-getParm(Tarifart,"StK")+M344+O344),10)*(C344&lt;Dauer)</f>
        <v>9.4054480352999992</v>
      </c>
      <c r="R344" s="10" cm="1">
        <f t="array" ref="R344">ROUND(P344*getKurs($A344),2)</f>
        <v>256903.3</v>
      </c>
      <c r="S344" s="10" cm="1">
        <f t="array" ref="S344">ROUND(Q344*getKurs($A344),2)</f>
        <v>256768.73</v>
      </c>
      <c r="T344" s="10">
        <f t="shared" si="63"/>
        <v>260503.3</v>
      </c>
      <c r="U344" s="10" cm="1">
        <f t="array" ref="U344">getParm(Tarifart,"StoSatz")*(Dauer-C344)*Beitrag*Zahlweise*(C344&lt;BZDauer)</f>
        <v>0</v>
      </c>
      <c r="V344" s="10">
        <f t="shared" si="68"/>
        <v>256768.73</v>
      </c>
    </row>
    <row r="345" spans="1:22" x14ac:dyDescent="0.45">
      <c r="A345" s="15">
        <f t="shared" si="69"/>
        <v>46753</v>
      </c>
      <c r="B345">
        <f t="shared" si="59"/>
        <v>336</v>
      </c>
      <c r="C345">
        <f t="shared" si="64"/>
        <v>28</v>
      </c>
      <c r="D345">
        <f t="shared" si="60"/>
        <v>0</v>
      </c>
      <c r="E345">
        <f t="shared" si="61"/>
        <v>1</v>
      </c>
      <c r="F345" s="10">
        <f t="shared" si="62"/>
        <v>0</v>
      </c>
      <c r="G345" s="10" cm="1">
        <f t="array" ref="G345">ROUND(getParm(Tarifart,"alpha")/(2*Zahlweise)*BeiSum*(C345&lt;2)*E345,2)</f>
        <v>0</v>
      </c>
      <c r="H345" s="10" cm="1">
        <f t="array" ref="H345">ROUND(F345*getParm(Tarifart,"beta")*E345,2)</f>
        <v>0</v>
      </c>
      <c r="I345" s="10" cm="1">
        <f t="array" ref="I345">ROUND(F345*get_Üb(YEAR(A345),$I$8)*E345,2)</f>
        <v>0</v>
      </c>
      <c r="J345" s="10">
        <f t="shared" si="65"/>
        <v>0</v>
      </c>
      <c r="K345" s="10">
        <f t="shared" si="66"/>
        <v>0</v>
      </c>
      <c r="L345" s="10" cm="1">
        <f t="array" ref="L345">ROUND(1/12*MAX(MTSum-R345-K345,MRSum)*Act_qx(x+C345,Geschlecht,getParm(Tarifart,"Tafel"),YEAR(GebDat),x+Dauer,1),2)</f>
        <v>4.8499999999999996</v>
      </c>
      <c r="M345" s="10" cm="1">
        <f t="array" ref="M345">ROUND(L345*get_Üb(YEAR(A345),$M$8),2)</f>
        <v>0.24</v>
      </c>
      <c r="N345" s="10" cm="1">
        <f t="array" ref="N345">ROUND(R345*getParm(Tarifart,IF(C345&lt;BZDauer,"gamma1","gamma2")),2)</f>
        <v>152.83000000000001</v>
      </c>
      <c r="O345" s="10" cm="1">
        <f t="array" ref="O345">ROUND(R345*get_Üb(YEAR(A345),$O$8),2)</f>
        <v>25.47</v>
      </c>
      <c r="P345" s="19">
        <f t="shared" si="67"/>
        <v>9.4054480352999992</v>
      </c>
      <c r="Q345" s="19" cm="1">
        <f t="array" ref="Q345">ROUND(P345+1/getKurs(EDATE(A345,-1))*(K345-L345-N345-getParm(Tarifart,"StK")+M345+O345),10)*(C345&lt;Dauer)</f>
        <v>9.4005773392999998</v>
      </c>
      <c r="R345" s="10" cm="1">
        <f t="array" ref="R345">ROUND(P345*getKurs($A345),2)</f>
        <v>254721.82</v>
      </c>
      <c r="S345" s="10" cm="1">
        <f t="array" ref="S345">ROUND(Q345*getKurs($A345),2)</f>
        <v>254589.91</v>
      </c>
      <c r="T345" s="10">
        <f t="shared" si="63"/>
        <v>258321.82</v>
      </c>
      <c r="U345" s="10" cm="1">
        <f t="array" ref="U345">getParm(Tarifart,"StoSatz")*(Dauer-C345)*Beitrag*Zahlweise*(C345&lt;BZDauer)</f>
        <v>0</v>
      </c>
      <c r="V345" s="10">
        <f t="shared" si="68"/>
        <v>254589.91</v>
      </c>
    </row>
    <row r="346" spans="1:22" x14ac:dyDescent="0.45">
      <c r="A346" s="15">
        <f t="shared" si="69"/>
        <v>46784</v>
      </c>
      <c r="B346">
        <f t="shared" si="59"/>
        <v>337</v>
      </c>
      <c r="C346">
        <f t="shared" si="64"/>
        <v>28</v>
      </c>
      <c r="D346">
        <f t="shared" si="60"/>
        <v>1</v>
      </c>
      <c r="E346">
        <f t="shared" si="61"/>
        <v>1</v>
      </c>
      <c r="F346" s="10">
        <f t="shared" si="62"/>
        <v>0</v>
      </c>
      <c r="G346" s="10" cm="1">
        <f t="array" ref="G346">ROUND(getParm(Tarifart,"alpha")/(2*Zahlweise)*BeiSum*(C346&lt;2)*E346,2)</f>
        <v>0</v>
      </c>
      <c r="H346" s="10" cm="1">
        <f t="array" ref="H346">ROUND(F346*getParm(Tarifart,"beta")*E346,2)</f>
        <v>0</v>
      </c>
      <c r="I346" s="10" cm="1">
        <f t="array" ref="I346">ROUND(F346*get_Üb(YEAR(A346),$I$8)*E346,2)</f>
        <v>0</v>
      </c>
      <c r="J346" s="10">
        <f t="shared" si="65"/>
        <v>0</v>
      </c>
      <c r="K346" s="10">
        <f t="shared" si="66"/>
        <v>0</v>
      </c>
      <c r="L346" s="10" cm="1">
        <f t="array" ref="L346">ROUND(1/12*MAX(MTSum-R346-K346,MRSum)*Act_qx(x+C346,Geschlecht,getParm(Tarifart,"Tafel"),YEAR(GebDat),x+Dauer,1),2)</f>
        <v>4.8499999999999996</v>
      </c>
      <c r="M346" s="10" cm="1">
        <f t="array" ref="M346">ROUND(L346*get_Üb(YEAR(A346),$M$8),2)</f>
        <v>0.24</v>
      </c>
      <c r="N346" s="10" cm="1">
        <f t="array" ref="N346">ROUND(R346*getParm(Tarifart,IF(C346&lt;BZDauer,"gamma1","gamma2")),2)</f>
        <v>151.54</v>
      </c>
      <c r="O346" s="10" cm="1">
        <f t="array" ref="O346">ROUND(R346*get_Üb(YEAR(A346),$O$8),2)</f>
        <v>25.26</v>
      </c>
      <c r="P346" s="19">
        <f t="shared" si="67"/>
        <v>9.4005773392999998</v>
      </c>
      <c r="Q346" s="19" cm="1">
        <f t="array" ref="Q346">ROUND(P346+1/getKurs(EDATE(A346,-1))*(K346-L346-N346-getParm(Tarifart,"StK")+M346+O346),10)*(C346&lt;Dauer)</f>
        <v>9.3957073814999994</v>
      </c>
      <c r="R346" s="10" cm="1">
        <f t="array" ref="R346">ROUND(P346*getKurs($A346),2)</f>
        <v>252560.42</v>
      </c>
      <c r="S346" s="10" cm="1">
        <f t="array" ref="S346">ROUND(Q346*getKurs($A346),2)</f>
        <v>252429.58</v>
      </c>
      <c r="T346" s="10">
        <f t="shared" si="63"/>
        <v>256160.42</v>
      </c>
      <c r="U346" s="10" cm="1">
        <f t="array" ref="U346">getParm(Tarifart,"StoSatz")*(Dauer-C346)*Beitrag*Zahlweise*(C346&lt;BZDauer)</f>
        <v>0</v>
      </c>
      <c r="V346" s="10">
        <f t="shared" si="68"/>
        <v>252429.58</v>
      </c>
    </row>
    <row r="347" spans="1:22" x14ac:dyDescent="0.45">
      <c r="A347" s="15">
        <f t="shared" si="69"/>
        <v>46813</v>
      </c>
      <c r="B347">
        <f t="shared" si="59"/>
        <v>338</v>
      </c>
      <c r="C347">
        <f t="shared" si="64"/>
        <v>28</v>
      </c>
      <c r="D347">
        <f t="shared" si="60"/>
        <v>2</v>
      </c>
      <c r="E347">
        <f t="shared" si="61"/>
        <v>1</v>
      </c>
      <c r="F347" s="10">
        <f t="shared" si="62"/>
        <v>0</v>
      </c>
      <c r="G347" s="10" cm="1">
        <f t="array" ref="G347">ROUND(getParm(Tarifart,"alpha")/(2*Zahlweise)*BeiSum*(C347&lt;2)*E347,2)</f>
        <v>0</v>
      </c>
      <c r="H347" s="10" cm="1">
        <f t="array" ref="H347">ROUND(F347*getParm(Tarifart,"beta")*E347,2)</f>
        <v>0</v>
      </c>
      <c r="I347" s="10" cm="1">
        <f t="array" ref="I347">ROUND(F347*get_Üb(YEAR(A347),$I$8)*E347,2)</f>
        <v>0</v>
      </c>
      <c r="J347" s="10">
        <f t="shared" si="65"/>
        <v>0</v>
      </c>
      <c r="K347" s="10">
        <f t="shared" si="66"/>
        <v>0</v>
      </c>
      <c r="L347" s="10" cm="1">
        <f t="array" ref="L347">ROUND(1/12*MAX(MTSum-R347-K347,MRSum)*Act_qx(x+C347,Geschlecht,getParm(Tarifart,"Tafel"),YEAR(GebDat),x+Dauer,1),2)</f>
        <v>4.8499999999999996</v>
      </c>
      <c r="M347" s="10" cm="1">
        <f t="array" ref="M347">ROUND(L347*get_Üb(YEAR(A347),$M$8),2)</f>
        <v>0.24</v>
      </c>
      <c r="N347" s="10" cm="1">
        <f t="array" ref="N347">ROUND(R347*getParm(Tarifart,IF(C347&lt;BZDauer,"gamma1","gamma2")),2)</f>
        <v>150.25</v>
      </c>
      <c r="O347" s="10" cm="1">
        <f t="array" ref="O347">ROUND(R347*get_Üb(YEAR(A347),$O$8),2)</f>
        <v>25.04</v>
      </c>
      <c r="P347" s="19">
        <f t="shared" si="67"/>
        <v>9.3957073814999994</v>
      </c>
      <c r="Q347" s="19" cm="1">
        <f t="array" ref="Q347">ROUND(P347+1/getKurs(EDATE(A347,-1))*(K347-L347-N347-getParm(Tarifart,"StK")+M347+O347),10)*(C347&lt;Dauer)</f>
        <v>9.3908381168999995</v>
      </c>
      <c r="R347" s="10" cm="1">
        <f t="array" ref="R347">ROUND(P347*getKurs($A347),2)</f>
        <v>250417.31</v>
      </c>
      <c r="S347" s="10" cm="1">
        <f t="array" ref="S347">ROUND(Q347*getKurs($A347),2)</f>
        <v>250287.53</v>
      </c>
      <c r="T347" s="10">
        <f t="shared" si="63"/>
        <v>254017.31</v>
      </c>
      <c r="U347" s="10" cm="1">
        <f t="array" ref="U347">getParm(Tarifart,"StoSatz")*(Dauer-C347)*Beitrag*Zahlweise*(C347&lt;BZDauer)</f>
        <v>0</v>
      </c>
      <c r="V347" s="10">
        <f t="shared" si="68"/>
        <v>250287.53</v>
      </c>
    </row>
    <row r="348" spans="1:22" x14ac:dyDescent="0.45">
      <c r="A348" s="15">
        <f t="shared" si="69"/>
        <v>46844</v>
      </c>
      <c r="B348">
        <f t="shared" si="59"/>
        <v>339</v>
      </c>
      <c r="C348">
        <f t="shared" si="64"/>
        <v>28</v>
      </c>
      <c r="D348">
        <f t="shared" si="60"/>
        <v>3</v>
      </c>
      <c r="E348">
        <f t="shared" si="61"/>
        <v>1</v>
      </c>
      <c r="F348" s="10">
        <f t="shared" si="62"/>
        <v>0</v>
      </c>
      <c r="G348" s="10" cm="1">
        <f t="array" ref="G348">ROUND(getParm(Tarifart,"alpha")/(2*Zahlweise)*BeiSum*(C348&lt;2)*E348,2)</f>
        <v>0</v>
      </c>
      <c r="H348" s="10" cm="1">
        <f t="array" ref="H348">ROUND(F348*getParm(Tarifart,"beta")*E348,2)</f>
        <v>0</v>
      </c>
      <c r="I348" s="10" cm="1">
        <f t="array" ref="I348">ROUND(F348*get_Üb(YEAR(A348),$I$8)*E348,2)</f>
        <v>0</v>
      </c>
      <c r="J348" s="10">
        <f t="shared" si="65"/>
        <v>0</v>
      </c>
      <c r="K348" s="10">
        <f t="shared" si="66"/>
        <v>0</v>
      </c>
      <c r="L348" s="10" cm="1">
        <f t="array" ref="L348">ROUND(1/12*MAX(MTSum-R348-K348,MRSum)*Act_qx(x+C348,Geschlecht,getParm(Tarifart,"Tafel"),YEAR(GebDat),x+Dauer,1),2)</f>
        <v>4.8499999999999996</v>
      </c>
      <c r="M348" s="10" cm="1">
        <f t="array" ref="M348">ROUND(L348*get_Üb(YEAR(A348),$M$8),2)</f>
        <v>0.24</v>
      </c>
      <c r="N348" s="10" cm="1">
        <f t="array" ref="N348">ROUND(R348*getParm(Tarifart,IF(C348&lt;BZDauer,"gamma1","gamma2")),2)</f>
        <v>148.97999999999999</v>
      </c>
      <c r="O348" s="10" cm="1">
        <f t="array" ref="O348">ROUND(R348*get_Üb(YEAR(A348),$O$8),2)</f>
        <v>24.83</v>
      </c>
      <c r="P348" s="19">
        <f t="shared" si="67"/>
        <v>9.3908381168999995</v>
      </c>
      <c r="Q348" s="19" cm="1">
        <f t="array" ref="Q348">ROUND(P348+1/getKurs(EDATE(A348,-1))*(K348-L348-N348-getParm(Tarifart,"StK")+M348+O348),10)*(C348&lt;Dauer)</f>
        <v>9.3859694957999995</v>
      </c>
      <c r="R348" s="10" cm="1">
        <f t="array" ref="R348">ROUND(P348*getKurs($A348),2)</f>
        <v>248292.35</v>
      </c>
      <c r="S348" s="10" cm="1">
        <f t="array" ref="S348">ROUND(Q348*getKurs($A348),2)</f>
        <v>248163.63</v>
      </c>
      <c r="T348" s="10">
        <f t="shared" si="63"/>
        <v>251892.35</v>
      </c>
      <c r="U348" s="10" cm="1">
        <f t="array" ref="U348">getParm(Tarifart,"StoSatz")*(Dauer-C348)*Beitrag*Zahlweise*(C348&lt;BZDauer)</f>
        <v>0</v>
      </c>
      <c r="V348" s="10">
        <f t="shared" si="68"/>
        <v>248163.63</v>
      </c>
    </row>
    <row r="349" spans="1:22" x14ac:dyDescent="0.45">
      <c r="A349" s="15">
        <f t="shared" si="69"/>
        <v>46874</v>
      </c>
      <c r="B349">
        <f t="shared" si="59"/>
        <v>340</v>
      </c>
      <c r="C349">
        <f t="shared" si="64"/>
        <v>28</v>
      </c>
      <c r="D349">
        <f t="shared" si="60"/>
        <v>4</v>
      </c>
      <c r="E349">
        <f t="shared" si="61"/>
        <v>1</v>
      </c>
      <c r="F349" s="10">
        <f t="shared" si="62"/>
        <v>0</v>
      </c>
      <c r="G349" s="10" cm="1">
        <f t="array" ref="G349">ROUND(getParm(Tarifart,"alpha")/(2*Zahlweise)*BeiSum*(C349&lt;2)*E349,2)</f>
        <v>0</v>
      </c>
      <c r="H349" s="10" cm="1">
        <f t="array" ref="H349">ROUND(F349*getParm(Tarifart,"beta")*E349,2)</f>
        <v>0</v>
      </c>
      <c r="I349" s="10" cm="1">
        <f t="array" ref="I349">ROUND(F349*get_Üb(YEAR(A349),$I$8)*E349,2)</f>
        <v>0</v>
      </c>
      <c r="J349" s="10">
        <f t="shared" si="65"/>
        <v>0</v>
      </c>
      <c r="K349" s="10">
        <f t="shared" si="66"/>
        <v>0</v>
      </c>
      <c r="L349" s="10" cm="1">
        <f t="array" ref="L349">ROUND(1/12*MAX(MTSum-R349-K349,MRSum)*Act_qx(x+C349,Geschlecht,getParm(Tarifart,"Tafel"),YEAR(GebDat),x+Dauer,1),2)</f>
        <v>4.8499999999999996</v>
      </c>
      <c r="M349" s="10" cm="1">
        <f t="array" ref="M349">ROUND(L349*get_Üb(YEAR(A349),$M$8),2)</f>
        <v>0.24</v>
      </c>
      <c r="N349" s="10" cm="1">
        <f t="array" ref="N349">ROUND(R349*getParm(Tarifart,IF(C349&lt;BZDauer,"gamma1","gamma2")),2)</f>
        <v>147.71</v>
      </c>
      <c r="O349" s="10" cm="1">
        <f t="array" ref="O349">ROUND(R349*get_Üb(YEAR(A349),$O$8),2)</f>
        <v>24.62</v>
      </c>
      <c r="P349" s="19">
        <f t="shared" si="67"/>
        <v>9.3859694957999995</v>
      </c>
      <c r="Q349" s="19" cm="1">
        <f t="array" ref="Q349">ROUND(P349+1/getKurs(EDATE(A349,-1))*(K349-L349-N349-getParm(Tarifart,"StK")+M349+O349),10)*(C349&lt;Dauer)</f>
        <v>9.3811018433999998</v>
      </c>
      <c r="R349" s="10" cm="1">
        <f t="array" ref="R349">ROUND(P349*getKurs($A349),2)</f>
        <v>246185.34</v>
      </c>
      <c r="S349" s="10" cm="1">
        <f t="array" ref="S349">ROUND(Q349*getKurs($A349),2)</f>
        <v>246057.67</v>
      </c>
      <c r="T349" s="10">
        <f t="shared" si="63"/>
        <v>249785.34</v>
      </c>
      <c r="U349" s="10" cm="1">
        <f t="array" ref="U349">getParm(Tarifart,"StoSatz")*(Dauer-C349)*Beitrag*Zahlweise*(C349&lt;BZDauer)</f>
        <v>0</v>
      </c>
      <c r="V349" s="10">
        <f t="shared" si="68"/>
        <v>246057.67</v>
      </c>
    </row>
    <row r="350" spans="1:22" x14ac:dyDescent="0.45">
      <c r="A350" s="15">
        <f t="shared" si="69"/>
        <v>46905</v>
      </c>
      <c r="B350">
        <f t="shared" si="59"/>
        <v>341</v>
      </c>
      <c r="C350">
        <f t="shared" si="64"/>
        <v>28</v>
      </c>
      <c r="D350">
        <f t="shared" si="60"/>
        <v>5</v>
      </c>
      <c r="E350">
        <f t="shared" si="61"/>
        <v>1</v>
      </c>
      <c r="F350" s="10">
        <f t="shared" si="62"/>
        <v>0</v>
      </c>
      <c r="G350" s="10" cm="1">
        <f t="array" ref="G350">ROUND(getParm(Tarifart,"alpha")/(2*Zahlweise)*BeiSum*(C350&lt;2)*E350,2)</f>
        <v>0</v>
      </c>
      <c r="H350" s="10" cm="1">
        <f t="array" ref="H350">ROUND(F350*getParm(Tarifart,"beta")*E350,2)</f>
        <v>0</v>
      </c>
      <c r="I350" s="10" cm="1">
        <f t="array" ref="I350">ROUND(F350*get_Üb(YEAR(A350),$I$8)*E350,2)</f>
        <v>0</v>
      </c>
      <c r="J350" s="10">
        <f t="shared" si="65"/>
        <v>0</v>
      </c>
      <c r="K350" s="10">
        <f t="shared" si="66"/>
        <v>0</v>
      </c>
      <c r="L350" s="10" cm="1">
        <f t="array" ref="L350">ROUND(1/12*MAX(MTSum-R350-K350,MRSum)*Act_qx(x+C350,Geschlecht,getParm(Tarifart,"Tafel"),YEAR(GebDat),x+Dauer,1),2)</f>
        <v>4.8499999999999996</v>
      </c>
      <c r="M350" s="10" cm="1">
        <f t="array" ref="M350">ROUND(L350*get_Üb(YEAR(A350),$M$8),2)</f>
        <v>0.24</v>
      </c>
      <c r="N350" s="10" cm="1">
        <f t="array" ref="N350">ROUND(R350*getParm(Tarifart,IF(C350&lt;BZDauer,"gamma1","gamma2")),2)</f>
        <v>146.46</v>
      </c>
      <c r="O350" s="10" cm="1">
        <f t="array" ref="O350">ROUND(R350*get_Üb(YEAR(A350),$O$8),2)</f>
        <v>24.41</v>
      </c>
      <c r="P350" s="19">
        <f t="shared" si="67"/>
        <v>9.3811018433999998</v>
      </c>
      <c r="Q350" s="19" cm="1">
        <f t="array" ref="Q350">ROUND(P350+1/getKurs(EDATE(A350,-1))*(K350-L350-N350-getParm(Tarifart,"StK")+M350+O350),10)*(C350&lt;Dauer)</f>
        <v>9.3762347263999999</v>
      </c>
      <c r="R350" s="10" cm="1">
        <f t="array" ref="R350">ROUND(P350*getKurs($A350),2)</f>
        <v>244096.18</v>
      </c>
      <c r="S350" s="10" cm="1">
        <f t="array" ref="S350">ROUND(Q350*getKurs($A350),2)</f>
        <v>243969.53</v>
      </c>
      <c r="T350" s="10">
        <f t="shared" si="63"/>
        <v>247696.18</v>
      </c>
      <c r="U350" s="10" cm="1">
        <f t="array" ref="U350">getParm(Tarifart,"StoSatz")*(Dauer-C350)*Beitrag*Zahlweise*(C350&lt;BZDauer)</f>
        <v>0</v>
      </c>
      <c r="V350" s="10">
        <f t="shared" si="68"/>
        <v>243969.53</v>
      </c>
    </row>
    <row r="351" spans="1:22" x14ac:dyDescent="0.45">
      <c r="A351" s="15">
        <f t="shared" si="69"/>
        <v>46935</v>
      </c>
      <c r="B351">
        <f t="shared" si="59"/>
        <v>342</v>
      </c>
      <c r="C351">
        <f t="shared" si="64"/>
        <v>28</v>
      </c>
      <c r="D351">
        <f t="shared" si="60"/>
        <v>6</v>
      </c>
      <c r="E351">
        <f t="shared" si="61"/>
        <v>1</v>
      </c>
      <c r="F351" s="10">
        <f t="shared" si="62"/>
        <v>0</v>
      </c>
      <c r="G351" s="10" cm="1">
        <f t="array" ref="G351">ROUND(getParm(Tarifart,"alpha")/(2*Zahlweise)*BeiSum*(C351&lt;2)*E351,2)</f>
        <v>0</v>
      </c>
      <c r="H351" s="10" cm="1">
        <f t="array" ref="H351">ROUND(F351*getParm(Tarifart,"beta")*E351,2)</f>
        <v>0</v>
      </c>
      <c r="I351" s="10" cm="1">
        <f t="array" ref="I351">ROUND(F351*get_Üb(YEAR(A351),$I$8)*E351,2)</f>
        <v>0</v>
      </c>
      <c r="J351" s="10">
        <f t="shared" si="65"/>
        <v>0</v>
      </c>
      <c r="K351" s="10">
        <f t="shared" si="66"/>
        <v>0</v>
      </c>
      <c r="L351" s="10" cm="1">
        <f t="array" ref="L351">ROUND(1/12*MAX(MTSum-R351-K351,MRSum)*Act_qx(x+C351,Geschlecht,getParm(Tarifart,"Tafel"),YEAR(GebDat),x+Dauer,1),2)</f>
        <v>4.8499999999999996</v>
      </c>
      <c r="M351" s="10" cm="1">
        <f t="array" ref="M351">ROUND(L351*get_Üb(YEAR(A351),$M$8),2)</f>
        <v>0.24</v>
      </c>
      <c r="N351" s="10" cm="1">
        <f t="array" ref="N351">ROUND(R351*getParm(Tarifart,IF(C351&lt;BZDauer,"gamma1","gamma2")),2)</f>
        <v>145.21</v>
      </c>
      <c r="O351" s="10" cm="1">
        <f t="array" ref="O351">ROUND(R351*get_Üb(YEAR(A351),$O$8),2)</f>
        <v>24.2</v>
      </c>
      <c r="P351" s="19">
        <f t="shared" si="67"/>
        <v>9.3762347263999999</v>
      </c>
      <c r="Q351" s="19" cm="1">
        <f t="array" ref="Q351">ROUND(P351+1/getKurs(EDATE(A351,-1))*(K351-L351-N351-getParm(Tarifart,"StK")+M351+O351),10)*(C351&lt;Dauer)</f>
        <v>9.3713684678</v>
      </c>
      <c r="R351" s="10" cm="1">
        <f t="array" ref="R351">ROUND(P351*getKurs($A351),2)</f>
        <v>242024.72</v>
      </c>
      <c r="S351" s="10" cm="1">
        <f t="array" ref="S351">ROUND(Q351*getKurs($A351),2)</f>
        <v>241899.1</v>
      </c>
      <c r="T351" s="10">
        <f t="shared" si="63"/>
        <v>245624.72</v>
      </c>
      <c r="U351" s="10" cm="1">
        <f t="array" ref="U351">getParm(Tarifart,"StoSatz")*(Dauer-C351)*Beitrag*Zahlweise*(C351&lt;BZDauer)</f>
        <v>0</v>
      </c>
      <c r="V351" s="10">
        <f t="shared" si="68"/>
        <v>241899.1</v>
      </c>
    </row>
    <row r="352" spans="1:22" x14ac:dyDescent="0.45">
      <c r="A352" s="15">
        <f t="shared" si="69"/>
        <v>46966</v>
      </c>
      <c r="B352">
        <f t="shared" si="59"/>
        <v>343</v>
      </c>
      <c r="C352">
        <f t="shared" si="64"/>
        <v>28</v>
      </c>
      <c r="D352">
        <f t="shared" si="60"/>
        <v>7</v>
      </c>
      <c r="E352">
        <f t="shared" si="61"/>
        <v>1</v>
      </c>
      <c r="F352" s="10">
        <f t="shared" si="62"/>
        <v>0</v>
      </c>
      <c r="G352" s="10" cm="1">
        <f t="array" ref="G352">ROUND(getParm(Tarifart,"alpha")/(2*Zahlweise)*BeiSum*(C352&lt;2)*E352,2)</f>
        <v>0</v>
      </c>
      <c r="H352" s="10" cm="1">
        <f t="array" ref="H352">ROUND(F352*getParm(Tarifart,"beta")*E352,2)</f>
        <v>0</v>
      </c>
      <c r="I352" s="10" cm="1">
        <f t="array" ref="I352">ROUND(F352*get_Üb(YEAR(A352),$I$8)*E352,2)</f>
        <v>0</v>
      </c>
      <c r="J352" s="10">
        <f t="shared" si="65"/>
        <v>0</v>
      </c>
      <c r="K352" s="10">
        <f t="shared" si="66"/>
        <v>0</v>
      </c>
      <c r="L352" s="10" cm="1">
        <f t="array" ref="L352">ROUND(1/12*MAX(MTSum-R352-K352,MRSum)*Act_qx(x+C352,Geschlecht,getParm(Tarifart,"Tafel"),YEAR(GebDat),x+Dauer,1),2)</f>
        <v>4.8499999999999996</v>
      </c>
      <c r="M352" s="10" cm="1">
        <f t="array" ref="M352">ROUND(L352*get_Üb(YEAR(A352),$M$8),2)</f>
        <v>0.24</v>
      </c>
      <c r="N352" s="10" cm="1">
        <f t="array" ref="N352">ROUND(R352*getParm(Tarifart,IF(C352&lt;BZDauer,"gamma1","gamma2")),2)</f>
        <v>143.97999999999999</v>
      </c>
      <c r="O352" s="10" cm="1">
        <f t="array" ref="O352">ROUND(R352*get_Üb(YEAR(A352),$O$8),2)</f>
        <v>24</v>
      </c>
      <c r="P352" s="19">
        <f t="shared" si="67"/>
        <v>9.3713684678</v>
      </c>
      <c r="Q352" s="19" cm="1">
        <f t="array" ref="Q352">ROUND(P352+1/getKurs(EDATE(A352,-1))*(K352-L352-N352-getParm(Tarifart,"StK")+M352+O352),10)*(C352&lt;Dauer)</f>
        <v>9.3665030088000005</v>
      </c>
      <c r="R352" s="10" cm="1">
        <f t="array" ref="R352">ROUND(P352*getKurs($A352),2)</f>
        <v>239970.76</v>
      </c>
      <c r="S352" s="10" cm="1">
        <f t="array" ref="S352">ROUND(Q352*getKurs($A352),2)</f>
        <v>239846.17</v>
      </c>
      <c r="T352" s="10">
        <f t="shared" si="63"/>
        <v>243570.76</v>
      </c>
      <c r="U352" s="10" cm="1">
        <f t="array" ref="U352">getParm(Tarifart,"StoSatz")*(Dauer-C352)*Beitrag*Zahlweise*(C352&lt;BZDauer)</f>
        <v>0</v>
      </c>
      <c r="V352" s="10">
        <f t="shared" si="68"/>
        <v>239846.17</v>
      </c>
    </row>
    <row r="353" spans="1:22" x14ac:dyDescent="0.45">
      <c r="A353" s="15">
        <f t="shared" si="69"/>
        <v>46997</v>
      </c>
      <c r="B353">
        <f t="shared" si="59"/>
        <v>344</v>
      </c>
      <c r="C353">
        <f t="shared" si="64"/>
        <v>28</v>
      </c>
      <c r="D353">
        <f t="shared" si="60"/>
        <v>8</v>
      </c>
      <c r="E353">
        <f t="shared" si="61"/>
        <v>1</v>
      </c>
      <c r="F353" s="10">
        <f t="shared" si="62"/>
        <v>0</v>
      </c>
      <c r="G353" s="10" cm="1">
        <f t="array" ref="G353">ROUND(getParm(Tarifart,"alpha")/(2*Zahlweise)*BeiSum*(C353&lt;2)*E353,2)</f>
        <v>0</v>
      </c>
      <c r="H353" s="10" cm="1">
        <f t="array" ref="H353">ROUND(F353*getParm(Tarifart,"beta")*E353,2)</f>
        <v>0</v>
      </c>
      <c r="I353" s="10" cm="1">
        <f t="array" ref="I353">ROUND(F353*get_Üb(YEAR(A353),$I$8)*E353,2)</f>
        <v>0</v>
      </c>
      <c r="J353" s="10">
        <f t="shared" si="65"/>
        <v>0</v>
      </c>
      <c r="K353" s="10">
        <f t="shared" si="66"/>
        <v>0</v>
      </c>
      <c r="L353" s="10" cm="1">
        <f t="array" ref="L353">ROUND(1/12*MAX(MTSum-R353-K353,MRSum)*Act_qx(x+C353,Geschlecht,getParm(Tarifart,"Tafel"),YEAR(GebDat),x+Dauer,1),2)</f>
        <v>4.8499999999999996</v>
      </c>
      <c r="M353" s="10" cm="1">
        <f t="array" ref="M353">ROUND(L353*get_Üb(YEAR(A353),$M$8),2)</f>
        <v>0.24</v>
      </c>
      <c r="N353" s="10" cm="1">
        <f t="array" ref="N353">ROUND(R353*getParm(Tarifart,IF(C353&lt;BZDauer,"gamma1","gamma2")),2)</f>
        <v>142.76</v>
      </c>
      <c r="O353" s="10" cm="1">
        <f t="array" ref="O353">ROUND(R353*get_Üb(YEAR(A353),$O$8),2)</f>
        <v>23.79</v>
      </c>
      <c r="P353" s="19">
        <f t="shared" si="67"/>
        <v>9.3665030088000005</v>
      </c>
      <c r="Q353" s="19" cm="1">
        <f t="array" ref="Q353">ROUND(P353+1/getKurs(EDATE(A353,-1))*(K353-L353-N353-getParm(Tarifart,"StK")+M353+O353),10)*(C353&lt;Dauer)</f>
        <v>9.3616378947999994</v>
      </c>
      <c r="R353" s="10" cm="1">
        <f t="array" ref="R353">ROUND(P353*getKurs($A353),2)</f>
        <v>237934.18</v>
      </c>
      <c r="S353" s="10" cm="1">
        <f t="array" ref="S353">ROUND(Q353*getKurs($A353),2)</f>
        <v>237810.6</v>
      </c>
      <c r="T353" s="10">
        <f t="shared" si="63"/>
        <v>241534.18</v>
      </c>
      <c r="U353" s="10" cm="1">
        <f t="array" ref="U353">getParm(Tarifart,"StoSatz")*(Dauer-C353)*Beitrag*Zahlweise*(C353&lt;BZDauer)</f>
        <v>0</v>
      </c>
      <c r="V353" s="10">
        <f t="shared" si="68"/>
        <v>237810.6</v>
      </c>
    </row>
    <row r="354" spans="1:22" x14ac:dyDescent="0.45">
      <c r="A354" s="15">
        <f t="shared" si="69"/>
        <v>47027</v>
      </c>
      <c r="B354">
        <f t="shared" si="59"/>
        <v>345</v>
      </c>
      <c r="C354">
        <f t="shared" si="64"/>
        <v>28</v>
      </c>
      <c r="D354">
        <f t="shared" si="60"/>
        <v>9</v>
      </c>
      <c r="E354">
        <f t="shared" si="61"/>
        <v>1</v>
      </c>
      <c r="F354" s="10">
        <f t="shared" si="62"/>
        <v>0</v>
      </c>
      <c r="G354" s="10" cm="1">
        <f t="array" ref="G354">ROUND(getParm(Tarifart,"alpha")/(2*Zahlweise)*BeiSum*(C354&lt;2)*E354,2)</f>
        <v>0</v>
      </c>
      <c r="H354" s="10" cm="1">
        <f t="array" ref="H354">ROUND(F354*getParm(Tarifart,"beta")*E354,2)</f>
        <v>0</v>
      </c>
      <c r="I354" s="10" cm="1">
        <f t="array" ref="I354">ROUND(F354*get_Üb(YEAR(A354),$I$8)*E354,2)</f>
        <v>0</v>
      </c>
      <c r="J354" s="10">
        <f t="shared" si="65"/>
        <v>0</v>
      </c>
      <c r="K354" s="10">
        <f t="shared" si="66"/>
        <v>0</v>
      </c>
      <c r="L354" s="10" cm="1">
        <f t="array" ref="L354">ROUND(1/12*MAX(MTSum-R354-K354,MRSum)*Act_qx(x+C354,Geschlecht,getParm(Tarifart,"Tafel"),YEAR(GebDat),x+Dauer,1),2)</f>
        <v>4.8499999999999996</v>
      </c>
      <c r="M354" s="10" cm="1">
        <f t="array" ref="M354">ROUND(L354*get_Üb(YEAR(A354),$M$8),2)</f>
        <v>0.24</v>
      </c>
      <c r="N354" s="10" cm="1">
        <f t="array" ref="N354">ROUND(R354*getParm(Tarifart,IF(C354&lt;BZDauer,"gamma1","gamma2")),2)</f>
        <v>141.55000000000001</v>
      </c>
      <c r="O354" s="10" cm="1">
        <f t="array" ref="O354">ROUND(R354*get_Üb(YEAR(A354),$O$8),2)</f>
        <v>23.59</v>
      </c>
      <c r="P354" s="19">
        <f t="shared" si="67"/>
        <v>9.3616378947999994</v>
      </c>
      <c r="Q354" s="19" cm="1">
        <f t="array" ref="Q354">ROUND(P354+1/getKurs(EDATE(A354,-1))*(K354-L354-N354-getParm(Tarifart,"StK")+M354+O354),10)*(C354&lt;Dauer)</f>
        <v>9.3567734455</v>
      </c>
      <c r="R354" s="10" cm="1">
        <f t="array" ref="R354">ROUND(P354*getKurs($A354),2)</f>
        <v>235914.87</v>
      </c>
      <c r="S354" s="10" cm="1">
        <f t="array" ref="S354">ROUND(Q354*getKurs($A354),2)</f>
        <v>235792.28</v>
      </c>
      <c r="T354" s="10">
        <f t="shared" si="63"/>
        <v>239514.87</v>
      </c>
      <c r="U354" s="10" cm="1">
        <f t="array" ref="U354">getParm(Tarifart,"StoSatz")*(Dauer-C354)*Beitrag*Zahlweise*(C354&lt;BZDauer)</f>
        <v>0</v>
      </c>
      <c r="V354" s="10">
        <f t="shared" si="68"/>
        <v>235792.28</v>
      </c>
    </row>
    <row r="355" spans="1:22" x14ac:dyDescent="0.45">
      <c r="A355" s="15">
        <f t="shared" si="69"/>
        <v>47058</v>
      </c>
      <c r="B355">
        <f t="shared" si="59"/>
        <v>346</v>
      </c>
      <c r="C355">
        <f t="shared" si="64"/>
        <v>28</v>
      </c>
      <c r="D355">
        <f t="shared" si="60"/>
        <v>10</v>
      </c>
      <c r="E355">
        <f t="shared" si="61"/>
        <v>1</v>
      </c>
      <c r="F355" s="10">
        <f t="shared" si="62"/>
        <v>0</v>
      </c>
      <c r="G355" s="10" cm="1">
        <f t="array" ref="G355">ROUND(getParm(Tarifart,"alpha")/(2*Zahlweise)*BeiSum*(C355&lt;2)*E355,2)</f>
        <v>0</v>
      </c>
      <c r="H355" s="10" cm="1">
        <f t="array" ref="H355">ROUND(F355*getParm(Tarifart,"beta")*E355,2)</f>
        <v>0</v>
      </c>
      <c r="I355" s="10" cm="1">
        <f t="array" ref="I355">ROUND(F355*get_Üb(YEAR(A355),$I$8)*E355,2)</f>
        <v>0</v>
      </c>
      <c r="J355" s="10">
        <f t="shared" si="65"/>
        <v>0</v>
      </c>
      <c r="K355" s="10">
        <f t="shared" si="66"/>
        <v>0</v>
      </c>
      <c r="L355" s="10" cm="1">
        <f t="array" ref="L355">ROUND(1/12*MAX(MTSum-R355-K355,MRSum)*Act_qx(x+C355,Geschlecht,getParm(Tarifart,"Tafel"),YEAR(GebDat),x+Dauer,1),2)</f>
        <v>4.8499999999999996</v>
      </c>
      <c r="M355" s="10" cm="1">
        <f t="array" ref="M355">ROUND(L355*get_Üb(YEAR(A355),$M$8),2)</f>
        <v>0.24</v>
      </c>
      <c r="N355" s="10" cm="1">
        <f t="array" ref="N355">ROUND(R355*getParm(Tarifart,IF(C355&lt;BZDauer,"gamma1","gamma2")),2)</f>
        <v>140.35</v>
      </c>
      <c r="O355" s="10" cm="1">
        <f t="array" ref="O355">ROUND(R355*get_Üb(YEAR(A355),$O$8),2)</f>
        <v>23.39</v>
      </c>
      <c r="P355" s="19">
        <f t="shared" si="67"/>
        <v>9.3567734455</v>
      </c>
      <c r="Q355" s="19" cm="1">
        <f t="array" ref="Q355">ROUND(P355+1/getKurs(EDATE(A355,-1))*(K355-L355-N355-getParm(Tarifart,"StK")+M355+O355),10)*(C355&lt;Dauer)</f>
        <v>9.3519095893999999</v>
      </c>
      <c r="R355" s="10" cm="1">
        <f t="array" ref="R355">ROUND(P355*getKurs($A355),2)</f>
        <v>233912.69</v>
      </c>
      <c r="S355" s="10" cm="1">
        <f t="array" ref="S355">ROUND(Q355*getKurs($A355),2)</f>
        <v>233791.1</v>
      </c>
      <c r="T355" s="10">
        <f t="shared" si="63"/>
        <v>237512.69</v>
      </c>
      <c r="U355" s="10" cm="1">
        <f t="array" ref="U355">getParm(Tarifart,"StoSatz")*(Dauer-C355)*Beitrag*Zahlweise*(C355&lt;BZDauer)</f>
        <v>0</v>
      </c>
      <c r="V355" s="10">
        <f t="shared" si="68"/>
        <v>233791.1</v>
      </c>
    </row>
    <row r="356" spans="1:22" x14ac:dyDescent="0.45">
      <c r="A356" s="15">
        <f t="shared" si="69"/>
        <v>47088</v>
      </c>
      <c r="B356">
        <f t="shared" si="59"/>
        <v>347</v>
      </c>
      <c r="C356">
        <f t="shared" si="64"/>
        <v>28</v>
      </c>
      <c r="D356">
        <f t="shared" si="60"/>
        <v>11</v>
      </c>
      <c r="E356">
        <f t="shared" si="61"/>
        <v>1</v>
      </c>
      <c r="F356" s="10">
        <f t="shared" si="62"/>
        <v>0</v>
      </c>
      <c r="G356" s="10" cm="1">
        <f t="array" ref="G356">ROUND(getParm(Tarifart,"alpha")/(2*Zahlweise)*BeiSum*(C356&lt;2)*E356,2)</f>
        <v>0</v>
      </c>
      <c r="H356" s="10" cm="1">
        <f t="array" ref="H356">ROUND(F356*getParm(Tarifart,"beta")*E356,2)</f>
        <v>0</v>
      </c>
      <c r="I356" s="10" cm="1">
        <f t="array" ref="I356">ROUND(F356*get_Üb(YEAR(A356),$I$8)*E356,2)</f>
        <v>0</v>
      </c>
      <c r="J356" s="10">
        <f t="shared" si="65"/>
        <v>0</v>
      </c>
      <c r="K356" s="10">
        <f t="shared" si="66"/>
        <v>0</v>
      </c>
      <c r="L356" s="10" cm="1">
        <f t="array" ref="L356">ROUND(1/12*MAX(MTSum-R356-K356,MRSum)*Act_qx(x+C356,Geschlecht,getParm(Tarifart,"Tafel"),YEAR(GebDat),x+Dauer,1),2)</f>
        <v>4.8499999999999996</v>
      </c>
      <c r="M356" s="10" cm="1">
        <f t="array" ref="M356">ROUND(L356*get_Üb(YEAR(A356),$M$8),2)</f>
        <v>0.24</v>
      </c>
      <c r="N356" s="10" cm="1">
        <f t="array" ref="N356">ROUND(R356*getParm(Tarifart,IF(C356&lt;BZDauer,"gamma1","gamma2")),2)</f>
        <v>139.16</v>
      </c>
      <c r="O356" s="10" cm="1">
        <f t="array" ref="O356">ROUND(R356*get_Üb(YEAR(A356),$O$8),2)</f>
        <v>23.19</v>
      </c>
      <c r="P356" s="19">
        <f t="shared" si="67"/>
        <v>9.3519095893999999</v>
      </c>
      <c r="Q356" s="19" cm="1">
        <f t="array" ref="Q356">ROUND(P356+1/getKurs(EDATE(A356,-1))*(K356-L356-N356-getParm(Tarifart,"StK")+M356+O356),10)*(C356&lt;Dauer)</f>
        <v>9.3470462513000001</v>
      </c>
      <c r="R356" s="10" cm="1">
        <f t="array" ref="R356">ROUND(P356*getKurs($A356),2)</f>
        <v>231927.36</v>
      </c>
      <c r="S356" s="10" cm="1">
        <f t="array" ref="S356">ROUND(Q356*getKurs($A356),2)</f>
        <v>231806.75</v>
      </c>
      <c r="T356" s="10">
        <f t="shared" si="63"/>
        <v>235527.36</v>
      </c>
      <c r="U356" s="10" cm="1">
        <f t="array" ref="U356">getParm(Tarifart,"StoSatz")*(Dauer-C356)*Beitrag*Zahlweise*(C356&lt;BZDauer)</f>
        <v>0</v>
      </c>
      <c r="V356" s="10">
        <f t="shared" si="68"/>
        <v>231806.75</v>
      </c>
    </row>
    <row r="357" spans="1:22" x14ac:dyDescent="0.45">
      <c r="A357" s="15">
        <f t="shared" si="69"/>
        <v>47119</v>
      </c>
      <c r="B357">
        <f t="shared" si="59"/>
        <v>348</v>
      </c>
      <c r="C357">
        <f t="shared" si="64"/>
        <v>29</v>
      </c>
      <c r="D357">
        <f t="shared" si="60"/>
        <v>0</v>
      </c>
      <c r="E357">
        <f t="shared" si="61"/>
        <v>1</v>
      </c>
      <c r="F357" s="10">
        <f t="shared" si="62"/>
        <v>0</v>
      </c>
      <c r="G357" s="10" cm="1">
        <f t="array" ref="G357">ROUND(getParm(Tarifart,"alpha")/(2*Zahlweise)*BeiSum*(C357&lt;2)*E357,2)</f>
        <v>0</v>
      </c>
      <c r="H357" s="10" cm="1">
        <f t="array" ref="H357">ROUND(F357*getParm(Tarifart,"beta")*E357,2)</f>
        <v>0</v>
      </c>
      <c r="I357" s="10" cm="1">
        <f t="array" ref="I357">ROUND(F357*get_Üb(YEAR(A357),$I$8)*E357,2)</f>
        <v>0</v>
      </c>
      <c r="J357" s="10">
        <f t="shared" si="65"/>
        <v>0</v>
      </c>
      <c r="K357" s="10">
        <f t="shared" si="66"/>
        <v>0</v>
      </c>
      <c r="L357" s="10" cm="1">
        <f t="array" ref="L357">ROUND(1/12*MAX(MTSum-R357-K357,MRSum)*Act_qx(x+C357,Geschlecht,getParm(Tarifart,"Tafel"),YEAR(GebDat),x+Dauer,1),2)</f>
        <v>5.29</v>
      </c>
      <c r="M357" s="10" cm="1">
        <f t="array" ref="M357">ROUND(L357*get_Üb(YEAR(A357),$M$8),2)</f>
        <v>0.26</v>
      </c>
      <c r="N357" s="10" cm="1">
        <f t="array" ref="N357">ROUND(R357*getParm(Tarifart,IF(C357&lt;BZDauer,"gamma1","gamma2")),2)</f>
        <v>140.94999999999999</v>
      </c>
      <c r="O357" s="10" cm="1">
        <f t="array" ref="O357">ROUND(R357*get_Üb(YEAR(A357),$O$8),2)</f>
        <v>23.49</v>
      </c>
      <c r="P357" s="19">
        <f t="shared" si="67"/>
        <v>9.3470462513000001</v>
      </c>
      <c r="Q357" s="19" cm="1">
        <f t="array" ref="Q357">ROUND(P357+1/getKurs(EDATE(A357,-1))*(K357-L357-N357-getParm(Tarifart,"StK")+M357+O357),10)*(C357&lt;Dauer)</f>
        <v>9.3420668158000009</v>
      </c>
      <c r="R357" s="10" cm="1">
        <f t="array" ref="R357">ROUND(P357*getKurs($A357),2)</f>
        <v>234916.14</v>
      </c>
      <c r="S357" s="10" cm="1">
        <f t="array" ref="S357">ROUND(Q357*getKurs($A357),2)</f>
        <v>234790.99</v>
      </c>
      <c r="T357" s="10">
        <f t="shared" si="63"/>
        <v>238516.14</v>
      </c>
      <c r="U357" s="10" cm="1">
        <f t="array" ref="U357">getParm(Tarifart,"StoSatz")*(Dauer-C357)*Beitrag*Zahlweise*(C357&lt;BZDauer)</f>
        <v>0</v>
      </c>
      <c r="V357" s="10">
        <f t="shared" si="68"/>
        <v>234790.99</v>
      </c>
    </row>
    <row r="358" spans="1:22" x14ac:dyDescent="0.45">
      <c r="A358" s="15">
        <f t="shared" si="69"/>
        <v>47150</v>
      </c>
      <c r="B358">
        <f t="shared" si="59"/>
        <v>349</v>
      </c>
      <c r="C358">
        <f t="shared" si="64"/>
        <v>29</v>
      </c>
      <c r="D358">
        <f t="shared" si="60"/>
        <v>1</v>
      </c>
      <c r="E358">
        <f t="shared" si="61"/>
        <v>1</v>
      </c>
      <c r="F358" s="10">
        <f t="shared" si="62"/>
        <v>0</v>
      </c>
      <c r="G358" s="10" cm="1">
        <f t="array" ref="G358">ROUND(getParm(Tarifart,"alpha")/(2*Zahlweise)*BeiSum*(C358&lt;2)*E358,2)</f>
        <v>0</v>
      </c>
      <c r="H358" s="10" cm="1">
        <f t="array" ref="H358">ROUND(F358*getParm(Tarifart,"beta")*E358,2)</f>
        <v>0</v>
      </c>
      <c r="I358" s="10" cm="1">
        <f t="array" ref="I358">ROUND(F358*get_Üb(YEAR(A358),$I$8)*E358,2)</f>
        <v>0</v>
      </c>
      <c r="J358" s="10">
        <f t="shared" si="65"/>
        <v>0</v>
      </c>
      <c r="K358" s="10">
        <f t="shared" si="66"/>
        <v>0</v>
      </c>
      <c r="L358" s="10" cm="1">
        <f t="array" ref="L358">ROUND(1/12*MAX(MTSum-R358-K358,MRSum)*Act_qx(x+C358,Geschlecht,getParm(Tarifart,"Tafel"),YEAR(GebDat),x+Dauer,1),2)</f>
        <v>5.29</v>
      </c>
      <c r="M358" s="10" cm="1">
        <f t="array" ref="M358">ROUND(L358*get_Üb(YEAR(A358),$M$8),2)</f>
        <v>0.26</v>
      </c>
      <c r="N358" s="10" cm="1">
        <f t="array" ref="N358">ROUND(R358*getParm(Tarifart,IF(C358&lt;BZDauer,"gamma1","gamma2")),2)</f>
        <v>142.76</v>
      </c>
      <c r="O358" s="10" cm="1">
        <f t="array" ref="O358">ROUND(R358*get_Üb(YEAR(A358),$O$8),2)</f>
        <v>23.79</v>
      </c>
      <c r="P358" s="19">
        <f t="shared" si="67"/>
        <v>9.3420668158000009</v>
      </c>
      <c r="Q358" s="19" cm="1">
        <f t="array" ref="Q358">ROUND(P358+1/getKurs(EDATE(A358,-1))*(K358-L358-N358-getParm(Tarifart,"StK")+M358+O358),10)*(C358&lt;Dauer)</f>
        <v>9.3370932078000006</v>
      </c>
      <c r="R358" s="10" cm="1">
        <f t="array" ref="R358">ROUND(P358*getKurs($A358),2)</f>
        <v>237940.39</v>
      </c>
      <c r="S358" s="10" cm="1">
        <f t="array" ref="S358">ROUND(Q358*getKurs($A358),2)</f>
        <v>237813.71</v>
      </c>
      <c r="T358" s="10">
        <f t="shared" si="63"/>
        <v>241540.39</v>
      </c>
      <c r="U358" s="10" cm="1">
        <f t="array" ref="U358">getParm(Tarifart,"StoSatz")*(Dauer-C358)*Beitrag*Zahlweise*(C358&lt;BZDauer)</f>
        <v>0</v>
      </c>
      <c r="V358" s="10">
        <f t="shared" si="68"/>
        <v>237813.71</v>
      </c>
    </row>
    <row r="359" spans="1:22" x14ac:dyDescent="0.45">
      <c r="A359" s="15">
        <f t="shared" si="69"/>
        <v>47178</v>
      </c>
      <c r="B359">
        <f t="shared" si="59"/>
        <v>350</v>
      </c>
      <c r="C359">
        <f t="shared" si="64"/>
        <v>29</v>
      </c>
      <c r="D359">
        <f t="shared" si="60"/>
        <v>2</v>
      </c>
      <c r="E359">
        <f t="shared" si="61"/>
        <v>1</v>
      </c>
      <c r="F359" s="10">
        <f t="shared" si="62"/>
        <v>0</v>
      </c>
      <c r="G359" s="10" cm="1">
        <f t="array" ref="G359">ROUND(getParm(Tarifart,"alpha")/(2*Zahlweise)*BeiSum*(C359&lt;2)*E359,2)</f>
        <v>0</v>
      </c>
      <c r="H359" s="10" cm="1">
        <f t="array" ref="H359">ROUND(F359*getParm(Tarifart,"beta")*E359,2)</f>
        <v>0</v>
      </c>
      <c r="I359" s="10" cm="1">
        <f t="array" ref="I359">ROUND(F359*get_Üb(YEAR(A359),$I$8)*E359,2)</f>
        <v>0</v>
      </c>
      <c r="J359" s="10">
        <f t="shared" si="65"/>
        <v>0</v>
      </c>
      <c r="K359" s="10">
        <f t="shared" si="66"/>
        <v>0</v>
      </c>
      <c r="L359" s="10" cm="1">
        <f t="array" ref="L359">ROUND(1/12*MAX(MTSum-R359-K359,MRSum)*Act_qx(x+C359,Geschlecht,getParm(Tarifart,"Tafel"),YEAR(GebDat),x+Dauer,1),2)</f>
        <v>5.29</v>
      </c>
      <c r="M359" s="10" cm="1">
        <f t="array" ref="M359">ROUND(L359*get_Üb(YEAR(A359),$M$8),2)</f>
        <v>0.26</v>
      </c>
      <c r="N359" s="10" cm="1">
        <f t="array" ref="N359">ROUND(R359*getParm(Tarifart,IF(C359&lt;BZDauer,"gamma1","gamma2")),2)</f>
        <v>144.6</v>
      </c>
      <c r="O359" s="10" cm="1">
        <f t="array" ref="O359">ROUND(R359*get_Üb(YEAR(A359),$O$8),2)</f>
        <v>24.1</v>
      </c>
      <c r="P359" s="19">
        <f t="shared" si="67"/>
        <v>9.3370932078000006</v>
      </c>
      <c r="Q359" s="19" cm="1">
        <f t="array" ref="Q359">ROUND(P359+1/getKurs(EDATE(A359,-1))*(K359-L359-N359-getParm(Tarifart,"StK")+M359+O359),10)*(C359&lt;Dauer)</f>
        <v>9.3321253595999991</v>
      </c>
      <c r="R359" s="10" cm="1">
        <f t="array" ref="R359">ROUND(P359*getKurs($A359),2)</f>
        <v>241003.73</v>
      </c>
      <c r="S359" s="10" cm="1">
        <f t="array" ref="S359">ROUND(Q359*getKurs($A359),2)</f>
        <v>240875.5</v>
      </c>
      <c r="T359" s="10">
        <f t="shared" si="63"/>
        <v>244603.73</v>
      </c>
      <c r="U359" s="10" cm="1">
        <f t="array" ref="U359">getParm(Tarifart,"StoSatz")*(Dauer-C359)*Beitrag*Zahlweise*(C359&lt;BZDauer)</f>
        <v>0</v>
      </c>
      <c r="V359" s="10">
        <f t="shared" si="68"/>
        <v>240875.5</v>
      </c>
    </row>
    <row r="360" spans="1:22" x14ac:dyDescent="0.45">
      <c r="A360" s="15">
        <f t="shared" si="69"/>
        <v>47209</v>
      </c>
      <c r="B360">
        <f t="shared" si="59"/>
        <v>351</v>
      </c>
      <c r="C360">
        <f t="shared" si="64"/>
        <v>29</v>
      </c>
      <c r="D360">
        <f t="shared" si="60"/>
        <v>3</v>
      </c>
      <c r="E360">
        <f t="shared" si="61"/>
        <v>1</v>
      </c>
      <c r="F360" s="10">
        <f t="shared" si="62"/>
        <v>0</v>
      </c>
      <c r="G360" s="10" cm="1">
        <f t="array" ref="G360">ROUND(getParm(Tarifart,"alpha")/(2*Zahlweise)*BeiSum*(C360&lt;2)*E360,2)</f>
        <v>0</v>
      </c>
      <c r="H360" s="10" cm="1">
        <f t="array" ref="H360">ROUND(F360*getParm(Tarifart,"beta")*E360,2)</f>
        <v>0</v>
      </c>
      <c r="I360" s="10" cm="1">
        <f t="array" ref="I360">ROUND(F360*get_Üb(YEAR(A360),$I$8)*E360,2)</f>
        <v>0</v>
      </c>
      <c r="J360" s="10">
        <f t="shared" si="65"/>
        <v>0</v>
      </c>
      <c r="K360" s="10">
        <f t="shared" si="66"/>
        <v>0</v>
      </c>
      <c r="L360" s="10" cm="1">
        <f t="array" ref="L360">ROUND(1/12*MAX(MTSum-R360-K360,MRSum)*Act_qx(x+C360,Geschlecht,getParm(Tarifart,"Tafel"),YEAR(GebDat),x+Dauer,1),2)</f>
        <v>5.29</v>
      </c>
      <c r="M360" s="10" cm="1">
        <f t="array" ref="M360">ROUND(L360*get_Üb(YEAR(A360),$M$8),2)</f>
        <v>0.26</v>
      </c>
      <c r="N360" s="10" cm="1">
        <f t="array" ref="N360">ROUND(R360*getParm(Tarifart,IF(C360&lt;BZDauer,"gamma1","gamma2")),2)</f>
        <v>146.46</v>
      </c>
      <c r="O360" s="10" cm="1">
        <f t="array" ref="O360">ROUND(R360*get_Üb(YEAR(A360),$O$8),2)</f>
        <v>24.41</v>
      </c>
      <c r="P360" s="19">
        <f t="shared" si="67"/>
        <v>9.3321253595999991</v>
      </c>
      <c r="Q360" s="19" cm="1">
        <f t="array" ref="Q360">ROUND(P360+1/getKurs(EDATE(A360,-1))*(K360-L360-N360-getParm(Tarifart,"StK")+M360+O360),10)*(C360&lt;Dauer)</f>
        <v>9.3271632169000007</v>
      </c>
      <c r="R360" s="10" cm="1">
        <f t="array" ref="R360">ROUND(P360*getKurs($A360),2)</f>
        <v>244106.47</v>
      </c>
      <c r="S360" s="10" cm="1">
        <f t="array" ref="S360">ROUND(Q360*getKurs($A360),2)</f>
        <v>243976.67</v>
      </c>
      <c r="T360" s="10">
        <f t="shared" si="63"/>
        <v>247706.47</v>
      </c>
      <c r="U360" s="10" cm="1">
        <f t="array" ref="U360">getParm(Tarifart,"StoSatz")*(Dauer-C360)*Beitrag*Zahlweise*(C360&lt;BZDauer)</f>
        <v>0</v>
      </c>
      <c r="V360" s="10">
        <f t="shared" si="68"/>
        <v>243976.67</v>
      </c>
    </row>
    <row r="361" spans="1:22" x14ac:dyDescent="0.45">
      <c r="A361" s="15">
        <f t="shared" si="69"/>
        <v>47239</v>
      </c>
      <c r="B361">
        <f t="shared" si="59"/>
        <v>352</v>
      </c>
      <c r="C361">
        <f t="shared" si="64"/>
        <v>29</v>
      </c>
      <c r="D361">
        <f t="shared" si="60"/>
        <v>4</v>
      </c>
      <c r="E361">
        <f t="shared" si="61"/>
        <v>1</v>
      </c>
      <c r="F361" s="10">
        <f t="shared" si="62"/>
        <v>0</v>
      </c>
      <c r="G361" s="10" cm="1">
        <f t="array" ref="G361">ROUND(getParm(Tarifart,"alpha")/(2*Zahlweise)*BeiSum*(C361&lt;2)*E361,2)</f>
        <v>0</v>
      </c>
      <c r="H361" s="10" cm="1">
        <f t="array" ref="H361">ROUND(F361*getParm(Tarifart,"beta")*E361,2)</f>
        <v>0</v>
      </c>
      <c r="I361" s="10" cm="1">
        <f t="array" ref="I361">ROUND(F361*get_Üb(YEAR(A361),$I$8)*E361,2)</f>
        <v>0</v>
      </c>
      <c r="J361" s="10">
        <f t="shared" si="65"/>
        <v>0</v>
      </c>
      <c r="K361" s="10">
        <f t="shared" si="66"/>
        <v>0</v>
      </c>
      <c r="L361" s="10" cm="1">
        <f t="array" ref="L361">ROUND(1/12*MAX(MTSum-R361-K361,MRSum)*Act_qx(x+C361,Geschlecht,getParm(Tarifart,"Tafel"),YEAR(GebDat),x+Dauer,1),2)</f>
        <v>5.29</v>
      </c>
      <c r="M361" s="10" cm="1">
        <f t="array" ref="M361">ROUND(L361*get_Üb(YEAR(A361),$M$8),2)</f>
        <v>0.26</v>
      </c>
      <c r="N361" s="10" cm="1">
        <f t="array" ref="N361">ROUND(R361*getParm(Tarifart,IF(C361&lt;BZDauer,"gamma1","gamma2")),2)</f>
        <v>148.35</v>
      </c>
      <c r="O361" s="10" cm="1">
        <f t="array" ref="O361">ROUND(R361*get_Üb(YEAR(A361),$O$8),2)</f>
        <v>24.72</v>
      </c>
      <c r="P361" s="19">
        <f t="shared" si="67"/>
        <v>9.3271632169000007</v>
      </c>
      <c r="Q361" s="19" cm="1">
        <f t="array" ref="Q361">ROUND(P361+1/getKurs(EDATE(A361,-1))*(K361-L361-N361-getParm(Tarifart,"StK")+M361+O361),10)*(C361&lt;Dauer)</f>
        <v>9.3222063496000001</v>
      </c>
      <c r="R361" s="10" cm="1">
        <f t="array" ref="R361">ROUND(P361*getKurs($A361),2)</f>
        <v>247249.29</v>
      </c>
      <c r="S361" s="10" cm="1">
        <f t="array" ref="S361">ROUND(Q361*getKurs($A361),2)</f>
        <v>247117.89</v>
      </c>
      <c r="T361" s="10">
        <f t="shared" si="63"/>
        <v>250849.29</v>
      </c>
      <c r="U361" s="10" cm="1">
        <f t="array" ref="U361">getParm(Tarifart,"StoSatz")*(Dauer-C361)*Beitrag*Zahlweise*(C361&lt;BZDauer)</f>
        <v>0</v>
      </c>
      <c r="V361" s="10">
        <f t="shared" si="68"/>
        <v>247117.89</v>
      </c>
    </row>
    <row r="362" spans="1:22" x14ac:dyDescent="0.45">
      <c r="A362" s="15">
        <f t="shared" si="69"/>
        <v>47270</v>
      </c>
      <c r="B362">
        <f t="shared" si="59"/>
        <v>353</v>
      </c>
      <c r="C362">
        <f t="shared" si="64"/>
        <v>29</v>
      </c>
      <c r="D362">
        <f t="shared" si="60"/>
        <v>5</v>
      </c>
      <c r="E362">
        <f t="shared" si="61"/>
        <v>1</v>
      </c>
      <c r="F362" s="10">
        <f t="shared" si="62"/>
        <v>0</v>
      </c>
      <c r="G362" s="10" cm="1">
        <f t="array" ref="G362">ROUND(getParm(Tarifart,"alpha")/(2*Zahlweise)*BeiSum*(C362&lt;2)*E362,2)</f>
        <v>0</v>
      </c>
      <c r="H362" s="10" cm="1">
        <f t="array" ref="H362">ROUND(F362*getParm(Tarifart,"beta")*E362,2)</f>
        <v>0</v>
      </c>
      <c r="I362" s="10" cm="1">
        <f t="array" ref="I362">ROUND(F362*get_Üb(YEAR(A362),$I$8)*E362,2)</f>
        <v>0</v>
      </c>
      <c r="J362" s="10">
        <f t="shared" si="65"/>
        <v>0</v>
      </c>
      <c r="K362" s="10">
        <f t="shared" si="66"/>
        <v>0</v>
      </c>
      <c r="L362" s="10" cm="1">
        <f t="array" ref="L362">ROUND(1/12*MAX(MTSum-R362-K362,MRSum)*Act_qx(x+C362,Geschlecht,getParm(Tarifart,"Tafel"),YEAR(GebDat),x+Dauer,1),2)</f>
        <v>5.29</v>
      </c>
      <c r="M362" s="10" cm="1">
        <f t="array" ref="M362">ROUND(L362*get_Üb(YEAR(A362),$M$8),2)</f>
        <v>0.26</v>
      </c>
      <c r="N362" s="10" cm="1">
        <f t="array" ref="N362">ROUND(R362*getParm(Tarifart,IF(C362&lt;BZDauer,"gamma1","gamma2")),2)</f>
        <v>150.26</v>
      </c>
      <c r="O362" s="10" cm="1">
        <f t="array" ref="O362">ROUND(R362*get_Üb(YEAR(A362),$O$8),2)</f>
        <v>25.04</v>
      </c>
      <c r="P362" s="19">
        <f t="shared" si="67"/>
        <v>9.3222063496000001</v>
      </c>
      <c r="Q362" s="19" cm="1">
        <f t="array" ref="Q362">ROUND(P362+1/getKurs(EDATE(A362,-1))*(K362-L362-N362-getParm(Tarifart,"StK")+M362+O362),10)*(C362&lt;Dauer)</f>
        <v>9.3172551112999997</v>
      </c>
      <c r="R362" s="10" cm="1">
        <f t="array" ref="R362">ROUND(P362*getKurs($A362),2)</f>
        <v>250432.68</v>
      </c>
      <c r="S362" s="10" cm="1">
        <f t="array" ref="S362">ROUND(Q362*getKurs($A362),2)</f>
        <v>250299.67</v>
      </c>
      <c r="T362" s="10">
        <f t="shared" si="63"/>
        <v>254032.68</v>
      </c>
      <c r="U362" s="10" cm="1">
        <f t="array" ref="U362">getParm(Tarifart,"StoSatz")*(Dauer-C362)*Beitrag*Zahlweise*(C362&lt;BZDauer)</f>
        <v>0</v>
      </c>
      <c r="V362" s="10">
        <f t="shared" si="68"/>
        <v>250299.67</v>
      </c>
    </row>
    <row r="363" spans="1:22" x14ac:dyDescent="0.45">
      <c r="A363" s="15">
        <f t="shared" si="69"/>
        <v>47300</v>
      </c>
      <c r="B363">
        <f t="shared" si="59"/>
        <v>354</v>
      </c>
      <c r="C363">
        <f t="shared" si="64"/>
        <v>29</v>
      </c>
      <c r="D363">
        <f t="shared" si="60"/>
        <v>6</v>
      </c>
      <c r="E363">
        <f t="shared" si="61"/>
        <v>1</v>
      </c>
      <c r="F363" s="10">
        <f t="shared" si="62"/>
        <v>0</v>
      </c>
      <c r="G363" s="10" cm="1">
        <f t="array" ref="G363">ROUND(getParm(Tarifart,"alpha")/(2*Zahlweise)*BeiSum*(C363&lt;2)*E363,2)</f>
        <v>0</v>
      </c>
      <c r="H363" s="10" cm="1">
        <f t="array" ref="H363">ROUND(F363*getParm(Tarifart,"beta")*E363,2)</f>
        <v>0</v>
      </c>
      <c r="I363" s="10" cm="1">
        <f t="array" ref="I363">ROUND(F363*get_Üb(YEAR(A363),$I$8)*E363,2)</f>
        <v>0</v>
      </c>
      <c r="J363" s="10">
        <f t="shared" si="65"/>
        <v>0</v>
      </c>
      <c r="K363" s="10">
        <f t="shared" si="66"/>
        <v>0</v>
      </c>
      <c r="L363" s="10" cm="1">
        <f t="array" ref="L363">ROUND(1/12*MAX(MTSum-R363-K363,MRSum)*Act_qx(x+C363,Geschlecht,getParm(Tarifart,"Tafel"),YEAR(GebDat),x+Dauer,1),2)</f>
        <v>5.29</v>
      </c>
      <c r="M363" s="10" cm="1">
        <f t="array" ref="M363">ROUND(L363*get_Üb(YEAR(A363),$M$8),2)</f>
        <v>0.26</v>
      </c>
      <c r="N363" s="10" cm="1">
        <f t="array" ref="N363">ROUND(R363*getParm(Tarifart,IF(C363&lt;BZDauer,"gamma1","gamma2")),2)</f>
        <v>152.19</v>
      </c>
      <c r="O363" s="10" cm="1">
        <f t="array" ref="O363">ROUND(R363*get_Üb(YEAR(A363),$O$8),2)</f>
        <v>25.37</v>
      </c>
      <c r="P363" s="19">
        <f t="shared" si="67"/>
        <v>9.3172551112999997</v>
      </c>
      <c r="Q363" s="19" cm="1">
        <f t="array" ref="Q363">ROUND(P363+1/getKurs(EDATE(A363,-1))*(K363-L363-N363-getParm(Tarifart,"StK")+M363+O363),10)*(C363&lt;Dauer)</f>
        <v>9.3123098498000001</v>
      </c>
      <c r="R363" s="10" cm="1">
        <f t="array" ref="R363">ROUND(P363*getKurs($A363),2)</f>
        <v>253657.15</v>
      </c>
      <c r="S363" s="10" cm="1">
        <f t="array" ref="S363">ROUND(Q363*getKurs($A363),2)</f>
        <v>253522.51</v>
      </c>
      <c r="T363" s="10">
        <f t="shared" si="63"/>
        <v>257257.15</v>
      </c>
      <c r="U363" s="10" cm="1">
        <f t="array" ref="U363">getParm(Tarifart,"StoSatz")*(Dauer-C363)*Beitrag*Zahlweise*(C363&lt;BZDauer)</f>
        <v>0</v>
      </c>
      <c r="V363" s="10">
        <f t="shared" si="68"/>
        <v>253522.51</v>
      </c>
    </row>
    <row r="364" spans="1:22" x14ac:dyDescent="0.45">
      <c r="A364" s="15">
        <f t="shared" si="69"/>
        <v>47331</v>
      </c>
      <c r="B364">
        <f t="shared" si="59"/>
        <v>355</v>
      </c>
      <c r="C364">
        <f t="shared" si="64"/>
        <v>29</v>
      </c>
      <c r="D364">
        <f t="shared" si="60"/>
        <v>7</v>
      </c>
      <c r="E364">
        <f t="shared" si="61"/>
        <v>1</v>
      </c>
      <c r="F364" s="10">
        <f t="shared" si="62"/>
        <v>0</v>
      </c>
      <c r="G364" s="10" cm="1">
        <f t="array" ref="G364">ROUND(getParm(Tarifart,"alpha")/(2*Zahlweise)*BeiSum*(C364&lt;2)*E364,2)</f>
        <v>0</v>
      </c>
      <c r="H364" s="10" cm="1">
        <f t="array" ref="H364">ROUND(F364*getParm(Tarifart,"beta")*E364,2)</f>
        <v>0</v>
      </c>
      <c r="I364" s="10" cm="1">
        <f t="array" ref="I364">ROUND(F364*get_Üb(YEAR(A364),$I$8)*E364,2)</f>
        <v>0</v>
      </c>
      <c r="J364" s="10">
        <f t="shared" si="65"/>
        <v>0</v>
      </c>
      <c r="K364" s="10">
        <f t="shared" si="66"/>
        <v>0</v>
      </c>
      <c r="L364" s="10" cm="1">
        <f t="array" ref="L364">ROUND(1/12*MAX(MTSum-R364-K364,MRSum)*Act_qx(x+C364,Geschlecht,getParm(Tarifart,"Tafel"),YEAR(GebDat),x+Dauer,1),2)</f>
        <v>5.29</v>
      </c>
      <c r="M364" s="10" cm="1">
        <f t="array" ref="M364">ROUND(L364*get_Üb(YEAR(A364),$M$8),2)</f>
        <v>0.26</v>
      </c>
      <c r="N364" s="10" cm="1">
        <f t="array" ref="N364">ROUND(R364*getParm(Tarifart,IF(C364&lt;BZDauer,"gamma1","gamma2")),2)</f>
        <v>154.15</v>
      </c>
      <c r="O364" s="10" cm="1">
        <f t="array" ref="O364">ROUND(R364*get_Üb(YEAR(A364),$O$8),2)</f>
        <v>25.69</v>
      </c>
      <c r="P364" s="19">
        <f t="shared" si="67"/>
        <v>9.3123098498000001</v>
      </c>
      <c r="Q364" s="19" cm="1">
        <f t="array" ref="Q364">ROUND(P364+1/getKurs(EDATE(A364,-1))*(K364-L364-N364-getParm(Tarifart,"StK")+M364+O364),10)*(C364&lt;Dauer)</f>
        <v>9.3073698051000004</v>
      </c>
      <c r="R364" s="10" cm="1">
        <f t="array" ref="R364">ROUND(P364*getKurs($A364),2)</f>
        <v>256923.18</v>
      </c>
      <c r="S364" s="10" cm="1">
        <f t="array" ref="S364">ROUND(Q364*getKurs($A364),2)</f>
        <v>256786.89</v>
      </c>
      <c r="T364" s="10">
        <f t="shared" si="63"/>
        <v>260523.18</v>
      </c>
      <c r="U364" s="10" cm="1">
        <f t="array" ref="U364">getParm(Tarifart,"StoSatz")*(Dauer-C364)*Beitrag*Zahlweise*(C364&lt;BZDauer)</f>
        <v>0</v>
      </c>
      <c r="V364" s="10">
        <f t="shared" si="68"/>
        <v>256786.89</v>
      </c>
    </row>
    <row r="365" spans="1:22" x14ac:dyDescent="0.45">
      <c r="A365" s="15">
        <f t="shared" si="69"/>
        <v>47362</v>
      </c>
      <c r="B365">
        <f t="shared" si="59"/>
        <v>356</v>
      </c>
      <c r="C365">
        <f t="shared" si="64"/>
        <v>29</v>
      </c>
      <c r="D365">
        <f t="shared" si="60"/>
        <v>8</v>
      </c>
      <c r="E365">
        <f t="shared" si="61"/>
        <v>1</v>
      </c>
      <c r="F365" s="10">
        <f t="shared" si="62"/>
        <v>0</v>
      </c>
      <c r="G365" s="10" cm="1">
        <f t="array" ref="G365">ROUND(getParm(Tarifart,"alpha")/(2*Zahlweise)*BeiSum*(C365&lt;2)*E365,2)</f>
        <v>0</v>
      </c>
      <c r="H365" s="10" cm="1">
        <f t="array" ref="H365">ROUND(F365*getParm(Tarifart,"beta")*E365,2)</f>
        <v>0</v>
      </c>
      <c r="I365" s="10" cm="1">
        <f t="array" ref="I365">ROUND(F365*get_Üb(YEAR(A365),$I$8)*E365,2)</f>
        <v>0</v>
      </c>
      <c r="J365" s="10">
        <f t="shared" si="65"/>
        <v>0</v>
      </c>
      <c r="K365" s="10">
        <f t="shared" si="66"/>
        <v>0</v>
      </c>
      <c r="L365" s="10" cm="1">
        <f t="array" ref="L365">ROUND(1/12*MAX(MTSum-R365-K365,MRSum)*Act_qx(x+C365,Geschlecht,getParm(Tarifart,"Tafel"),YEAR(GebDat),x+Dauer,1),2)</f>
        <v>5.29</v>
      </c>
      <c r="M365" s="10" cm="1">
        <f t="array" ref="M365">ROUND(L365*get_Üb(YEAR(A365),$M$8),2)</f>
        <v>0.26</v>
      </c>
      <c r="N365" s="10" cm="1">
        <f t="array" ref="N365">ROUND(R365*getParm(Tarifart,IF(C365&lt;BZDauer,"gamma1","gamma2")),2)</f>
        <v>156.13999999999999</v>
      </c>
      <c r="O365" s="10" cm="1">
        <f t="array" ref="O365">ROUND(R365*get_Üb(YEAR(A365),$O$8),2)</f>
        <v>26.02</v>
      </c>
      <c r="P365" s="19">
        <f t="shared" si="67"/>
        <v>9.3073698051000004</v>
      </c>
      <c r="Q365" s="19" cm="1">
        <f t="array" ref="Q365">ROUND(P365+1/getKurs(EDATE(A365,-1))*(K365-L365-N365-getParm(Tarifart,"StK")+M365+O365),10)*(C365&lt;Dauer)</f>
        <v>9.3024349799999992</v>
      </c>
      <c r="R365" s="10" cm="1">
        <f t="array" ref="R365">ROUND(P365*getKurs($A365),2)</f>
        <v>260231.36</v>
      </c>
      <c r="S365" s="10" cm="1">
        <f t="array" ref="S365">ROUND(Q365*getKurs($A365),2)</f>
        <v>260093.38</v>
      </c>
      <c r="T365" s="10">
        <f t="shared" si="63"/>
        <v>263831.36</v>
      </c>
      <c r="U365" s="10" cm="1">
        <f t="array" ref="U365">getParm(Tarifart,"StoSatz")*(Dauer-C365)*Beitrag*Zahlweise*(C365&lt;BZDauer)</f>
        <v>0</v>
      </c>
      <c r="V365" s="10">
        <f t="shared" si="68"/>
        <v>260093.38</v>
      </c>
    </row>
    <row r="366" spans="1:22" x14ac:dyDescent="0.45">
      <c r="A366" s="15">
        <f t="shared" si="69"/>
        <v>47392</v>
      </c>
      <c r="B366">
        <f t="shared" si="59"/>
        <v>357</v>
      </c>
      <c r="C366">
        <f t="shared" si="64"/>
        <v>29</v>
      </c>
      <c r="D366">
        <f t="shared" si="60"/>
        <v>9</v>
      </c>
      <c r="E366">
        <f t="shared" si="61"/>
        <v>1</v>
      </c>
      <c r="F366" s="10">
        <f t="shared" si="62"/>
        <v>0</v>
      </c>
      <c r="G366" s="10" cm="1">
        <f t="array" ref="G366">ROUND(getParm(Tarifart,"alpha")/(2*Zahlweise)*BeiSum*(C366&lt;2)*E366,2)</f>
        <v>0</v>
      </c>
      <c r="H366" s="10" cm="1">
        <f t="array" ref="H366">ROUND(F366*getParm(Tarifart,"beta")*E366,2)</f>
        <v>0</v>
      </c>
      <c r="I366" s="10" cm="1">
        <f t="array" ref="I366">ROUND(F366*get_Üb(YEAR(A366),$I$8)*E366,2)</f>
        <v>0</v>
      </c>
      <c r="J366" s="10">
        <f t="shared" si="65"/>
        <v>0</v>
      </c>
      <c r="K366" s="10">
        <f t="shared" si="66"/>
        <v>0</v>
      </c>
      <c r="L366" s="10" cm="1">
        <f t="array" ref="L366">ROUND(1/12*MAX(MTSum-R366-K366,MRSum)*Act_qx(x+C366,Geschlecht,getParm(Tarifart,"Tafel"),YEAR(GebDat),x+Dauer,1),2)</f>
        <v>5.29</v>
      </c>
      <c r="M366" s="10" cm="1">
        <f t="array" ref="M366">ROUND(L366*get_Üb(YEAR(A366),$M$8),2)</f>
        <v>0.26</v>
      </c>
      <c r="N366" s="10" cm="1">
        <f t="array" ref="N366">ROUND(R366*getParm(Tarifart,IF(C366&lt;BZDauer,"gamma1","gamma2")),2)</f>
        <v>158.15</v>
      </c>
      <c r="O366" s="10" cm="1">
        <f t="array" ref="O366">ROUND(R366*get_Üb(YEAR(A366),$O$8),2)</f>
        <v>26.36</v>
      </c>
      <c r="P366" s="19">
        <f t="shared" si="67"/>
        <v>9.3024349799999992</v>
      </c>
      <c r="Q366" s="19" cm="1">
        <f t="array" ref="Q366">ROUND(P366+1/getKurs(EDATE(A366,-1))*(K366-L366-N366-getParm(Tarifart,"StK")+M366+O366),10)*(C366&lt;Dauer)</f>
        <v>9.2975057443000004</v>
      </c>
      <c r="R366" s="10" cm="1">
        <f t="array" ref="R366">ROUND(P366*getKurs($A366),2)</f>
        <v>263582.17</v>
      </c>
      <c r="S366" s="10" cm="1">
        <f t="array" ref="S366">ROUND(Q366*getKurs($A366),2)</f>
        <v>263442.5</v>
      </c>
      <c r="T366" s="10">
        <f t="shared" si="63"/>
        <v>267182.17</v>
      </c>
      <c r="U366" s="10" cm="1">
        <f t="array" ref="U366">getParm(Tarifart,"StoSatz")*(Dauer-C366)*Beitrag*Zahlweise*(C366&lt;BZDauer)</f>
        <v>0</v>
      </c>
      <c r="V366" s="10">
        <f t="shared" si="68"/>
        <v>263442.5</v>
      </c>
    </row>
    <row r="367" spans="1:22" x14ac:dyDescent="0.45">
      <c r="A367" s="15">
        <f t="shared" si="69"/>
        <v>47423</v>
      </c>
      <c r="B367">
        <f t="shared" si="59"/>
        <v>358</v>
      </c>
      <c r="C367">
        <f t="shared" si="64"/>
        <v>29</v>
      </c>
      <c r="D367">
        <f t="shared" si="60"/>
        <v>10</v>
      </c>
      <c r="E367">
        <f t="shared" si="61"/>
        <v>1</v>
      </c>
      <c r="F367" s="10">
        <f t="shared" si="62"/>
        <v>0</v>
      </c>
      <c r="G367" s="10" cm="1">
        <f t="array" ref="G367">ROUND(getParm(Tarifart,"alpha")/(2*Zahlweise)*BeiSum*(C367&lt;2)*E367,2)</f>
        <v>0</v>
      </c>
      <c r="H367" s="10" cm="1">
        <f t="array" ref="H367">ROUND(F367*getParm(Tarifart,"beta")*E367,2)</f>
        <v>0</v>
      </c>
      <c r="I367" s="10" cm="1">
        <f t="array" ref="I367">ROUND(F367*get_Üb(YEAR(A367),$I$8)*E367,2)</f>
        <v>0</v>
      </c>
      <c r="J367" s="10">
        <f t="shared" si="65"/>
        <v>0</v>
      </c>
      <c r="K367" s="10">
        <f t="shared" si="66"/>
        <v>0</v>
      </c>
      <c r="L367" s="10" cm="1">
        <f t="array" ref="L367">ROUND(1/12*MAX(MTSum-R367-K367,MRSum)*Act_qx(x+C367,Geschlecht,getParm(Tarifart,"Tafel"),YEAR(GebDat),x+Dauer,1),2)</f>
        <v>5.29</v>
      </c>
      <c r="M367" s="10" cm="1">
        <f t="array" ref="M367">ROUND(L367*get_Üb(YEAR(A367),$M$8),2)</f>
        <v>0.26</v>
      </c>
      <c r="N367" s="10" cm="1">
        <f t="array" ref="N367">ROUND(R367*getParm(Tarifart,IF(C367&lt;BZDauer,"gamma1","gamma2")),2)</f>
        <v>160.19</v>
      </c>
      <c r="O367" s="10" cm="1">
        <f t="array" ref="O367">ROUND(R367*get_Üb(YEAR(A367),$O$8),2)</f>
        <v>26.7</v>
      </c>
      <c r="P367" s="19">
        <f t="shared" si="67"/>
        <v>9.2975057443000004</v>
      </c>
      <c r="Q367" s="19" cm="1">
        <f t="array" ref="Q367">ROUND(P367+1/getKurs(EDATE(A367,-1))*(K367-L367-N367-getParm(Tarifart,"StK")+M367+O367),10)*(C367&lt;Dauer)</f>
        <v>9.2925817552000005</v>
      </c>
      <c r="R367" s="10" cm="1">
        <f t="array" ref="R367">ROUND(P367*getKurs($A367),2)</f>
        <v>266976.3</v>
      </c>
      <c r="S367" s="10" cm="1">
        <f t="array" ref="S367">ROUND(Q367*getKurs($A367),2)</f>
        <v>266834.90999999997</v>
      </c>
      <c r="T367" s="10">
        <f t="shared" si="63"/>
        <v>270576.3</v>
      </c>
      <c r="U367" s="10" cm="1">
        <f t="array" ref="U367">getParm(Tarifart,"StoSatz")*(Dauer-C367)*Beitrag*Zahlweise*(C367&lt;BZDauer)</f>
        <v>0</v>
      </c>
      <c r="V367" s="10">
        <f t="shared" si="68"/>
        <v>266834.90999999997</v>
      </c>
    </row>
    <row r="368" spans="1:22" x14ac:dyDescent="0.45">
      <c r="A368" s="15">
        <f t="shared" si="69"/>
        <v>47453</v>
      </c>
      <c r="B368">
        <f t="shared" si="59"/>
        <v>359</v>
      </c>
      <c r="C368">
        <f t="shared" si="64"/>
        <v>29</v>
      </c>
      <c r="D368">
        <f t="shared" si="60"/>
        <v>11</v>
      </c>
      <c r="E368">
        <f t="shared" si="61"/>
        <v>1</v>
      </c>
      <c r="F368" s="10">
        <f t="shared" si="62"/>
        <v>0</v>
      </c>
      <c r="G368" s="10" cm="1">
        <f t="array" ref="G368">ROUND(getParm(Tarifart,"alpha")/(2*Zahlweise)*BeiSum*(C368&lt;2)*E368,2)</f>
        <v>0</v>
      </c>
      <c r="H368" s="10" cm="1">
        <f t="array" ref="H368">ROUND(F368*getParm(Tarifart,"beta")*E368,2)</f>
        <v>0</v>
      </c>
      <c r="I368" s="10" cm="1">
        <f t="array" ref="I368">ROUND(F368*get_Üb(YEAR(A368),$I$8)*E368,2)</f>
        <v>0</v>
      </c>
      <c r="J368" s="10">
        <f t="shared" si="65"/>
        <v>0</v>
      </c>
      <c r="K368" s="10">
        <f t="shared" si="66"/>
        <v>0</v>
      </c>
      <c r="L368" s="10" cm="1">
        <f t="array" ref="L368">ROUND(1/12*MAX(MTSum-R368-K368,MRSum)*Act_qx(x+C368,Geschlecht,getParm(Tarifart,"Tafel"),YEAR(GebDat),x+Dauer,1),2)</f>
        <v>5.29</v>
      </c>
      <c r="M368" s="10" cm="1">
        <f t="array" ref="M368">ROUND(L368*get_Üb(YEAR(A368),$M$8),2)</f>
        <v>0.26</v>
      </c>
      <c r="N368" s="10" cm="1">
        <f t="array" ref="N368">ROUND(R368*getParm(Tarifart,IF(C368&lt;BZDauer,"gamma1","gamma2")),2)</f>
        <v>162.25</v>
      </c>
      <c r="O368" s="10" cm="1">
        <f t="array" ref="O368">ROUND(R368*get_Üb(YEAR(A368),$O$8),2)</f>
        <v>27.04</v>
      </c>
      <c r="P368" s="19">
        <f t="shared" si="67"/>
        <v>9.2925817552000005</v>
      </c>
      <c r="Q368" s="19" cm="1">
        <f t="array" ref="Q368">ROUND(P368+1/getKurs(EDATE(A368,-1))*(K368-L368-N368-getParm(Tarifart,"StK")+M368+O368),10)*(C368&lt;Dauer)</f>
        <v>9.2876630425000002</v>
      </c>
      <c r="R368" s="10" cm="1">
        <f t="array" ref="R368">ROUND(P368*getKurs($A368),2)</f>
        <v>270414.13</v>
      </c>
      <c r="S368" s="10" cm="1">
        <f t="array" ref="S368">ROUND(Q368*getKurs($A368),2)</f>
        <v>270270.99</v>
      </c>
      <c r="T368" s="10">
        <f t="shared" si="63"/>
        <v>274014.13</v>
      </c>
      <c r="U368" s="10" cm="1">
        <f t="array" ref="U368">getParm(Tarifart,"StoSatz")*(Dauer-C368)*Beitrag*Zahlweise*(C368&lt;BZDauer)</f>
        <v>0</v>
      </c>
      <c r="V368" s="10">
        <f t="shared" si="68"/>
        <v>270270.99</v>
      </c>
    </row>
    <row r="369" spans="1:22" x14ac:dyDescent="0.45">
      <c r="A369" s="15">
        <f t="shared" si="69"/>
        <v>47484</v>
      </c>
      <c r="B369">
        <f t="shared" si="59"/>
        <v>360</v>
      </c>
      <c r="C369">
        <f t="shared" si="64"/>
        <v>30</v>
      </c>
      <c r="D369">
        <f t="shared" si="60"/>
        <v>0</v>
      </c>
      <c r="E369">
        <f t="shared" si="61"/>
        <v>1</v>
      </c>
      <c r="F369" s="10">
        <f t="shared" si="62"/>
        <v>0</v>
      </c>
      <c r="G369" s="10" cm="1">
        <f t="array" ref="G369">ROUND(getParm(Tarifart,"alpha")/(2*Zahlweise)*BeiSum*(C369&lt;2)*E369,2)</f>
        <v>0</v>
      </c>
      <c r="H369" s="10" cm="1">
        <f t="array" ref="H369">ROUND(F369*getParm(Tarifart,"beta")*E369,2)</f>
        <v>0</v>
      </c>
      <c r="I369" s="10" cm="1">
        <f t="array" ref="I369">ROUND(F369*get_Üb(YEAR(A369),$I$8)*E369,2)</f>
        <v>0</v>
      </c>
      <c r="J369" s="10">
        <f t="shared" si="65"/>
        <v>0</v>
      </c>
      <c r="K369" s="10">
        <f t="shared" si="66"/>
        <v>0</v>
      </c>
      <c r="L369" s="10" cm="1">
        <f t="array" ref="L369">ROUND(1/12*MAX(MTSum-R369-K369,MRSum)*Act_qx(x+C369,Geschlecht,getParm(Tarifart,"Tafel"),YEAR(GebDat),x+Dauer,1),2)</f>
        <v>69.2</v>
      </c>
      <c r="M369" s="10" cm="1">
        <f t="array" ref="M369">ROUND(L369*get_Üb(YEAR(A369),$M$8),2)</f>
        <v>3.46</v>
      </c>
      <c r="N369" s="10" cm="1">
        <f t="array" ref="N369">ROUND(R369*getParm(Tarifart,IF(C369&lt;BZDauer,"gamma1","gamma2")),2)</f>
        <v>0</v>
      </c>
      <c r="O369" s="10" cm="1">
        <f t="array" ref="O369">ROUND(R369*get_Üb(YEAR(A369),$O$8),2)</f>
        <v>0</v>
      </c>
      <c r="P369" s="19">
        <f t="shared" si="67"/>
        <v>0</v>
      </c>
      <c r="Q369" s="19" cm="1">
        <f t="array" ref="Q369">ROUND(P369+1/getKurs(EDATE(A369,-1))*(K369-L369-N369-getParm(Tarifart,"StK")+M369+O369),10)*(C369&lt;Dauer)</f>
        <v>0</v>
      </c>
      <c r="R369" s="10" cm="1">
        <f t="array" ref="R369">ROUND(P369*getKurs($A369),2)</f>
        <v>0</v>
      </c>
      <c r="S369" s="10" cm="1">
        <f t="array" ref="S369">ROUND(Q369*getKurs($A369),2)</f>
        <v>0</v>
      </c>
      <c r="T369" s="10">
        <f t="shared" si="63"/>
        <v>43200</v>
      </c>
      <c r="U369" s="10" cm="1">
        <f t="array" ref="U369">getParm(Tarifart,"StoSatz")*(Dauer-C369)*Beitrag*Zahlweise*(C369&lt;BZDauer)</f>
        <v>0</v>
      </c>
      <c r="V369" s="10">
        <f t="shared" si="68"/>
        <v>0</v>
      </c>
    </row>
    <row r="370" spans="1:22" x14ac:dyDescent="0.45">
      <c r="A370" s="15">
        <f t="shared" si="69"/>
        <v>47515</v>
      </c>
      <c r="B370">
        <f t="shared" si="59"/>
        <v>361</v>
      </c>
      <c r="C370">
        <f t="shared" si="64"/>
        <v>30</v>
      </c>
      <c r="D370">
        <f t="shared" si="60"/>
        <v>1</v>
      </c>
      <c r="E370">
        <f t="shared" si="61"/>
        <v>1</v>
      </c>
      <c r="F370" s="10">
        <f t="shared" si="62"/>
        <v>0</v>
      </c>
      <c r="G370" s="10" cm="1">
        <f t="array" ref="G370">ROUND(getParm(Tarifart,"alpha")/(2*Zahlweise)*BeiSum*(C370&lt;2)*E370,2)</f>
        <v>0</v>
      </c>
      <c r="H370" s="10" cm="1">
        <f t="array" ref="H370">ROUND(F370*getParm(Tarifart,"beta")*E370,2)</f>
        <v>0</v>
      </c>
      <c r="I370" s="10" cm="1">
        <f t="array" ref="I370">ROUND(F370*get_Üb(YEAR(A370),$I$8)*E370,2)</f>
        <v>0</v>
      </c>
      <c r="J370" s="10">
        <f t="shared" si="65"/>
        <v>0</v>
      </c>
      <c r="K370" s="10">
        <f t="shared" si="66"/>
        <v>0</v>
      </c>
      <c r="L370" s="10" cm="1">
        <f t="array" ref="L370">ROUND(1/12*MAX(MTSum-R370-K370,MRSum)*Act_qx(x+C370,Geschlecht,getParm(Tarifart,"Tafel"),YEAR(GebDat),x+Dauer,1),2)</f>
        <v>69.2</v>
      </c>
      <c r="M370" s="10" cm="1">
        <f t="array" ref="M370">ROUND(L370*get_Üb(YEAR(A370),$M$8),2)</f>
        <v>3.46</v>
      </c>
      <c r="N370" s="10" cm="1">
        <f t="array" ref="N370">ROUND(R370*getParm(Tarifart,IF(C370&lt;BZDauer,"gamma1","gamma2")),2)</f>
        <v>0</v>
      </c>
      <c r="O370" s="10" cm="1">
        <f t="array" ref="O370">ROUND(R370*get_Üb(YEAR(A370),$O$8),2)</f>
        <v>0</v>
      </c>
      <c r="P370" s="19">
        <f t="shared" si="67"/>
        <v>0</v>
      </c>
      <c r="Q370" s="19" cm="1">
        <f t="array" ref="Q370">ROUND(P370+1/getKurs(EDATE(A370,-1))*(K370-L370-N370-getParm(Tarifart,"StK")+M370+O370),10)*(C370&lt;Dauer)</f>
        <v>0</v>
      </c>
      <c r="R370" s="10" cm="1">
        <f t="array" ref="R370">ROUND(P370*getKurs($A370),2)</f>
        <v>0</v>
      </c>
      <c r="S370" s="10" cm="1">
        <f t="array" ref="S370">ROUND(Q370*getKurs($A370),2)</f>
        <v>0</v>
      </c>
      <c r="T370" s="10">
        <f t="shared" si="63"/>
        <v>43200</v>
      </c>
      <c r="U370" s="10" cm="1">
        <f t="array" ref="U370">getParm(Tarifart,"StoSatz")*(Dauer-C370)*Beitrag*Zahlweise*(C370&lt;BZDauer)</f>
        <v>0</v>
      </c>
      <c r="V370" s="10">
        <f t="shared" si="68"/>
        <v>0</v>
      </c>
    </row>
    <row r="371" spans="1:22" x14ac:dyDescent="0.45">
      <c r="A371" s="15">
        <f t="shared" si="69"/>
        <v>47543</v>
      </c>
      <c r="B371">
        <f t="shared" si="59"/>
        <v>362</v>
      </c>
      <c r="C371">
        <f t="shared" si="64"/>
        <v>30</v>
      </c>
      <c r="D371">
        <f t="shared" si="60"/>
        <v>2</v>
      </c>
      <c r="E371">
        <f t="shared" si="61"/>
        <v>1</v>
      </c>
      <c r="F371" s="10">
        <f t="shared" si="62"/>
        <v>0</v>
      </c>
      <c r="G371" s="10" cm="1">
        <f t="array" ref="G371">ROUND(getParm(Tarifart,"alpha")/(2*Zahlweise)*BeiSum*(C371&lt;2)*E371,2)</f>
        <v>0</v>
      </c>
      <c r="H371" s="10" cm="1">
        <f t="array" ref="H371">ROUND(F371*getParm(Tarifart,"beta")*E371,2)</f>
        <v>0</v>
      </c>
      <c r="I371" s="10" cm="1">
        <f t="array" ref="I371">ROUND(F371*get_Üb(YEAR(A371),$I$8)*E371,2)</f>
        <v>0</v>
      </c>
      <c r="J371" s="10">
        <f t="shared" si="65"/>
        <v>0</v>
      </c>
      <c r="K371" s="10">
        <f t="shared" si="66"/>
        <v>0</v>
      </c>
      <c r="L371" s="10" cm="1">
        <f t="array" ref="L371">ROUND(1/12*MAX(MTSum-R371-K371,MRSum)*Act_qx(x+C371,Geschlecht,getParm(Tarifart,"Tafel"),YEAR(GebDat),x+Dauer,1),2)</f>
        <v>69.2</v>
      </c>
      <c r="M371" s="10" cm="1">
        <f t="array" ref="M371">ROUND(L371*get_Üb(YEAR(A371),$M$8),2)</f>
        <v>3.46</v>
      </c>
      <c r="N371" s="10" cm="1">
        <f t="array" ref="N371">ROUND(R371*getParm(Tarifart,IF(C371&lt;BZDauer,"gamma1","gamma2")),2)</f>
        <v>0</v>
      </c>
      <c r="O371" s="10" cm="1">
        <f t="array" ref="O371">ROUND(R371*get_Üb(YEAR(A371),$O$8),2)</f>
        <v>0</v>
      </c>
      <c r="P371" s="19">
        <f t="shared" si="67"/>
        <v>0</v>
      </c>
      <c r="Q371" s="19" cm="1">
        <f t="array" ref="Q371">ROUND(P371+1/getKurs(EDATE(A371,-1))*(K371-L371-N371-getParm(Tarifart,"StK")+M371+O371),10)*(C371&lt;Dauer)</f>
        <v>0</v>
      </c>
      <c r="R371" s="10" cm="1">
        <f t="array" ref="R371">ROUND(P371*getKurs($A371),2)</f>
        <v>0</v>
      </c>
      <c r="S371" s="10" cm="1">
        <f t="array" ref="S371">ROUND(Q371*getKurs($A371),2)</f>
        <v>0</v>
      </c>
      <c r="T371" s="10">
        <f t="shared" si="63"/>
        <v>43200</v>
      </c>
      <c r="U371" s="10" cm="1">
        <f t="array" ref="U371">getParm(Tarifart,"StoSatz")*(Dauer-C371)*Beitrag*Zahlweise*(C371&lt;BZDauer)</f>
        <v>0</v>
      </c>
      <c r="V371" s="10">
        <f t="shared" si="68"/>
        <v>0</v>
      </c>
    </row>
    <row r="372" spans="1:22" x14ac:dyDescent="0.45">
      <c r="A372" s="15">
        <f t="shared" si="69"/>
        <v>47574</v>
      </c>
      <c r="B372">
        <f t="shared" si="59"/>
        <v>363</v>
      </c>
      <c r="C372">
        <f t="shared" si="64"/>
        <v>30</v>
      </c>
      <c r="D372">
        <f t="shared" si="60"/>
        <v>3</v>
      </c>
      <c r="E372">
        <f t="shared" si="61"/>
        <v>1</v>
      </c>
      <c r="F372" s="10">
        <f t="shared" si="62"/>
        <v>0</v>
      </c>
      <c r="G372" s="10" cm="1">
        <f t="array" ref="G372">ROUND(getParm(Tarifart,"alpha")/(2*Zahlweise)*BeiSum*(C372&lt;2)*E372,2)</f>
        <v>0</v>
      </c>
      <c r="H372" s="10" cm="1">
        <f t="array" ref="H372">ROUND(F372*getParm(Tarifart,"beta")*E372,2)</f>
        <v>0</v>
      </c>
      <c r="I372" s="10" cm="1">
        <f t="array" ref="I372">ROUND(F372*get_Üb(YEAR(A372),$I$8)*E372,2)</f>
        <v>0</v>
      </c>
      <c r="J372" s="10">
        <f t="shared" si="65"/>
        <v>0</v>
      </c>
      <c r="K372" s="10">
        <f t="shared" si="66"/>
        <v>0</v>
      </c>
      <c r="L372" s="10" cm="1">
        <f t="array" ref="L372">ROUND(1/12*MAX(MTSum-R372-K372,MRSum)*Act_qx(x+C372,Geschlecht,getParm(Tarifart,"Tafel"),YEAR(GebDat),x+Dauer,1),2)</f>
        <v>69.2</v>
      </c>
      <c r="M372" s="10" cm="1">
        <f t="array" ref="M372">ROUND(L372*get_Üb(YEAR(A372),$M$8),2)</f>
        <v>3.46</v>
      </c>
      <c r="N372" s="10" cm="1">
        <f t="array" ref="N372">ROUND(R372*getParm(Tarifart,IF(C372&lt;BZDauer,"gamma1","gamma2")),2)</f>
        <v>0</v>
      </c>
      <c r="O372" s="10" cm="1">
        <f t="array" ref="O372">ROUND(R372*get_Üb(YEAR(A372),$O$8),2)</f>
        <v>0</v>
      </c>
      <c r="P372" s="19">
        <f t="shared" si="67"/>
        <v>0</v>
      </c>
      <c r="Q372" s="19" cm="1">
        <f t="array" ref="Q372">ROUND(P372+1/getKurs(EDATE(A372,-1))*(K372-L372-N372-getParm(Tarifart,"StK")+M372+O372),10)*(C372&lt;Dauer)</f>
        <v>0</v>
      </c>
      <c r="R372" s="10" cm="1">
        <f t="array" ref="R372">ROUND(P372*getKurs($A372),2)</f>
        <v>0</v>
      </c>
      <c r="S372" s="10" cm="1">
        <f t="array" ref="S372">ROUND(Q372*getKurs($A372),2)</f>
        <v>0</v>
      </c>
      <c r="T372" s="10">
        <f t="shared" si="63"/>
        <v>43200</v>
      </c>
      <c r="U372" s="10" cm="1">
        <f t="array" ref="U372">getParm(Tarifart,"StoSatz")*(Dauer-C372)*Beitrag*Zahlweise*(C372&lt;BZDauer)</f>
        <v>0</v>
      </c>
      <c r="V372" s="10">
        <f t="shared" si="68"/>
        <v>0</v>
      </c>
    </row>
    <row r="373" spans="1:22" x14ac:dyDescent="0.45">
      <c r="A373" s="15">
        <f t="shared" si="69"/>
        <v>47604</v>
      </c>
      <c r="B373">
        <f t="shared" si="59"/>
        <v>364</v>
      </c>
      <c r="C373">
        <f t="shared" si="64"/>
        <v>30</v>
      </c>
      <c r="D373">
        <f t="shared" si="60"/>
        <v>4</v>
      </c>
      <c r="E373">
        <f t="shared" si="61"/>
        <v>1</v>
      </c>
      <c r="F373" s="10">
        <f t="shared" si="62"/>
        <v>0</v>
      </c>
      <c r="G373" s="10" cm="1">
        <f t="array" ref="G373">ROUND(getParm(Tarifart,"alpha")/(2*Zahlweise)*BeiSum*(C373&lt;2)*E373,2)</f>
        <v>0</v>
      </c>
      <c r="H373" s="10" cm="1">
        <f t="array" ref="H373">ROUND(F373*getParm(Tarifart,"beta")*E373,2)</f>
        <v>0</v>
      </c>
      <c r="I373" s="10" cm="1">
        <f t="array" ref="I373">ROUND(F373*get_Üb(YEAR(A373),$I$8)*E373,2)</f>
        <v>0</v>
      </c>
      <c r="J373" s="10">
        <f t="shared" si="65"/>
        <v>0</v>
      </c>
      <c r="K373" s="10">
        <f t="shared" si="66"/>
        <v>0</v>
      </c>
      <c r="L373" s="10" cm="1">
        <f t="array" ref="L373">ROUND(1/12*MAX(MTSum-R373-K373,MRSum)*Act_qx(x+C373,Geschlecht,getParm(Tarifart,"Tafel"),YEAR(GebDat),x+Dauer,1),2)</f>
        <v>69.2</v>
      </c>
      <c r="M373" s="10" cm="1">
        <f t="array" ref="M373">ROUND(L373*get_Üb(YEAR(A373),$M$8),2)</f>
        <v>3.46</v>
      </c>
      <c r="N373" s="10" cm="1">
        <f t="array" ref="N373">ROUND(R373*getParm(Tarifart,IF(C373&lt;BZDauer,"gamma1","gamma2")),2)</f>
        <v>0</v>
      </c>
      <c r="O373" s="10" cm="1">
        <f t="array" ref="O373">ROUND(R373*get_Üb(YEAR(A373),$O$8),2)</f>
        <v>0</v>
      </c>
      <c r="P373" s="19">
        <f t="shared" si="67"/>
        <v>0</v>
      </c>
      <c r="Q373" s="19" cm="1">
        <f t="array" ref="Q373">ROUND(P373+1/getKurs(EDATE(A373,-1))*(K373-L373-N373-getParm(Tarifart,"StK")+M373+O373),10)*(C373&lt;Dauer)</f>
        <v>0</v>
      </c>
      <c r="R373" s="10" cm="1">
        <f t="array" ref="R373">ROUND(P373*getKurs($A373),2)</f>
        <v>0</v>
      </c>
      <c r="S373" s="10" cm="1">
        <f t="array" ref="S373">ROUND(Q373*getKurs($A373),2)</f>
        <v>0</v>
      </c>
      <c r="T373" s="10">
        <f t="shared" si="63"/>
        <v>43200</v>
      </c>
      <c r="U373" s="10" cm="1">
        <f t="array" ref="U373">getParm(Tarifart,"StoSatz")*(Dauer-C373)*Beitrag*Zahlweise*(C373&lt;BZDauer)</f>
        <v>0</v>
      </c>
      <c r="V373" s="10">
        <f t="shared" si="68"/>
        <v>0</v>
      </c>
    </row>
    <row r="374" spans="1:22" x14ac:dyDescent="0.45">
      <c r="A374" s="15">
        <f t="shared" si="69"/>
        <v>47635</v>
      </c>
      <c r="B374">
        <f t="shared" si="59"/>
        <v>365</v>
      </c>
      <c r="C374">
        <f t="shared" si="64"/>
        <v>30</v>
      </c>
      <c r="D374">
        <f t="shared" si="60"/>
        <v>5</v>
      </c>
      <c r="E374">
        <f t="shared" si="61"/>
        <v>1</v>
      </c>
      <c r="F374" s="10">
        <f t="shared" si="62"/>
        <v>0</v>
      </c>
      <c r="G374" s="10" cm="1">
        <f t="array" ref="G374">ROUND(getParm(Tarifart,"alpha")/(2*Zahlweise)*BeiSum*(C374&lt;2)*E374,2)</f>
        <v>0</v>
      </c>
      <c r="H374" s="10" cm="1">
        <f t="array" ref="H374">ROUND(F374*getParm(Tarifart,"beta")*E374,2)</f>
        <v>0</v>
      </c>
      <c r="I374" s="10" cm="1">
        <f t="array" ref="I374">ROUND(F374*get_Üb(YEAR(A374),$I$8)*E374,2)</f>
        <v>0</v>
      </c>
      <c r="J374" s="10">
        <f t="shared" si="65"/>
        <v>0</v>
      </c>
      <c r="K374" s="10">
        <f t="shared" si="66"/>
        <v>0</v>
      </c>
      <c r="L374" s="10" cm="1">
        <f t="array" ref="L374">ROUND(1/12*MAX(MTSum-R374-K374,MRSum)*Act_qx(x+C374,Geschlecht,getParm(Tarifart,"Tafel"),YEAR(GebDat),x+Dauer,1),2)</f>
        <v>69.2</v>
      </c>
      <c r="M374" s="10" cm="1">
        <f t="array" ref="M374">ROUND(L374*get_Üb(YEAR(A374),$M$8),2)</f>
        <v>3.46</v>
      </c>
      <c r="N374" s="10" cm="1">
        <f t="array" ref="N374">ROUND(R374*getParm(Tarifart,IF(C374&lt;BZDauer,"gamma1","gamma2")),2)</f>
        <v>0</v>
      </c>
      <c r="O374" s="10" cm="1">
        <f t="array" ref="O374">ROUND(R374*get_Üb(YEAR(A374),$O$8),2)</f>
        <v>0</v>
      </c>
      <c r="P374" s="19">
        <f t="shared" si="67"/>
        <v>0</v>
      </c>
      <c r="Q374" s="19" cm="1">
        <f t="array" ref="Q374">ROUND(P374+1/getKurs(EDATE(A374,-1))*(K374-L374-N374-getParm(Tarifart,"StK")+M374+O374),10)*(C374&lt;Dauer)</f>
        <v>0</v>
      </c>
      <c r="R374" s="10" cm="1">
        <f t="array" ref="R374">ROUND(P374*getKurs($A374),2)</f>
        <v>0</v>
      </c>
      <c r="S374" s="10" cm="1">
        <f t="array" ref="S374">ROUND(Q374*getKurs($A374),2)</f>
        <v>0</v>
      </c>
      <c r="T374" s="10">
        <f t="shared" si="63"/>
        <v>43200</v>
      </c>
      <c r="U374" s="10" cm="1">
        <f t="array" ref="U374">getParm(Tarifart,"StoSatz")*(Dauer-C374)*Beitrag*Zahlweise*(C374&lt;BZDauer)</f>
        <v>0</v>
      </c>
      <c r="V374" s="10">
        <f t="shared" si="68"/>
        <v>0</v>
      </c>
    </row>
    <row r="375" spans="1:22" x14ac:dyDescent="0.45">
      <c r="A375" s="15">
        <f t="shared" si="69"/>
        <v>47665</v>
      </c>
      <c r="B375">
        <f t="shared" si="59"/>
        <v>366</v>
      </c>
      <c r="C375">
        <f t="shared" si="64"/>
        <v>30</v>
      </c>
      <c r="D375">
        <f t="shared" si="60"/>
        <v>6</v>
      </c>
      <c r="E375">
        <f t="shared" si="61"/>
        <v>1</v>
      </c>
      <c r="F375" s="10">
        <f t="shared" si="62"/>
        <v>0</v>
      </c>
      <c r="G375" s="10" cm="1">
        <f t="array" ref="G375">ROUND(getParm(Tarifart,"alpha")/(2*Zahlweise)*BeiSum*(C375&lt;2)*E375,2)</f>
        <v>0</v>
      </c>
      <c r="H375" s="10" cm="1">
        <f t="array" ref="H375">ROUND(F375*getParm(Tarifart,"beta")*E375,2)</f>
        <v>0</v>
      </c>
      <c r="I375" s="10" cm="1">
        <f t="array" ref="I375">ROUND(F375*get_Üb(YEAR(A375),$I$8)*E375,2)</f>
        <v>0</v>
      </c>
      <c r="J375" s="10">
        <f t="shared" si="65"/>
        <v>0</v>
      </c>
      <c r="K375" s="10">
        <f t="shared" si="66"/>
        <v>0</v>
      </c>
      <c r="L375" s="10" cm="1">
        <f t="array" ref="L375">ROUND(1/12*MAX(MTSum-R375-K375,MRSum)*Act_qx(x+C375,Geschlecht,getParm(Tarifart,"Tafel"),YEAR(GebDat),x+Dauer,1),2)</f>
        <v>69.2</v>
      </c>
      <c r="M375" s="10" cm="1">
        <f t="array" ref="M375">ROUND(L375*get_Üb(YEAR(A375),$M$8),2)</f>
        <v>3.46</v>
      </c>
      <c r="N375" s="10" cm="1">
        <f t="array" ref="N375">ROUND(R375*getParm(Tarifart,IF(C375&lt;BZDauer,"gamma1","gamma2")),2)</f>
        <v>0</v>
      </c>
      <c r="O375" s="10" cm="1">
        <f t="array" ref="O375">ROUND(R375*get_Üb(YEAR(A375),$O$8),2)</f>
        <v>0</v>
      </c>
      <c r="P375" s="19">
        <f t="shared" si="67"/>
        <v>0</v>
      </c>
      <c r="Q375" s="19" cm="1">
        <f t="array" ref="Q375">ROUND(P375+1/getKurs(EDATE(A375,-1))*(K375-L375-N375-getParm(Tarifart,"StK")+M375+O375),10)*(C375&lt;Dauer)</f>
        <v>0</v>
      </c>
      <c r="R375" s="10" cm="1">
        <f t="array" ref="R375">ROUND(P375*getKurs($A375),2)</f>
        <v>0</v>
      </c>
      <c r="S375" s="10" cm="1">
        <f t="array" ref="S375">ROUND(Q375*getKurs($A375),2)</f>
        <v>0</v>
      </c>
      <c r="T375" s="10">
        <f t="shared" si="63"/>
        <v>43200</v>
      </c>
      <c r="U375" s="10" cm="1">
        <f t="array" ref="U375">getParm(Tarifart,"StoSatz")*(Dauer-C375)*Beitrag*Zahlweise*(C375&lt;BZDauer)</f>
        <v>0</v>
      </c>
      <c r="V375" s="10">
        <f t="shared" si="68"/>
        <v>0</v>
      </c>
    </row>
    <row r="376" spans="1:22" x14ac:dyDescent="0.45">
      <c r="A376" s="15">
        <f t="shared" si="69"/>
        <v>47696</v>
      </c>
      <c r="B376">
        <f t="shared" si="59"/>
        <v>367</v>
      </c>
      <c r="C376">
        <f t="shared" si="64"/>
        <v>30</v>
      </c>
      <c r="D376">
        <f t="shared" si="60"/>
        <v>7</v>
      </c>
      <c r="E376">
        <f t="shared" si="61"/>
        <v>1</v>
      </c>
      <c r="F376" s="10">
        <f t="shared" si="62"/>
        <v>0</v>
      </c>
      <c r="G376" s="10" cm="1">
        <f t="array" ref="G376">ROUND(getParm(Tarifart,"alpha")/(2*Zahlweise)*BeiSum*(C376&lt;2)*E376,2)</f>
        <v>0</v>
      </c>
      <c r="H376" s="10" cm="1">
        <f t="array" ref="H376">ROUND(F376*getParm(Tarifart,"beta")*E376,2)</f>
        <v>0</v>
      </c>
      <c r="I376" s="10" cm="1">
        <f t="array" ref="I376">ROUND(F376*get_Üb(YEAR(A376),$I$8)*E376,2)</f>
        <v>0</v>
      </c>
      <c r="J376" s="10">
        <f t="shared" si="65"/>
        <v>0</v>
      </c>
      <c r="K376" s="10">
        <f t="shared" si="66"/>
        <v>0</v>
      </c>
      <c r="L376" s="10" cm="1">
        <f t="array" ref="L376">ROUND(1/12*MAX(MTSum-R376-K376,MRSum)*Act_qx(x+C376,Geschlecht,getParm(Tarifart,"Tafel"),YEAR(GebDat),x+Dauer,1),2)</f>
        <v>69.2</v>
      </c>
      <c r="M376" s="10" cm="1">
        <f t="array" ref="M376">ROUND(L376*get_Üb(YEAR(A376),$M$8),2)</f>
        <v>3.46</v>
      </c>
      <c r="N376" s="10" cm="1">
        <f t="array" ref="N376">ROUND(R376*getParm(Tarifart,IF(C376&lt;BZDauer,"gamma1","gamma2")),2)</f>
        <v>0</v>
      </c>
      <c r="O376" s="10" cm="1">
        <f t="array" ref="O376">ROUND(R376*get_Üb(YEAR(A376),$O$8),2)</f>
        <v>0</v>
      </c>
      <c r="P376" s="19">
        <f t="shared" si="67"/>
        <v>0</v>
      </c>
      <c r="Q376" s="19" cm="1">
        <f t="array" ref="Q376">ROUND(P376+1/getKurs(EDATE(A376,-1))*(K376-L376-N376-getParm(Tarifart,"StK")+M376+O376),10)*(C376&lt;Dauer)</f>
        <v>0</v>
      </c>
      <c r="R376" s="10" cm="1">
        <f t="array" ref="R376">ROUND(P376*getKurs($A376),2)</f>
        <v>0</v>
      </c>
      <c r="S376" s="10" cm="1">
        <f t="array" ref="S376">ROUND(Q376*getKurs($A376),2)</f>
        <v>0</v>
      </c>
      <c r="T376" s="10">
        <f t="shared" si="63"/>
        <v>43200</v>
      </c>
      <c r="U376" s="10" cm="1">
        <f t="array" ref="U376">getParm(Tarifart,"StoSatz")*(Dauer-C376)*Beitrag*Zahlweise*(C376&lt;BZDauer)</f>
        <v>0</v>
      </c>
      <c r="V376" s="10">
        <f t="shared" si="68"/>
        <v>0</v>
      </c>
    </row>
    <row r="377" spans="1:22" x14ac:dyDescent="0.45">
      <c r="A377" s="15">
        <f t="shared" si="69"/>
        <v>47727</v>
      </c>
      <c r="B377">
        <f t="shared" si="59"/>
        <v>368</v>
      </c>
      <c r="C377">
        <f t="shared" si="64"/>
        <v>30</v>
      </c>
      <c r="D377">
        <f t="shared" si="60"/>
        <v>8</v>
      </c>
      <c r="E377">
        <f t="shared" si="61"/>
        <v>1</v>
      </c>
      <c r="F377" s="10">
        <f t="shared" si="62"/>
        <v>0</v>
      </c>
      <c r="G377" s="10" cm="1">
        <f t="array" ref="G377">ROUND(getParm(Tarifart,"alpha")/(2*Zahlweise)*BeiSum*(C377&lt;2)*E377,2)</f>
        <v>0</v>
      </c>
      <c r="H377" s="10" cm="1">
        <f t="array" ref="H377">ROUND(F377*getParm(Tarifart,"beta")*E377,2)</f>
        <v>0</v>
      </c>
      <c r="I377" s="10" cm="1">
        <f t="array" ref="I377">ROUND(F377*get_Üb(YEAR(A377),$I$8)*E377,2)</f>
        <v>0</v>
      </c>
      <c r="J377" s="10">
        <f t="shared" si="65"/>
        <v>0</v>
      </c>
      <c r="K377" s="10">
        <f t="shared" si="66"/>
        <v>0</v>
      </c>
      <c r="L377" s="10" cm="1">
        <f t="array" ref="L377">ROUND(1/12*MAX(MTSum-R377-K377,MRSum)*Act_qx(x+C377,Geschlecht,getParm(Tarifart,"Tafel"),YEAR(GebDat),x+Dauer,1),2)</f>
        <v>69.2</v>
      </c>
      <c r="M377" s="10" cm="1">
        <f t="array" ref="M377">ROUND(L377*get_Üb(YEAR(A377),$M$8),2)</f>
        <v>3.46</v>
      </c>
      <c r="N377" s="10" cm="1">
        <f t="array" ref="N377">ROUND(R377*getParm(Tarifart,IF(C377&lt;BZDauer,"gamma1","gamma2")),2)</f>
        <v>0</v>
      </c>
      <c r="O377" s="10" cm="1">
        <f t="array" ref="O377">ROUND(R377*get_Üb(YEAR(A377),$O$8),2)</f>
        <v>0</v>
      </c>
      <c r="P377" s="19">
        <f t="shared" si="67"/>
        <v>0</v>
      </c>
      <c r="Q377" s="19" cm="1">
        <f t="array" ref="Q377">ROUND(P377+1/getKurs(EDATE(A377,-1))*(K377-L377-N377-getParm(Tarifart,"StK")+M377+O377),10)*(C377&lt;Dauer)</f>
        <v>0</v>
      </c>
      <c r="R377" s="10" cm="1">
        <f t="array" ref="R377">ROUND(P377*getKurs($A377),2)</f>
        <v>0</v>
      </c>
      <c r="S377" s="10" cm="1">
        <f t="array" ref="S377">ROUND(Q377*getKurs($A377),2)</f>
        <v>0</v>
      </c>
      <c r="T377" s="10">
        <f t="shared" si="63"/>
        <v>43200</v>
      </c>
      <c r="U377" s="10" cm="1">
        <f t="array" ref="U377">getParm(Tarifart,"StoSatz")*(Dauer-C377)*Beitrag*Zahlweise*(C377&lt;BZDauer)</f>
        <v>0</v>
      </c>
      <c r="V377" s="10">
        <f t="shared" si="68"/>
        <v>0</v>
      </c>
    </row>
    <row r="378" spans="1:22" x14ac:dyDescent="0.45">
      <c r="A378" s="15">
        <f t="shared" si="69"/>
        <v>47757</v>
      </c>
      <c r="B378">
        <f t="shared" ref="B378:B441" si="70">B377+1</f>
        <v>369</v>
      </c>
      <c r="C378">
        <f t="shared" si="64"/>
        <v>30</v>
      </c>
      <c r="D378">
        <f t="shared" ref="D378:D441" si="71">MOD(B378,12)</f>
        <v>9</v>
      </c>
      <c r="E378">
        <f t="shared" si="61"/>
        <v>1</v>
      </c>
      <c r="F378" s="10">
        <f t="shared" si="62"/>
        <v>0</v>
      </c>
      <c r="G378" s="10" cm="1">
        <f t="array" ref="G378">ROUND(getParm(Tarifart,"alpha")/(2*Zahlweise)*BeiSum*(C378&lt;2)*E378,2)</f>
        <v>0</v>
      </c>
      <c r="H378" s="10" cm="1">
        <f t="array" ref="H378">ROUND(F378*getParm(Tarifart,"beta")*E378,2)</f>
        <v>0</v>
      </c>
      <c r="I378" s="10" cm="1">
        <f t="array" ref="I378">ROUND(F378*get_Üb(YEAR(A378),$I$8)*E378,2)</f>
        <v>0</v>
      </c>
      <c r="J378" s="10">
        <f t="shared" si="65"/>
        <v>0</v>
      </c>
      <c r="K378" s="10">
        <f t="shared" si="66"/>
        <v>0</v>
      </c>
      <c r="L378" s="10" cm="1">
        <f t="array" ref="L378">ROUND(1/12*MAX(MTSum-R378-K378,MRSum)*Act_qx(x+C378,Geschlecht,getParm(Tarifart,"Tafel"),YEAR(GebDat),x+Dauer,1),2)</f>
        <v>69.2</v>
      </c>
      <c r="M378" s="10" cm="1">
        <f t="array" ref="M378">ROUND(L378*get_Üb(YEAR(A378),$M$8),2)</f>
        <v>3.46</v>
      </c>
      <c r="N378" s="10" cm="1">
        <f t="array" ref="N378">ROUND(R378*getParm(Tarifart,IF(C378&lt;BZDauer,"gamma1","gamma2")),2)</f>
        <v>0</v>
      </c>
      <c r="O378" s="10" cm="1">
        <f t="array" ref="O378">ROUND(R378*get_Üb(YEAR(A378),$O$8),2)</f>
        <v>0</v>
      </c>
      <c r="P378" s="19">
        <f t="shared" si="67"/>
        <v>0</v>
      </c>
      <c r="Q378" s="19" cm="1">
        <f t="array" ref="Q378">ROUND(P378+1/getKurs(EDATE(A378,-1))*(K378-L378-N378-getParm(Tarifart,"StK")+M378+O378),10)*(C378&lt;Dauer)</f>
        <v>0</v>
      </c>
      <c r="R378" s="10" cm="1">
        <f t="array" ref="R378">ROUND(P378*getKurs($A378),2)</f>
        <v>0</v>
      </c>
      <c r="S378" s="10" cm="1">
        <f t="array" ref="S378">ROUND(Q378*getKurs($A378),2)</f>
        <v>0</v>
      </c>
      <c r="T378" s="10">
        <f t="shared" si="63"/>
        <v>43200</v>
      </c>
      <c r="U378" s="10" cm="1">
        <f t="array" ref="U378">getParm(Tarifart,"StoSatz")*(Dauer-C378)*Beitrag*Zahlweise*(C378&lt;BZDauer)</f>
        <v>0</v>
      </c>
      <c r="V378" s="10">
        <f t="shared" si="68"/>
        <v>0</v>
      </c>
    </row>
    <row r="379" spans="1:22" x14ac:dyDescent="0.45">
      <c r="A379" s="15">
        <f t="shared" si="69"/>
        <v>47788</v>
      </c>
      <c r="B379">
        <f t="shared" si="70"/>
        <v>370</v>
      </c>
      <c r="C379">
        <f t="shared" si="64"/>
        <v>30</v>
      </c>
      <c r="D379">
        <f t="shared" si="71"/>
        <v>10</v>
      </c>
      <c r="E379">
        <f t="shared" si="61"/>
        <v>1</v>
      </c>
      <c r="F379" s="10">
        <f t="shared" si="62"/>
        <v>0</v>
      </c>
      <c r="G379" s="10" cm="1">
        <f t="array" ref="G379">ROUND(getParm(Tarifart,"alpha")/(2*Zahlweise)*BeiSum*(C379&lt;2)*E379,2)</f>
        <v>0</v>
      </c>
      <c r="H379" s="10" cm="1">
        <f t="array" ref="H379">ROUND(F379*getParm(Tarifart,"beta")*E379,2)</f>
        <v>0</v>
      </c>
      <c r="I379" s="10" cm="1">
        <f t="array" ref="I379">ROUND(F379*get_Üb(YEAR(A379),$I$8)*E379,2)</f>
        <v>0</v>
      </c>
      <c r="J379" s="10">
        <f t="shared" si="65"/>
        <v>0</v>
      </c>
      <c r="K379" s="10">
        <f t="shared" si="66"/>
        <v>0</v>
      </c>
      <c r="L379" s="10" cm="1">
        <f t="array" ref="L379">ROUND(1/12*MAX(MTSum-R379-K379,MRSum)*Act_qx(x+C379,Geschlecht,getParm(Tarifart,"Tafel"),YEAR(GebDat),x+Dauer,1),2)</f>
        <v>69.2</v>
      </c>
      <c r="M379" s="10" cm="1">
        <f t="array" ref="M379">ROUND(L379*get_Üb(YEAR(A379),$M$8),2)</f>
        <v>3.46</v>
      </c>
      <c r="N379" s="10" cm="1">
        <f t="array" ref="N379">ROUND(R379*getParm(Tarifart,IF(C379&lt;BZDauer,"gamma1","gamma2")),2)</f>
        <v>0</v>
      </c>
      <c r="O379" s="10" cm="1">
        <f t="array" ref="O379">ROUND(R379*get_Üb(YEAR(A379),$O$8),2)</f>
        <v>0</v>
      </c>
      <c r="P379" s="19">
        <f t="shared" si="67"/>
        <v>0</v>
      </c>
      <c r="Q379" s="19" cm="1">
        <f t="array" ref="Q379">ROUND(P379+1/getKurs(EDATE(A379,-1))*(K379-L379-N379-getParm(Tarifart,"StK")+M379+O379),10)*(C379&lt;Dauer)</f>
        <v>0</v>
      </c>
      <c r="R379" s="10" cm="1">
        <f t="array" ref="R379">ROUND(P379*getKurs($A379),2)</f>
        <v>0</v>
      </c>
      <c r="S379" s="10" cm="1">
        <f t="array" ref="S379">ROUND(Q379*getKurs($A379),2)</f>
        <v>0</v>
      </c>
      <c r="T379" s="10">
        <f t="shared" si="63"/>
        <v>43200</v>
      </c>
      <c r="U379" s="10" cm="1">
        <f t="array" ref="U379">getParm(Tarifart,"StoSatz")*(Dauer-C379)*Beitrag*Zahlweise*(C379&lt;BZDauer)</f>
        <v>0</v>
      </c>
      <c r="V379" s="10">
        <f t="shared" si="68"/>
        <v>0</v>
      </c>
    </row>
    <row r="380" spans="1:22" x14ac:dyDescent="0.45">
      <c r="A380" s="15">
        <f t="shared" si="69"/>
        <v>47818</v>
      </c>
      <c r="B380">
        <f t="shared" si="70"/>
        <v>371</v>
      </c>
      <c r="C380">
        <f t="shared" si="64"/>
        <v>30</v>
      </c>
      <c r="D380">
        <f t="shared" si="71"/>
        <v>11</v>
      </c>
      <c r="E380">
        <f t="shared" si="61"/>
        <v>1</v>
      </c>
      <c r="F380" s="10">
        <f t="shared" si="62"/>
        <v>0</v>
      </c>
      <c r="G380" s="10" cm="1">
        <f t="array" ref="G380">ROUND(getParm(Tarifart,"alpha")/(2*Zahlweise)*BeiSum*(C380&lt;2)*E380,2)</f>
        <v>0</v>
      </c>
      <c r="H380" s="10" cm="1">
        <f t="array" ref="H380">ROUND(F380*getParm(Tarifart,"beta")*E380,2)</f>
        <v>0</v>
      </c>
      <c r="I380" s="10" cm="1">
        <f t="array" ref="I380">ROUND(F380*get_Üb(YEAR(A380),$I$8)*E380,2)</f>
        <v>0</v>
      </c>
      <c r="J380" s="10">
        <f t="shared" si="65"/>
        <v>0</v>
      </c>
      <c r="K380" s="10">
        <f t="shared" si="66"/>
        <v>0</v>
      </c>
      <c r="L380" s="10" cm="1">
        <f t="array" ref="L380">ROUND(1/12*MAX(MTSum-R380-K380,MRSum)*Act_qx(x+C380,Geschlecht,getParm(Tarifart,"Tafel"),YEAR(GebDat),x+Dauer,1),2)</f>
        <v>69.2</v>
      </c>
      <c r="M380" s="10" cm="1">
        <f t="array" ref="M380">ROUND(L380*get_Üb(YEAR(A380),$M$8),2)</f>
        <v>3.46</v>
      </c>
      <c r="N380" s="10" cm="1">
        <f t="array" ref="N380">ROUND(R380*getParm(Tarifart,IF(C380&lt;BZDauer,"gamma1","gamma2")),2)</f>
        <v>0</v>
      </c>
      <c r="O380" s="10" cm="1">
        <f t="array" ref="O380">ROUND(R380*get_Üb(YEAR(A380),$O$8),2)</f>
        <v>0</v>
      </c>
      <c r="P380" s="19">
        <f t="shared" si="67"/>
        <v>0</v>
      </c>
      <c r="Q380" s="19" cm="1">
        <f t="array" ref="Q380">ROUND(P380+1/getKurs(EDATE(A380,-1))*(K380-L380-N380-getParm(Tarifart,"StK")+M380+O380),10)*(C380&lt;Dauer)</f>
        <v>0</v>
      </c>
      <c r="R380" s="10" cm="1">
        <f t="array" ref="R380">ROUND(P380*getKurs($A380),2)</f>
        <v>0</v>
      </c>
      <c r="S380" s="10" cm="1">
        <f t="array" ref="S380">ROUND(Q380*getKurs($A380),2)</f>
        <v>0</v>
      </c>
      <c r="T380" s="10">
        <f t="shared" si="63"/>
        <v>43200</v>
      </c>
      <c r="U380" s="10" cm="1">
        <f t="array" ref="U380">getParm(Tarifart,"StoSatz")*(Dauer-C380)*Beitrag*Zahlweise*(C380&lt;BZDauer)</f>
        <v>0</v>
      </c>
      <c r="V380" s="10">
        <f t="shared" si="68"/>
        <v>0</v>
      </c>
    </row>
    <row r="381" spans="1:22" x14ac:dyDescent="0.45">
      <c r="A381" s="15">
        <f t="shared" si="69"/>
        <v>47849</v>
      </c>
      <c r="B381">
        <f t="shared" si="70"/>
        <v>372</v>
      </c>
      <c r="C381">
        <f t="shared" si="64"/>
        <v>31</v>
      </c>
      <c r="D381">
        <f t="shared" si="71"/>
        <v>0</v>
      </c>
      <c r="E381">
        <f t="shared" si="61"/>
        <v>1</v>
      </c>
      <c r="F381" s="10">
        <f t="shared" si="62"/>
        <v>0</v>
      </c>
      <c r="G381" s="10" cm="1">
        <f t="array" ref="G381">ROUND(getParm(Tarifart,"alpha")/(2*Zahlweise)*BeiSum*(C381&lt;2)*E381,2)</f>
        <v>0</v>
      </c>
      <c r="H381" s="10" cm="1">
        <f t="array" ref="H381">ROUND(F381*getParm(Tarifart,"beta")*E381,2)</f>
        <v>0</v>
      </c>
      <c r="I381" s="10" cm="1">
        <f t="array" ref="I381">ROUND(F381*get_Üb(YEAR(A381),$I$8)*E381,2)</f>
        <v>0</v>
      </c>
      <c r="J381" s="10">
        <f t="shared" si="65"/>
        <v>0</v>
      </c>
      <c r="K381" s="10">
        <f t="shared" si="66"/>
        <v>0</v>
      </c>
      <c r="L381" s="10" cm="1">
        <f t="array" ref="L381">ROUND(1/12*MAX(MTSum-R381-K381,MRSum)*Act_qx(x+C381,Geschlecht,getParm(Tarifart,"Tafel"),YEAR(GebDat),x+Dauer,1),2)</f>
        <v>75.44</v>
      </c>
      <c r="M381" s="10" cm="1">
        <f t="array" ref="M381">ROUND(L381*get_Üb(YEAR(A381),$M$8),2)</f>
        <v>3.77</v>
      </c>
      <c r="N381" s="10" cm="1">
        <f t="array" ref="N381">ROUND(R381*getParm(Tarifart,IF(C381&lt;BZDauer,"gamma1","gamma2")),2)</f>
        <v>0</v>
      </c>
      <c r="O381" s="10" cm="1">
        <f t="array" ref="O381">ROUND(R381*get_Üb(YEAR(A381),$O$8),2)</f>
        <v>0</v>
      </c>
      <c r="P381" s="19">
        <f t="shared" si="67"/>
        <v>0</v>
      </c>
      <c r="Q381" s="19" cm="1">
        <f t="array" ref="Q381">ROUND(P381+1/getKurs(EDATE(A381,-1))*(K381-L381-N381-getParm(Tarifart,"StK")+M381+O381),10)*(C381&lt;Dauer)</f>
        <v>0</v>
      </c>
      <c r="R381" s="10" cm="1">
        <f t="array" ref="R381">ROUND(P381*getKurs($A381),2)</f>
        <v>0</v>
      </c>
      <c r="S381" s="10" cm="1">
        <f t="array" ref="S381">ROUND(Q381*getKurs($A381),2)</f>
        <v>0</v>
      </c>
      <c r="T381" s="10">
        <f t="shared" si="63"/>
        <v>43200</v>
      </c>
      <c r="U381" s="10" cm="1">
        <f t="array" ref="U381">getParm(Tarifart,"StoSatz")*(Dauer-C381)*Beitrag*Zahlweise*(C381&lt;BZDauer)</f>
        <v>0</v>
      </c>
      <c r="V381" s="10">
        <f t="shared" si="68"/>
        <v>0</v>
      </c>
    </row>
    <row r="382" spans="1:22" x14ac:dyDescent="0.45">
      <c r="A382" s="15">
        <f t="shared" si="69"/>
        <v>47880</v>
      </c>
      <c r="B382">
        <f t="shared" si="70"/>
        <v>373</v>
      </c>
      <c r="C382">
        <f t="shared" si="64"/>
        <v>31</v>
      </c>
      <c r="D382">
        <f t="shared" si="71"/>
        <v>1</v>
      </c>
      <c r="E382">
        <f t="shared" si="61"/>
        <v>1</v>
      </c>
      <c r="F382" s="10">
        <f t="shared" si="62"/>
        <v>0</v>
      </c>
      <c r="G382" s="10" cm="1">
        <f t="array" ref="G382">ROUND(getParm(Tarifart,"alpha")/(2*Zahlweise)*BeiSum*(C382&lt;2)*E382,2)</f>
        <v>0</v>
      </c>
      <c r="H382" s="10" cm="1">
        <f t="array" ref="H382">ROUND(F382*getParm(Tarifart,"beta")*E382,2)</f>
        <v>0</v>
      </c>
      <c r="I382" s="10" cm="1">
        <f t="array" ref="I382">ROUND(F382*get_Üb(YEAR(A382),$I$8)*E382,2)</f>
        <v>0</v>
      </c>
      <c r="J382" s="10">
        <f t="shared" si="65"/>
        <v>0</v>
      </c>
      <c r="K382" s="10">
        <f t="shared" si="66"/>
        <v>0</v>
      </c>
      <c r="L382" s="10" cm="1">
        <f t="array" ref="L382">ROUND(1/12*MAX(MTSum-R382-K382,MRSum)*Act_qx(x+C382,Geschlecht,getParm(Tarifart,"Tafel"),YEAR(GebDat),x+Dauer,1),2)</f>
        <v>75.44</v>
      </c>
      <c r="M382" s="10" cm="1">
        <f t="array" ref="M382">ROUND(L382*get_Üb(YEAR(A382),$M$8),2)</f>
        <v>3.77</v>
      </c>
      <c r="N382" s="10" cm="1">
        <f t="array" ref="N382">ROUND(R382*getParm(Tarifart,IF(C382&lt;BZDauer,"gamma1","gamma2")),2)</f>
        <v>0</v>
      </c>
      <c r="O382" s="10" cm="1">
        <f t="array" ref="O382">ROUND(R382*get_Üb(YEAR(A382),$O$8),2)</f>
        <v>0</v>
      </c>
      <c r="P382" s="19">
        <f t="shared" si="67"/>
        <v>0</v>
      </c>
      <c r="Q382" s="19" cm="1">
        <f t="array" ref="Q382">ROUND(P382+1/getKurs(EDATE(A382,-1))*(K382-L382-N382-getParm(Tarifart,"StK")+M382+O382),10)*(C382&lt;Dauer)</f>
        <v>0</v>
      </c>
      <c r="R382" s="10" cm="1">
        <f t="array" ref="R382">ROUND(P382*getKurs($A382),2)</f>
        <v>0</v>
      </c>
      <c r="S382" s="10" cm="1">
        <f t="array" ref="S382">ROUND(Q382*getKurs($A382),2)</f>
        <v>0</v>
      </c>
      <c r="T382" s="10">
        <f t="shared" si="63"/>
        <v>43200</v>
      </c>
      <c r="U382" s="10" cm="1">
        <f t="array" ref="U382">getParm(Tarifart,"StoSatz")*(Dauer-C382)*Beitrag*Zahlweise*(C382&lt;BZDauer)</f>
        <v>0</v>
      </c>
      <c r="V382" s="10">
        <f t="shared" si="68"/>
        <v>0</v>
      </c>
    </row>
    <row r="383" spans="1:22" x14ac:dyDescent="0.45">
      <c r="A383" s="15">
        <f t="shared" si="69"/>
        <v>47908</v>
      </c>
      <c r="B383">
        <f t="shared" si="70"/>
        <v>374</v>
      </c>
      <c r="C383">
        <f t="shared" si="64"/>
        <v>31</v>
      </c>
      <c r="D383">
        <f t="shared" si="71"/>
        <v>2</v>
      </c>
      <c r="E383">
        <f t="shared" si="61"/>
        <v>1</v>
      </c>
      <c r="F383" s="10">
        <f t="shared" si="62"/>
        <v>0</v>
      </c>
      <c r="G383" s="10" cm="1">
        <f t="array" ref="G383">ROUND(getParm(Tarifart,"alpha")/(2*Zahlweise)*BeiSum*(C383&lt;2)*E383,2)</f>
        <v>0</v>
      </c>
      <c r="H383" s="10" cm="1">
        <f t="array" ref="H383">ROUND(F383*getParm(Tarifart,"beta")*E383,2)</f>
        <v>0</v>
      </c>
      <c r="I383" s="10" cm="1">
        <f t="array" ref="I383">ROUND(F383*get_Üb(YEAR(A383),$I$8)*E383,2)</f>
        <v>0</v>
      </c>
      <c r="J383" s="10">
        <f t="shared" si="65"/>
        <v>0</v>
      </c>
      <c r="K383" s="10">
        <f t="shared" si="66"/>
        <v>0</v>
      </c>
      <c r="L383" s="10" cm="1">
        <f t="array" ref="L383">ROUND(1/12*MAX(MTSum-R383-K383,MRSum)*Act_qx(x+C383,Geschlecht,getParm(Tarifart,"Tafel"),YEAR(GebDat),x+Dauer,1),2)</f>
        <v>75.44</v>
      </c>
      <c r="M383" s="10" cm="1">
        <f t="array" ref="M383">ROUND(L383*get_Üb(YEAR(A383),$M$8),2)</f>
        <v>3.77</v>
      </c>
      <c r="N383" s="10" cm="1">
        <f t="array" ref="N383">ROUND(R383*getParm(Tarifart,IF(C383&lt;BZDauer,"gamma1","gamma2")),2)</f>
        <v>0</v>
      </c>
      <c r="O383" s="10" cm="1">
        <f t="array" ref="O383">ROUND(R383*get_Üb(YEAR(A383),$O$8),2)</f>
        <v>0</v>
      </c>
      <c r="P383" s="19">
        <f t="shared" si="67"/>
        <v>0</v>
      </c>
      <c r="Q383" s="19" cm="1">
        <f t="array" ref="Q383">ROUND(P383+1/getKurs(EDATE(A383,-1))*(K383-L383-N383-getParm(Tarifart,"StK")+M383+O383),10)*(C383&lt;Dauer)</f>
        <v>0</v>
      </c>
      <c r="R383" s="10" cm="1">
        <f t="array" ref="R383">ROUND(P383*getKurs($A383),2)</f>
        <v>0</v>
      </c>
      <c r="S383" s="10" cm="1">
        <f t="array" ref="S383">ROUND(Q383*getKurs($A383),2)</f>
        <v>0</v>
      </c>
      <c r="T383" s="10">
        <f t="shared" si="63"/>
        <v>43200</v>
      </c>
      <c r="U383" s="10" cm="1">
        <f t="array" ref="U383">getParm(Tarifart,"StoSatz")*(Dauer-C383)*Beitrag*Zahlweise*(C383&lt;BZDauer)</f>
        <v>0</v>
      </c>
      <c r="V383" s="10">
        <f t="shared" si="68"/>
        <v>0</v>
      </c>
    </row>
    <row r="384" spans="1:22" x14ac:dyDescent="0.45">
      <c r="A384" s="15">
        <f t="shared" si="69"/>
        <v>47939</v>
      </c>
      <c r="B384">
        <f t="shared" si="70"/>
        <v>375</v>
      </c>
      <c r="C384">
        <f t="shared" si="64"/>
        <v>31</v>
      </c>
      <c r="D384">
        <f t="shared" si="71"/>
        <v>3</v>
      </c>
      <c r="E384">
        <f t="shared" si="61"/>
        <v>1</v>
      </c>
      <c r="F384" s="10">
        <f t="shared" si="62"/>
        <v>0</v>
      </c>
      <c r="G384" s="10" cm="1">
        <f t="array" ref="G384">ROUND(getParm(Tarifart,"alpha")/(2*Zahlweise)*BeiSum*(C384&lt;2)*E384,2)</f>
        <v>0</v>
      </c>
      <c r="H384" s="10" cm="1">
        <f t="array" ref="H384">ROUND(F384*getParm(Tarifart,"beta")*E384,2)</f>
        <v>0</v>
      </c>
      <c r="I384" s="10" cm="1">
        <f t="array" ref="I384">ROUND(F384*get_Üb(YEAR(A384),$I$8)*E384,2)</f>
        <v>0</v>
      </c>
      <c r="J384" s="10">
        <f t="shared" si="65"/>
        <v>0</v>
      </c>
      <c r="K384" s="10">
        <f t="shared" si="66"/>
        <v>0</v>
      </c>
      <c r="L384" s="10" cm="1">
        <f t="array" ref="L384">ROUND(1/12*MAX(MTSum-R384-K384,MRSum)*Act_qx(x+C384,Geschlecht,getParm(Tarifart,"Tafel"),YEAR(GebDat),x+Dauer,1),2)</f>
        <v>75.44</v>
      </c>
      <c r="M384" s="10" cm="1">
        <f t="array" ref="M384">ROUND(L384*get_Üb(YEAR(A384),$M$8),2)</f>
        <v>3.77</v>
      </c>
      <c r="N384" s="10" cm="1">
        <f t="array" ref="N384">ROUND(R384*getParm(Tarifart,IF(C384&lt;BZDauer,"gamma1","gamma2")),2)</f>
        <v>0</v>
      </c>
      <c r="O384" s="10" cm="1">
        <f t="array" ref="O384">ROUND(R384*get_Üb(YEAR(A384),$O$8),2)</f>
        <v>0</v>
      </c>
      <c r="P384" s="19">
        <f t="shared" si="67"/>
        <v>0</v>
      </c>
      <c r="Q384" s="19" cm="1">
        <f t="array" ref="Q384">ROUND(P384+1/getKurs(EDATE(A384,-1))*(K384-L384-N384-getParm(Tarifart,"StK")+M384+O384),10)*(C384&lt;Dauer)</f>
        <v>0</v>
      </c>
      <c r="R384" s="10" cm="1">
        <f t="array" ref="R384">ROUND(P384*getKurs($A384),2)</f>
        <v>0</v>
      </c>
      <c r="S384" s="10" cm="1">
        <f t="array" ref="S384">ROUND(Q384*getKurs($A384),2)</f>
        <v>0</v>
      </c>
      <c r="T384" s="10">
        <f t="shared" si="63"/>
        <v>43200</v>
      </c>
      <c r="U384" s="10" cm="1">
        <f t="array" ref="U384">getParm(Tarifart,"StoSatz")*(Dauer-C384)*Beitrag*Zahlweise*(C384&lt;BZDauer)</f>
        <v>0</v>
      </c>
      <c r="V384" s="10">
        <f t="shared" si="68"/>
        <v>0</v>
      </c>
    </row>
    <row r="385" spans="1:22" x14ac:dyDescent="0.45">
      <c r="A385" s="15">
        <f t="shared" si="69"/>
        <v>47969</v>
      </c>
      <c r="B385">
        <f t="shared" si="70"/>
        <v>376</v>
      </c>
      <c r="C385">
        <f t="shared" si="64"/>
        <v>31</v>
      </c>
      <c r="D385">
        <f t="shared" si="71"/>
        <v>4</v>
      </c>
      <c r="E385">
        <f t="shared" si="61"/>
        <v>1</v>
      </c>
      <c r="F385" s="10">
        <f t="shared" si="62"/>
        <v>0</v>
      </c>
      <c r="G385" s="10" cm="1">
        <f t="array" ref="G385">ROUND(getParm(Tarifart,"alpha")/(2*Zahlweise)*BeiSum*(C385&lt;2)*E385,2)</f>
        <v>0</v>
      </c>
      <c r="H385" s="10" cm="1">
        <f t="array" ref="H385">ROUND(F385*getParm(Tarifart,"beta")*E385,2)</f>
        <v>0</v>
      </c>
      <c r="I385" s="10" cm="1">
        <f t="array" ref="I385">ROUND(F385*get_Üb(YEAR(A385),$I$8)*E385,2)</f>
        <v>0</v>
      </c>
      <c r="J385" s="10">
        <f t="shared" si="65"/>
        <v>0</v>
      </c>
      <c r="K385" s="10">
        <f t="shared" si="66"/>
        <v>0</v>
      </c>
      <c r="L385" s="10" cm="1">
        <f t="array" ref="L385">ROUND(1/12*MAX(MTSum-R385-K385,MRSum)*Act_qx(x+C385,Geschlecht,getParm(Tarifart,"Tafel"),YEAR(GebDat),x+Dauer,1),2)</f>
        <v>75.44</v>
      </c>
      <c r="M385" s="10" cm="1">
        <f t="array" ref="M385">ROUND(L385*get_Üb(YEAR(A385),$M$8),2)</f>
        <v>3.77</v>
      </c>
      <c r="N385" s="10" cm="1">
        <f t="array" ref="N385">ROUND(R385*getParm(Tarifart,IF(C385&lt;BZDauer,"gamma1","gamma2")),2)</f>
        <v>0</v>
      </c>
      <c r="O385" s="10" cm="1">
        <f t="array" ref="O385">ROUND(R385*get_Üb(YEAR(A385),$O$8),2)</f>
        <v>0</v>
      </c>
      <c r="P385" s="19">
        <f t="shared" si="67"/>
        <v>0</v>
      </c>
      <c r="Q385" s="19" cm="1">
        <f t="array" ref="Q385">ROUND(P385+1/getKurs(EDATE(A385,-1))*(K385-L385-N385-getParm(Tarifart,"StK")+M385+O385),10)*(C385&lt;Dauer)</f>
        <v>0</v>
      </c>
      <c r="R385" s="10" cm="1">
        <f t="array" ref="R385">ROUND(P385*getKurs($A385),2)</f>
        <v>0</v>
      </c>
      <c r="S385" s="10" cm="1">
        <f t="array" ref="S385">ROUND(Q385*getKurs($A385),2)</f>
        <v>0</v>
      </c>
      <c r="T385" s="10">
        <f t="shared" si="63"/>
        <v>43200</v>
      </c>
      <c r="U385" s="10" cm="1">
        <f t="array" ref="U385">getParm(Tarifart,"StoSatz")*(Dauer-C385)*Beitrag*Zahlweise*(C385&lt;BZDauer)</f>
        <v>0</v>
      </c>
      <c r="V385" s="10">
        <f t="shared" si="68"/>
        <v>0</v>
      </c>
    </row>
    <row r="386" spans="1:22" x14ac:dyDescent="0.45">
      <c r="A386" s="15">
        <f t="shared" si="69"/>
        <v>48000</v>
      </c>
      <c r="B386">
        <f t="shared" si="70"/>
        <v>377</v>
      </c>
      <c r="C386">
        <f t="shared" si="64"/>
        <v>31</v>
      </c>
      <c r="D386">
        <f t="shared" si="71"/>
        <v>5</v>
      </c>
      <c r="E386">
        <f t="shared" si="61"/>
        <v>1</v>
      </c>
      <c r="F386" s="10">
        <f t="shared" si="62"/>
        <v>0</v>
      </c>
      <c r="G386" s="10" cm="1">
        <f t="array" ref="G386">ROUND(getParm(Tarifart,"alpha")/(2*Zahlweise)*BeiSum*(C386&lt;2)*E386,2)</f>
        <v>0</v>
      </c>
      <c r="H386" s="10" cm="1">
        <f t="array" ref="H386">ROUND(F386*getParm(Tarifart,"beta")*E386,2)</f>
        <v>0</v>
      </c>
      <c r="I386" s="10" cm="1">
        <f t="array" ref="I386">ROUND(F386*get_Üb(YEAR(A386),$I$8)*E386,2)</f>
        <v>0</v>
      </c>
      <c r="J386" s="10">
        <f t="shared" si="65"/>
        <v>0</v>
      </c>
      <c r="K386" s="10">
        <f t="shared" si="66"/>
        <v>0</v>
      </c>
      <c r="L386" s="10" cm="1">
        <f t="array" ref="L386">ROUND(1/12*MAX(MTSum-R386-K386,MRSum)*Act_qx(x+C386,Geschlecht,getParm(Tarifart,"Tafel"),YEAR(GebDat),x+Dauer,1),2)</f>
        <v>75.44</v>
      </c>
      <c r="M386" s="10" cm="1">
        <f t="array" ref="M386">ROUND(L386*get_Üb(YEAR(A386),$M$8),2)</f>
        <v>3.77</v>
      </c>
      <c r="N386" s="10" cm="1">
        <f t="array" ref="N386">ROUND(R386*getParm(Tarifart,IF(C386&lt;BZDauer,"gamma1","gamma2")),2)</f>
        <v>0</v>
      </c>
      <c r="O386" s="10" cm="1">
        <f t="array" ref="O386">ROUND(R386*get_Üb(YEAR(A386),$O$8),2)</f>
        <v>0</v>
      </c>
      <c r="P386" s="19">
        <f t="shared" si="67"/>
        <v>0</v>
      </c>
      <c r="Q386" s="19" cm="1">
        <f t="array" ref="Q386">ROUND(P386+1/getKurs(EDATE(A386,-1))*(K386-L386-N386-getParm(Tarifart,"StK")+M386+O386),10)*(C386&lt;Dauer)</f>
        <v>0</v>
      </c>
      <c r="R386" s="10" cm="1">
        <f t="array" ref="R386">ROUND(P386*getKurs($A386),2)</f>
        <v>0</v>
      </c>
      <c r="S386" s="10" cm="1">
        <f t="array" ref="S386">ROUND(Q386*getKurs($A386),2)</f>
        <v>0</v>
      </c>
      <c r="T386" s="10">
        <f t="shared" si="63"/>
        <v>43200</v>
      </c>
      <c r="U386" s="10" cm="1">
        <f t="array" ref="U386">getParm(Tarifart,"StoSatz")*(Dauer-C386)*Beitrag*Zahlweise*(C386&lt;BZDauer)</f>
        <v>0</v>
      </c>
      <c r="V386" s="10">
        <f t="shared" si="68"/>
        <v>0</v>
      </c>
    </row>
    <row r="387" spans="1:22" x14ac:dyDescent="0.45">
      <c r="A387" s="15">
        <f t="shared" si="69"/>
        <v>48030</v>
      </c>
      <c r="B387">
        <f t="shared" si="70"/>
        <v>378</v>
      </c>
      <c r="C387">
        <f t="shared" si="64"/>
        <v>31</v>
      </c>
      <c r="D387">
        <f t="shared" si="71"/>
        <v>6</v>
      </c>
      <c r="E387">
        <f t="shared" si="61"/>
        <v>1</v>
      </c>
      <c r="F387" s="10">
        <f t="shared" si="62"/>
        <v>0</v>
      </c>
      <c r="G387" s="10" cm="1">
        <f t="array" ref="G387">ROUND(getParm(Tarifart,"alpha")/(2*Zahlweise)*BeiSum*(C387&lt;2)*E387,2)</f>
        <v>0</v>
      </c>
      <c r="H387" s="10" cm="1">
        <f t="array" ref="H387">ROUND(F387*getParm(Tarifart,"beta")*E387,2)</f>
        <v>0</v>
      </c>
      <c r="I387" s="10" cm="1">
        <f t="array" ref="I387">ROUND(F387*get_Üb(YEAR(A387),$I$8)*E387,2)</f>
        <v>0</v>
      </c>
      <c r="J387" s="10">
        <f t="shared" si="65"/>
        <v>0</v>
      </c>
      <c r="K387" s="10">
        <f t="shared" si="66"/>
        <v>0</v>
      </c>
      <c r="L387" s="10" cm="1">
        <f t="array" ref="L387">ROUND(1/12*MAX(MTSum-R387-K387,MRSum)*Act_qx(x+C387,Geschlecht,getParm(Tarifart,"Tafel"),YEAR(GebDat),x+Dauer,1),2)</f>
        <v>75.44</v>
      </c>
      <c r="M387" s="10" cm="1">
        <f t="array" ref="M387">ROUND(L387*get_Üb(YEAR(A387),$M$8),2)</f>
        <v>3.77</v>
      </c>
      <c r="N387" s="10" cm="1">
        <f t="array" ref="N387">ROUND(R387*getParm(Tarifart,IF(C387&lt;BZDauer,"gamma1","gamma2")),2)</f>
        <v>0</v>
      </c>
      <c r="O387" s="10" cm="1">
        <f t="array" ref="O387">ROUND(R387*get_Üb(YEAR(A387),$O$8),2)</f>
        <v>0</v>
      </c>
      <c r="P387" s="19">
        <f t="shared" si="67"/>
        <v>0</v>
      </c>
      <c r="Q387" s="19" cm="1">
        <f t="array" ref="Q387">ROUND(P387+1/getKurs(EDATE(A387,-1))*(K387-L387-N387-getParm(Tarifart,"StK")+M387+O387),10)*(C387&lt;Dauer)</f>
        <v>0</v>
      </c>
      <c r="R387" s="10" cm="1">
        <f t="array" ref="R387">ROUND(P387*getKurs($A387),2)</f>
        <v>0</v>
      </c>
      <c r="S387" s="10" cm="1">
        <f t="array" ref="S387">ROUND(Q387*getKurs($A387),2)</f>
        <v>0</v>
      </c>
      <c r="T387" s="10">
        <f t="shared" si="63"/>
        <v>43200</v>
      </c>
      <c r="U387" s="10" cm="1">
        <f t="array" ref="U387">getParm(Tarifart,"StoSatz")*(Dauer-C387)*Beitrag*Zahlweise*(C387&lt;BZDauer)</f>
        <v>0</v>
      </c>
      <c r="V387" s="10">
        <f t="shared" si="68"/>
        <v>0</v>
      </c>
    </row>
    <row r="388" spans="1:22" x14ac:dyDescent="0.45">
      <c r="A388" s="15">
        <f t="shared" si="69"/>
        <v>48061</v>
      </c>
      <c r="B388">
        <f t="shared" si="70"/>
        <v>379</v>
      </c>
      <c r="C388">
        <f t="shared" si="64"/>
        <v>31</v>
      </c>
      <c r="D388">
        <f t="shared" si="71"/>
        <v>7</v>
      </c>
      <c r="E388">
        <f t="shared" si="61"/>
        <v>1</v>
      </c>
      <c r="F388" s="10">
        <f t="shared" si="62"/>
        <v>0</v>
      </c>
      <c r="G388" s="10" cm="1">
        <f t="array" ref="G388">ROUND(getParm(Tarifart,"alpha")/(2*Zahlweise)*BeiSum*(C388&lt;2)*E388,2)</f>
        <v>0</v>
      </c>
      <c r="H388" s="10" cm="1">
        <f t="array" ref="H388">ROUND(F388*getParm(Tarifart,"beta")*E388,2)</f>
        <v>0</v>
      </c>
      <c r="I388" s="10" cm="1">
        <f t="array" ref="I388">ROUND(F388*get_Üb(YEAR(A388),$I$8)*E388,2)</f>
        <v>0</v>
      </c>
      <c r="J388" s="10">
        <f t="shared" si="65"/>
        <v>0</v>
      </c>
      <c r="K388" s="10">
        <f t="shared" si="66"/>
        <v>0</v>
      </c>
      <c r="L388" s="10" cm="1">
        <f t="array" ref="L388">ROUND(1/12*MAX(MTSum-R388-K388,MRSum)*Act_qx(x+C388,Geschlecht,getParm(Tarifart,"Tafel"),YEAR(GebDat),x+Dauer,1),2)</f>
        <v>75.44</v>
      </c>
      <c r="M388" s="10" cm="1">
        <f t="array" ref="M388">ROUND(L388*get_Üb(YEAR(A388),$M$8),2)</f>
        <v>3.77</v>
      </c>
      <c r="N388" s="10" cm="1">
        <f t="array" ref="N388">ROUND(R388*getParm(Tarifart,IF(C388&lt;BZDauer,"gamma1","gamma2")),2)</f>
        <v>0</v>
      </c>
      <c r="O388" s="10" cm="1">
        <f t="array" ref="O388">ROUND(R388*get_Üb(YEAR(A388),$O$8),2)</f>
        <v>0</v>
      </c>
      <c r="P388" s="19">
        <f t="shared" si="67"/>
        <v>0</v>
      </c>
      <c r="Q388" s="19" cm="1">
        <f t="array" ref="Q388">ROUND(P388+1/getKurs(EDATE(A388,-1))*(K388-L388-N388-getParm(Tarifart,"StK")+M388+O388),10)*(C388&lt;Dauer)</f>
        <v>0</v>
      </c>
      <c r="R388" s="10" cm="1">
        <f t="array" ref="R388">ROUND(P388*getKurs($A388),2)</f>
        <v>0</v>
      </c>
      <c r="S388" s="10" cm="1">
        <f t="array" ref="S388">ROUND(Q388*getKurs($A388),2)</f>
        <v>0</v>
      </c>
      <c r="T388" s="10">
        <f t="shared" si="63"/>
        <v>43200</v>
      </c>
      <c r="U388" s="10" cm="1">
        <f t="array" ref="U388">getParm(Tarifart,"StoSatz")*(Dauer-C388)*Beitrag*Zahlweise*(C388&lt;BZDauer)</f>
        <v>0</v>
      </c>
      <c r="V388" s="10">
        <f t="shared" si="68"/>
        <v>0</v>
      </c>
    </row>
    <row r="389" spans="1:22" x14ac:dyDescent="0.45">
      <c r="A389" s="15">
        <f t="shared" si="69"/>
        <v>48092</v>
      </c>
      <c r="B389">
        <f t="shared" si="70"/>
        <v>380</v>
      </c>
      <c r="C389">
        <f t="shared" si="64"/>
        <v>31</v>
      </c>
      <c r="D389">
        <f t="shared" si="71"/>
        <v>8</v>
      </c>
      <c r="E389">
        <f t="shared" si="61"/>
        <v>1</v>
      </c>
      <c r="F389" s="10">
        <f t="shared" si="62"/>
        <v>0</v>
      </c>
      <c r="G389" s="10" cm="1">
        <f t="array" ref="G389">ROUND(getParm(Tarifart,"alpha")/(2*Zahlweise)*BeiSum*(C389&lt;2)*E389,2)</f>
        <v>0</v>
      </c>
      <c r="H389" s="10" cm="1">
        <f t="array" ref="H389">ROUND(F389*getParm(Tarifart,"beta")*E389,2)</f>
        <v>0</v>
      </c>
      <c r="I389" s="10" cm="1">
        <f t="array" ref="I389">ROUND(F389*get_Üb(YEAR(A389),$I$8)*E389,2)</f>
        <v>0</v>
      </c>
      <c r="J389" s="10">
        <f t="shared" si="65"/>
        <v>0</v>
      </c>
      <c r="K389" s="10">
        <f t="shared" si="66"/>
        <v>0</v>
      </c>
      <c r="L389" s="10" cm="1">
        <f t="array" ref="L389">ROUND(1/12*MAX(MTSum-R389-K389,MRSum)*Act_qx(x+C389,Geschlecht,getParm(Tarifart,"Tafel"),YEAR(GebDat),x+Dauer,1),2)</f>
        <v>75.44</v>
      </c>
      <c r="M389" s="10" cm="1">
        <f t="array" ref="M389">ROUND(L389*get_Üb(YEAR(A389),$M$8),2)</f>
        <v>3.77</v>
      </c>
      <c r="N389" s="10" cm="1">
        <f t="array" ref="N389">ROUND(R389*getParm(Tarifart,IF(C389&lt;BZDauer,"gamma1","gamma2")),2)</f>
        <v>0</v>
      </c>
      <c r="O389" s="10" cm="1">
        <f t="array" ref="O389">ROUND(R389*get_Üb(YEAR(A389),$O$8),2)</f>
        <v>0</v>
      </c>
      <c r="P389" s="19">
        <f t="shared" si="67"/>
        <v>0</v>
      </c>
      <c r="Q389" s="19" cm="1">
        <f t="array" ref="Q389">ROUND(P389+1/getKurs(EDATE(A389,-1))*(K389-L389-N389-getParm(Tarifart,"StK")+M389+O389),10)*(C389&lt;Dauer)</f>
        <v>0</v>
      </c>
      <c r="R389" s="10" cm="1">
        <f t="array" ref="R389">ROUND(P389*getKurs($A389),2)</f>
        <v>0</v>
      </c>
      <c r="S389" s="10" cm="1">
        <f t="array" ref="S389">ROUND(Q389*getKurs($A389),2)</f>
        <v>0</v>
      </c>
      <c r="T389" s="10">
        <f t="shared" si="63"/>
        <v>43200</v>
      </c>
      <c r="U389" s="10" cm="1">
        <f t="array" ref="U389">getParm(Tarifart,"StoSatz")*(Dauer-C389)*Beitrag*Zahlweise*(C389&lt;BZDauer)</f>
        <v>0</v>
      </c>
      <c r="V389" s="10">
        <f t="shared" si="68"/>
        <v>0</v>
      </c>
    </row>
    <row r="390" spans="1:22" x14ac:dyDescent="0.45">
      <c r="A390" s="15">
        <f t="shared" si="69"/>
        <v>48122</v>
      </c>
      <c r="B390">
        <f t="shared" si="70"/>
        <v>381</v>
      </c>
      <c r="C390">
        <f t="shared" si="64"/>
        <v>31</v>
      </c>
      <c r="D390">
        <f t="shared" si="71"/>
        <v>9</v>
      </c>
      <c r="E390">
        <f t="shared" si="61"/>
        <v>1</v>
      </c>
      <c r="F390" s="10">
        <f t="shared" si="62"/>
        <v>0</v>
      </c>
      <c r="G390" s="10" cm="1">
        <f t="array" ref="G390">ROUND(getParm(Tarifart,"alpha")/(2*Zahlweise)*BeiSum*(C390&lt;2)*E390,2)</f>
        <v>0</v>
      </c>
      <c r="H390" s="10" cm="1">
        <f t="array" ref="H390">ROUND(F390*getParm(Tarifart,"beta")*E390,2)</f>
        <v>0</v>
      </c>
      <c r="I390" s="10" cm="1">
        <f t="array" ref="I390">ROUND(F390*get_Üb(YEAR(A390),$I$8)*E390,2)</f>
        <v>0</v>
      </c>
      <c r="J390" s="10">
        <f t="shared" si="65"/>
        <v>0</v>
      </c>
      <c r="K390" s="10">
        <f t="shared" si="66"/>
        <v>0</v>
      </c>
      <c r="L390" s="10" cm="1">
        <f t="array" ref="L390">ROUND(1/12*MAX(MTSum-R390-K390,MRSum)*Act_qx(x+C390,Geschlecht,getParm(Tarifart,"Tafel"),YEAR(GebDat),x+Dauer,1),2)</f>
        <v>75.44</v>
      </c>
      <c r="M390" s="10" cm="1">
        <f t="array" ref="M390">ROUND(L390*get_Üb(YEAR(A390),$M$8),2)</f>
        <v>3.77</v>
      </c>
      <c r="N390" s="10" cm="1">
        <f t="array" ref="N390">ROUND(R390*getParm(Tarifart,IF(C390&lt;BZDauer,"gamma1","gamma2")),2)</f>
        <v>0</v>
      </c>
      <c r="O390" s="10" cm="1">
        <f t="array" ref="O390">ROUND(R390*get_Üb(YEAR(A390),$O$8),2)</f>
        <v>0</v>
      </c>
      <c r="P390" s="19">
        <f t="shared" si="67"/>
        <v>0</v>
      </c>
      <c r="Q390" s="19" cm="1">
        <f t="array" ref="Q390">ROUND(P390+1/getKurs(EDATE(A390,-1))*(K390-L390-N390-getParm(Tarifart,"StK")+M390+O390),10)*(C390&lt;Dauer)</f>
        <v>0</v>
      </c>
      <c r="R390" s="10" cm="1">
        <f t="array" ref="R390">ROUND(P390*getKurs($A390),2)</f>
        <v>0</v>
      </c>
      <c r="S390" s="10" cm="1">
        <f t="array" ref="S390">ROUND(Q390*getKurs($A390),2)</f>
        <v>0</v>
      </c>
      <c r="T390" s="10">
        <f t="shared" si="63"/>
        <v>43200</v>
      </c>
      <c r="U390" s="10" cm="1">
        <f t="array" ref="U390">getParm(Tarifart,"StoSatz")*(Dauer-C390)*Beitrag*Zahlweise*(C390&lt;BZDauer)</f>
        <v>0</v>
      </c>
      <c r="V390" s="10">
        <f t="shared" si="68"/>
        <v>0</v>
      </c>
    </row>
    <row r="391" spans="1:22" x14ac:dyDescent="0.45">
      <c r="A391" s="15">
        <f t="shared" si="69"/>
        <v>48153</v>
      </c>
      <c r="B391">
        <f t="shared" si="70"/>
        <v>382</v>
      </c>
      <c r="C391">
        <f t="shared" si="64"/>
        <v>31</v>
      </c>
      <c r="D391">
        <f t="shared" si="71"/>
        <v>10</v>
      </c>
      <c r="E391">
        <f t="shared" si="61"/>
        <v>1</v>
      </c>
      <c r="F391" s="10">
        <f t="shared" si="62"/>
        <v>0</v>
      </c>
      <c r="G391" s="10" cm="1">
        <f t="array" ref="G391">ROUND(getParm(Tarifart,"alpha")/(2*Zahlweise)*BeiSum*(C391&lt;2)*E391,2)</f>
        <v>0</v>
      </c>
      <c r="H391" s="10" cm="1">
        <f t="array" ref="H391">ROUND(F391*getParm(Tarifart,"beta")*E391,2)</f>
        <v>0</v>
      </c>
      <c r="I391" s="10" cm="1">
        <f t="array" ref="I391">ROUND(F391*get_Üb(YEAR(A391),$I$8)*E391,2)</f>
        <v>0</v>
      </c>
      <c r="J391" s="10">
        <f t="shared" si="65"/>
        <v>0</v>
      </c>
      <c r="K391" s="10">
        <f t="shared" si="66"/>
        <v>0</v>
      </c>
      <c r="L391" s="10" cm="1">
        <f t="array" ref="L391">ROUND(1/12*MAX(MTSum-R391-K391,MRSum)*Act_qx(x+C391,Geschlecht,getParm(Tarifart,"Tafel"),YEAR(GebDat),x+Dauer,1),2)</f>
        <v>75.44</v>
      </c>
      <c r="M391" s="10" cm="1">
        <f t="array" ref="M391">ROUND(L391*get_Üb(YEAR(A391),$M$8),2)</f>
        <v>3.77</v>
      </c>
      <c r="N391" s="10" cm="1">
        <f t="array" ref="N391">ROUND(R391*getParm(Tarifart,IF(C391&lt;BZDauer,"gamma1","gamma2")),2)</f>
        <v>0</v>
      </c>
      <c r="O391" s="10" cm="1">
        <f t="array" ref="O391">ROUND(R391*get_Üb(YEAR(A391),$O$8),2)</f>
        <v>0</v>
      </c>
      <c r="P391" s="19">
        <f t="shared" si="67"/>
        <v>0</v>
      </c>
      <c r="Q391" s="19" cm="1">
        <f t="array" ref="Q391">ROUND(P391+1/getKurs(EDATE(A391,-1))*(K391-L391-N391-getParm(Tarifart,"StK")+M391+O391),10)*(C391&lt;Dauer)</f>
        <v>0</v>
      </c>
      <c r="R391" s="10" cm="1">
        <f t="array" ref="R391">ROUND(P391*getKurs($A391),2)</f>
        <v>0</v>
      </c>
      <c r="S391" s="10" cm="1">
        <f t="array" ref="S391">ROUND(Q391*getKurs($A391),2)</f>
        <v>0</v>
      </c>
      <c r="T391" s="10">
        <f t="shared" si="63"/>
        <v>43200</v>
      </c>
      <c r="U391" s="10" cm="1">
        <f t="array" ref="U391">getParm(Tarifart,"StoSatz")*(Dauer-C391)*Beitrag*Zahlweise*(C391&lt;BZDauer)</f>
        <v>0</v>
      </c>
      <c r="V391" s="10">
        <f t="shared" si="68"/>
        <v>0</v>
      </c>
    </row>
    <row r="392" spans="1:22" x14ac:dyDescent="0.45">
      <c r="A392" s="15">
        <f t="shared" si="69"/>
        <v>48183</v>
      </c>
      <c r="B392">
        <f t="shared" si="70"/>
        <v>383</v>
      </c>
      <c r="C392">
        <f t="shared" si="64"/>
        <v>31</v>
      </c>
      <c r="D392">
        <f t="shared" si="71"/>
        <v>11</v>
      </c>
      <c r="E392">
        <f t="shared" si="61"/>
        <v>1</v>
      </c>
      <c r="F392" s="10">
        <f t="shared" si="62"/>
        <v>0</v>
      </c>
      <c r="G392" s="10" cm="1">
        <f t="array" ref="G392">ROUND(getParm(Tarifart,"alpha")/(2*Zahlweise)*BeiSum*(C392&lt;2)*E392,2)</f>
        <v>0</v>
      </c>
      <c r="H392" s="10" cm="1">
        <f t="array" ref="H392">ROUND(F392*getParm(Tarifart,"beta")*E392,2)</f>
        <v>0</v>
      </c>
      <c r="I392" s="10" cm="1">
        <f t="array" ref="I392">ROUND(F392*get_Üb(YEAR(A392),$I$8)*E392,2)</f>
        <v>0</v>
      </c>
      <c r="J392" s="10">
        <f t="shared" si="65"/>
        <v>0</v>
      </c>
      <c r="K392" s="10">
        <f t="shared" si="66"/>
        <v>0</v>
      </c>
      <c r="L392" s="10" cm="1">
        <f t="array" ref="L392">ROUND(1/12*MAX(MTSum-R392-K392,MRSum)*Act_qx(x+C392,Geschlecht,getParm(Tarifart,"Tafel"),YEAR(GebDat),x+Dauer,1),2)</f>
        <v>75.44</v>
      </c>
      <c r="M392" s="10" cm="1">
        <f t="array" ref="M392">ROUND(L392*get_Üb(YEAR(A392),$M$8),2)</f>
        <v>3.77</v>
      </c>
      <c r="N392" s="10" cm="1">
        <f t="array" ref="N392">ROUND(R392*getParm(Tarifart,IF(C392&lt;BZDauer,"gamma1","gamma2")),2)</f>
        <v>0</v>
      </c>
      <c r="O392" s="10" cm="1">
        <f t="array" ref="O392">ROUND(R392*get_Üb(YEAR(A392),$O$8),2)</f>
        <v>0</v>
      </c>
      <c r="P392" s="19">
        <f t="shared" si="67"/>
        <v>0</v>
      </c>
      <c r="Q392" s="19" cm="1">
        <f t="array" ref="Q392">ROUND(P392+1/getKurs(EDATE(A392,-1))*(K392-L392-N392-getParm(Tarifart,"StK")+M392+O392),10)*(C392&lt;Dauer)</f>
        <v>0</v>
      </c>
      <c r="R392" s="10" cm="1">
        <f t="array" ref="R392">ROUND(P392*getKurs($A392),2)</f>
        <v>0</v>
      </c>
      <c r="S392" s="10" cm="1">
        <f t="array" ref="S392">ROUND(Q392*getKurs($A392),2)</f>
        <v>0</v>
      </c>
      <c r="T392" s="10">
        <f t="shared" si="63"/>
        <v>43200</v>
      </c>
      <c r="U392" s="10" cm="1">
        <f t="array" ref="U392">getParm(Tarifart,"StoSatz")*(Dauer-C392)*Beitrag*Zahlweise*(C392&lt;BZDauer)</f>
        <v>0</v>
      </c>
      <c r="V392" s="10">
        <f t="shared" si="68"/>
        <v>0</v>
      </c>
    </row>
    <row r="393" spans="1:22" x14ac:dyDescent="0.45">
      <c r="A393" s="15">
        <f t="shared" si="69"/>
        <v>48214</v>
      </c>
      <c r="B393">
        <f t="shared" si="70"/>
        <v>384</v>
      </c>
      <c r="C393">
        <f t="shared" si="64"/>
        <v>32</v>
      </c>
      <c r="D393">
        <f t="shared" si="71"/>
        <v>0</v>
      </c>
      <c r="E393">
        <f t="shared" ref="E393:E456" si="72">IF(MOD(B393,12/Zahlweise)=0,1,0)</f>
        <v>1</v>
      </c>
      <c r="F393" s="10">
        <f t="shared" ref="F393:F456" si="73">Beitrag*E393*(C393&lt;BZDauer)</f>
        <v>0</v>
      </c>
      <c r="G393" s="10" cm="1">
        <f t="array" ref="G393">ROUND(getParm(Tarifart,"alpha")/(2*Zahlweise)*BeiSum*(C393&lt;2)*E393,2)</f>
        <v>0</v>
      </c>
      <c r="H393" s="10" cm="1">
        <f t="array" ref="H393">ROUND(F393*getParm(Tarifart,"beta")*E393,2)</f>
        <v>0</v>
      </c>
      <c r="I393" s="10" cm="1">
        <f t="array" ref="I393">ROUND(F393*get_Üb(YEAR(A393),$I$8)*E393,2)</f>
        <v>0</v>
      </c>
      <c r="J393" s="10">
        <f t="shared" si="65"/>
        <v>0</v>
      </c>
      <c r="K393" s="10">
        <f t="shared" si="66"/>
        <v>0</v>
      </c>
      <c r="L393" s="10" cm="1">
        <f t="array" ref="L393">ROUND(1/12*MAX(MTSum-R393-K393,MRSum)*Act_qx(x+C393,Geschlecht,getParm(Tarifart,"Tafel"),YEAR(GebDat),x+Dauer,1),2)</f>
        <v>82.2</v>
      </c>
      <c r="M393" s="10" cm="1">
        <f t="array" ref="M393">ROUND(L393*get_Üb(YEAR(A393),$M$8),2)</f>
        <v>4.1100000000000003</v>
      </c>
      <c r="N393" s="10" cm="1">
        <f t="array" ref="N393">ROUND(R393*getParm(Tarifart,IF(C393&lt;BZDauer,"gamma1","gamma2")),2)</f>
        <v>0</v>
      </c>
      <c r="O393" s="10" cm="1">
        <f t="array" ref="O393">ROUND(R393*get_Üb(YEAR(A393),$O$8),2)</f>
        <v>0</v>
      </c>
      <c r="P393" s="19">
        <f t="shared" si="67"/>
        <v>0</v>
      </c>
      <c r="Q393" s="19" cm="1">
        <f t="array" ref="Q393">ROUND(P393+1/getKurs(EDATE(A393,-1))*(K393-L393-N393-getParm(Tarifart,"StK")+M393+O393),10)*(C393&lt;Dauer)</f>
        <v>0</v>
      </c>
      <c r="R393" s="10" cm="1">
        <f t="array" ref="R393">ROUND(P393*getKurs($A393),2)</f>
        <v>0</v>
      </c>
      <c r="S393" s="10" cm="1">
        <f t="array" ref="S393">ROUND(Q393*getKurs($A393),2)</f>
        <v>0</v>
      </c>
      <c r="T393" s="10">
        <f t="shared" ref="T393:T456" si="74">ROUND(MAX(MTSum,R393+MRSum),2)</f>
        <v>43200</v>
      </c>
      <c r="U393" s="10" cm="1">
        <f t="array" ref="U393">getParm(Tarifart,"StoSatz")*(Dauer-C393)*Beitrag*Zahlweise*(C393&lt;BZDauer)</f>
        <v>0</v>
      </c>
      <c r="V393" s="10">
        <f t="shared" si="68"/>
        <v>0</v>
      </c>
    </row>
    <row r="394" spans="1:22" x14ac:dyDescent="0.45">
      <c r="A394" s="15">
        <f t="shared" si="69"/>
        <v>48245</v>
      </c>
      <c r="B394">
        <f t="shared" si="70"/>
        <v>385</v>
      </c>
      <c r="C394">
        <f t="shared" ref="C394:C457" si="75">QUOTIENT(B394,12)</f>
        <v>32</v>
      </c>
      <c r="D394">
        <f t="shared" si="71"/>
        <v>1</v>
      </c>
      <c r="E394">
        <f t="shared" si="72"/>
        <v>1</v>
      </c>
      <c r="F394" s="10">
        <f t="shared" si="73"/>
        <v>0</v>
      </c>
      <c r="G394" s="10" cm="1">
        <f t="array" ref="G394">ROUND(getParm(Tarifart,"alpha")/(2*Zahlweise)*BeiSum*(C394&lt;2)*E394,2)</f>
        <v>0</v>
      </c>
      <c r="H394" s="10" cm="1">
        <f t="array" ref="H394">ROUND(F394*getParm(Tarifart,"beta")*E394,2)</f>
        <v>0</v>
      </c>
      <c r="I394" s="10" cm="1">
        <f t="array" ref="I394">ROUND(F394*get_Üb(YEAR(A394),$I$8)*E394,2)</f>
        <v>0</v>
      </c>
      <c r="J394" s="10">
        <f t="shared" ref="J394:J457" si="76">G394+H394</f>
        <v>0</v>
      </c>
      <c r="K394" s="10">
        <f t="shared" ref="K394:K457" si="77">F394-J394+I394</f>
        <v>0</v>
      </c>
      <c r="L394" s="10" cm="1">
        <f t="array" ref="L394">ROUND(1/12*MAX(MTSum-R394-K394,MRSum)*Act_qx(x+C394,Geschlecht,getParm(Tarifart,"Tafel"),YEAR(GebDat),x+Dauer,1),2)</f>
        <v>82.2</v>
      </c>
      <c r="M394" s="10" cm="1">
        <f t="array" ref="M394">ROUND(L394*get_Üb(YEAR(A394),$M$8),2)</f>
        <v>4.1100000000000003</v>
      </c>
      <c r="N394" s="10" cm="1">
        <f t="array" ref="N394">ROUND(R394*getParm(Tarifart,IF(C394&lt;BZDauer,"gamma1","gamma2")),2)</f>
        <v>0</v>
      </c>
      <c r="O394" s="10" cm="1">
        <f t="array" ref="O394">ROUND(R394*get_Üb(YEAR(A394),$O$8),2)</f>
        <v>0</v>
      </c>
      <c r="P394" s="19">
        <f t="shared" ref="P394:P457" si="78">Q393*(C394&lt;Dauer)</f>
        <v>0</v>
      </c>
      <c r="Q394" s="19" cm="1">
        <f t="array" ref="Q394">ROUND(P394+1/getKurs(EDATE(A394,-1))*(K394-L394-N394-getParm(Tarifart,"StK")+M394+O394),10)*(C394&lt;Dauer)</f>
        <v>0</v>
      </c>
      <c r="R394" s="10" cm="1">
        <f t="array" ref="R394">ROUND(P394*getKurs($A394),2)</f>
        <v>0</v>
      </c>
      <c r="S394" s="10" cm="1">
        <f t="array" ref="S394">ROUND(Q394*getKurs($A394),2)</f>
        <v>0</v>
      </c>
      <c r="T394" s="10">
        <f t="shared" si="74"/>
        <v>43200</v>
      </c>
      <c r="U394" s="10" cm="1">
        <f t="array" ref="U394">getParm(Tarifart,"StoSatz")*(Dauer-C394)*Beitrag*Zahlweise*(C394&lt;BZDauer)</f>
        <v>0</v>
      </c>
      <c r="V394" s="10">
        <f t="shared" ref="V394:V457" si="79">MAX(S394-U394,0)</f>
        <v>0</v>
      </c>
    </row>
    <row r="395" spans="1:22" x14ac:dyDescent="0.45">
      <c r="A395" s="15">
        <f t="shared" ref="A395:A458" si="80">EDATE(A394,1)</f>
        <v>48274</v>
      </c>
      <c r="B395">
        <f t="shared" si="70"/>
        <v>386</v>
      </c>
      <c r="C395">
        <f t="shared" si="75"/>
        <v>32</v>
      </c>
      <c r="D395">
        <f t="shared" si="71"/>
        <v>2</v>
      </c>
      <c r="E395">
        <f t="shared" si="72"/>
        <v>1</v>
      </c>
      <c r="F395" s="10">
        <f t="shared" si="73"/>
        <v>0</v>
      </c>
      <c r="G395" s="10" cm="1">
        <f t="array" ref="G395">ROUND(getParm(Tarifart,"alpha")/(2*Zahlweise)*BeiSum*(C395&lt;2)*E395,2)</f>
        <v>0</v>
      </c>
      <c r="H395" s="10" cm="1">
        <f t="array" ref="H395">ROUND(F395*getParm(Tarifart,"beta")*E395,2)</f>
        <v>0</v>
      </c>
      <c r="I395" s="10" cm="1">
        <f t="array" ref="I395">ROUND(F395*get_Üb(YEAR(A395),$I$8)*E395,2)</f>
        <v>0</v>
      </c>
      <c r="J395" s="10">
        <f t="shared" si="76"/>
        <v>0</v>
      </c>
      <c r="K395" s="10">
        <f t="shared" si="77"/>
        <v>0</v>
      </c>
      <c r="L395" s="10" cm="1">
        <f t="array" ref="L395">ROUND(1/12*MAX(MTSum-R395-K395,MRSum)*Act_qx(x+C395,Geschlecht,getParm(Tarifart,"Tafel"),YEAR(GebDat),x+Dauer,1),2)</f>
        <v>82.2</v>
      </c>
      <c r="M395" s="10" cm="1">
        <f t="array" ref="M395">ROUND(L395*get_Üb(YEAR(A395),$M$8),2)</f>
        <v>4.1100000000000003</v>
      </c>
      <c r="N395" s="10" cm="1">
        <f t="array" ref="N395">ROUND(R395*getParm(Tarifart,IF(C395&lt;BZDauer,"gamma1","gamma2")),2)</f>
        <v>0</v>
      </c>
      <c r="O395" s="10" cm="1">
        <f t="array" ref="O395">ROUND(R395*get_Üb(YEAR(A395),$O$8),2)</f>
        <v>0</v>
      </c>
      <c r="P395" s="19">
        <f t="shared" si="78"/>
        <v>0</v>
      </c>
      <c r="Q395" s="19" cm="1">
        <f t="array" ref="Q395">ROUND(P395+1/getKurs(EDATE(A395,-1))*(K395-L395-N395-getParm(Tarifart,"StK")+M395+O395),10)*(C395&lt;Dauer)</f>
        <v>0</v>
      </c>
      <c r="R395" s="10" cm="1">
        <f t="array" ref="R395">ROUND(P395*getKurs($A395),2)</f>
        <v>0</v>
      </c>
      <c r="S395" s="10" cm="1">
        <f t="array" ref="S395">ROUND(Q395*getKurs($A395),2)</f>
        <v>0</v>
      </c>
      <c r="T395" s="10">
        <f t="shared" si="74"/>
        <v>43200</v>
      </c>
      <c r="U395" s="10" cm="1">
        <f t="array" ref="U395">getParm(Tarifart,"StoSatz")*(Dauer-C395)*Beitrag*Zahlweise*(C395&lt;BZDauer)</f>
        <v>0</v>
      </c>
      <c r="V395" s="10">
        <f t="shared" si="79"/>
        <v>0</v>
      </c>
    </row>
    <row r="396" spans="1:22" x14ac:dyDescent="0.45">
      <c r="A396" s="15">
        <f t="shared" si="80"/>
        <v>48305</v>
      </c>
      <c r="B396">
        <f t="shared" si="70"/>
        <v>387</v>
      </c>
      <c r="C396">
        <f t="shared" si="75"/>
        <v>32</v>
      </c>
      <c r="D396">
        <f t="shared" si="71"/>
        <v>3</v>
      </c>
      <c r="E396">
        <f t="shared" si="72"/>
        <v>1</v>
      </c>
      <c r="F396" s="10">
        <f t="shared" si="73"/>
        <v>0</v>
      </c>
      <c r="G396" s="10" cm="1">
        <f t="array" ref="G396">ROUND(getParm(Tarifart,"alpha")/(2*Zahlweise)*BeiSum*(C396&lt;2)*E396,2)</f>
        <v>0</v>
      </c>
      <c r="H396" s="10" cm="1">
        <f t="array" ref="H396">ROUND(F396*getParm(Tarifart,"beta")*E396,2)</f>
        <v>0</v>
      </c>
      <c r="I396" s="10" cm="1">
        <f t="array" ref="I396">ROUND(F396*get_Üb(YEAR(A396),$I$8)*E396,2)</f>
        <v>0</v>
      </c>
      <c r="J396" s="10">
        <f t="shared" si="76"/>
        <v>0</v>
      </c>
      <c r="K396" s="10">
        <f t="shared" si="77"/>
        <v>0</v>
      </c>
      <c r="L396" s="10" cm="1">
        <f t="array" ref="L396">ROUND(1/12*MAX(MTSum-R396-K396,MRSum)*Act_qx(x+C396,Geschlecht,getParm(Tarifart,"Tafel"),YEAR(GebDat),x+Dauer,1),2)</f>
        <v>82.2</v>
      </c>
      <c r="M396" s="10" cm="1">
        <f t="array" ref="M396">ROUND(L396*get_Üb(YEAR(A396),$M$8),2)</f>
        <v>4.1100000000000003</v>
      </c>
      <c r="N396" s="10" cm="1">
        <f t="array" ref="N396">ROUND(R396*getParm(Tarifart,IF(C396&lt;BZDauer,"gamma1","gamma2")),2)</f>
        <v>0</v>
      </c>
      <c r="O396" s="10" cm="1">
        <f t="array" ref="O396">ROUND(R396*get_Üb(YEAR(A396),$O$8),2)</f>
        <v>0</v>
      </c>
      <c r="P396" s="19">
        <f t="shared" si="78"/>
        <v>0</v>
      </c>
      <c r="Q396" s="19" cm="1">
        <f t="array" ref="Q396">ROUND(P396+1/getKurs(EDATE(A396,-1))*(K396-L396-N396-getParm(Tarifart,"StK")+M396+O396),10)*(C396&lt;Dauer)</f>
        <v>0</v>
      </c>
      <c r="R396" s="10" cm="1">
        <f t="array" ref="R396">ROUND(P396*getKurs($A396),2)</f>
        <v>0</v>
      </c>
      <c r="S396" s="10" cm="1">
        <f t="array" ref="S396">ROUND(Q396*getKurs($A396),2)</f>
        <v>0</v>
      </c>
      <c r="T396" s="10">
        <f t="shared" si="74"/>
        <v>43200</v>
      </c>
      <c r="U396" s="10" cm="1">
        <f t="array" ref="U396">getParm(Tarifart,"StoSatz")*(Dauer-C396)*Beitrag*Zahlweise*(C396&lt;BZDauer)</f>
        <v>0</v>
      </c>
      <c r="V396" s="10">
        <f t="shared" si="79"/>
        <v>0</v>
      </c>
    </row>
    <row r="397" spans="1:22" x14ac:dyDescent="0.45">
      <c r="A397" s="15">
        <f t="shared" si="80"/>
        <v>48335</v>
      </c>
      <c r="B397">
        <f t="shared" si="70"/>
        <v>388</v>
      </c>
      <c r="C397">
        <f t="shared" si="75"/>
        <v>32</v>
      </c>
      <c r="D397">
        <f t="shared" si="71"/>
        <v>4</v>
      </c>
      <c r="E397">
        <f t="shared" si="72"/>
        <v>1</v>
      </c>
      <c r="F397" s="10">
        <f t="shared" si="73"/>
        <v>0</v>
      </c>
      <c r="G397" s="10" cm="1">
        <f t="array" ref="G397">ROUND(getParm(Tarifart,"alpha")/(2*Zahlweise)*BeiSum*(C397&lt;2)*E397,2)</f>
        <v>0</v>
      </c>
      <c r="H397" s="10" cm="1">
        <f t="array" ref="H397">ROUND(F397*getParm(Tarifart,"beta")*E397,2)</f>
        <v>0</v>
      </c>
      <c r="I397" s="10" cm="1">
        <f t="array" ref="I397">ROUND(F397*get_Üb(YEAR(A397),$I$8)*E397,2)</f>
        <v>0</v>
      </c>
      <c r="J397" s="10">
        <f t="shared" si="76"/>
        <v>0</v>
      </c>
      <c r="K397" s="10">
        <f t="shared" si="77"/>
        <v>0</v>
      </c>
      <c r="L397" s="10" cm="1">
        <f t="array" ref="L397">ROUND(1/12*MAX(MTSum-R397-K397,MRSum)*Act_qx(x+C397,Geschlecht,getParm(Tarifart,"Tafel"),YEAR(GebDat),x+Dauer,1),2)</f>
        <v>82.2</v>
      </c>
      <c r="M397" s="10" cm="1">
        <f t="array" ref="M397">ROUND(L397*get_Üb(YEAR(A397),$M$8),2)</f>
        <v>4.1100000000000003</v>
      </c>
      <c r="N397" s="10" cm="1">
        <f t="array" ref="N397">ROUND(R397*getParm(Tarifart,IF(C397&lt;BZDauer,"gamma1","gamma2")),2)</f>
        <v>0</v>
      </c>
      <c r="O397" s="10" cm="1">
        <f t="array" ref="O397">ROUND(R397*get_Üb(YEAR(A397),$O$8),2)</f>
        <v>0</v>
      </c>
      <c r="P397" s="19">
        <f t="shared" si="78"/>
        <v>0</v>
      </c>
      <c r="Q397" s="19" cm="1">
        <f t="array" ref="Q397">ROUND(P397+1/getKurs(EDATE(A397,-1))*(K397-L397-N397-getParm(Tarifart,"StK")+M397+O397),10)*(C397&lt;Dauer)</f>
        <v>0</v>
      </c>
      <c r="R397" s="10" cm="1">
        <f t="array" ref="R397">ROUND(P397*getKurs($A397),2)</f>
        <v>0</v>
      </c>
      <c r="S397" s="10" cm="1">
        <f t="array" ref="S397">ROUND(Q397*getKurs($A397),2)</f>
        <v>0</v>
      </c>
      <c r="T397" s="10">
        <f t="shared" si="74"/>
        <v>43200</v>
      </c>
      <c r="U397" s="10" cm="1">
        <f t="array" ref="U397">getParm(Tarifart,"StoSatz")*(Dauer-C397)*Beitrag*Zahlweise*(C397&lt;BZDauer)</f>
        <v>0</v>
      </c>
      <c r="V397" s="10">
        <f t="shared" si="79"/>
        <v>0</v>
      </c>
    </row>
    <row r="398" spans="1:22" x14ac:dyDescent="0.45">
      <c r="A398" s="15">
        <f t="shared" si="80"/>
        <v>48366</v>
      </c>
      <c r="B398">
        <f t="shared" si="70"/>
        <v>389</v>
      </c>
      <c r="C398">
        <f t="shared" si="75"/>
        <v>32</v>
      </c>
      <c r="D398">
        <f t="shared" si="71"/>
        <v>5</v>
      </c>
      <c r="E398">
        <f t="shared" si="72"/>
        <v>1</v>
      </c>
      <c r="F398" s="10">
        <f t="shared" si="73"/>
        <v>0</v>
      </c>
      <c r="G398" s="10" cm="1">
        <f t="array" ref="G398">ROUND(getParm(Tarifart,"alpha")/(2*Zahlweise)*BeiSum*(C398&lt;2)*E398,2)</f>
        <v>0</v>
      </c>
      <c r="H398" s="10" cm="1">
        <f t="array" ref="H398">ROUND(F398*getParm(Tarifart,"beta")*E398,2)</f>
        <v>0</v>
      </c>
      <c r="I398" s="10" cm="1">
        <f t="array" ref="I398">ROUND(F398*get_Üb(YEAR(A398),$I$8)*E398,2)</f>
        <v>0</v>
      </c>
      <c r="J398" s="10">
        <f t="shared" si="76"/>
        <v>0</v>
      </c>
      <c r="K398" s="10">
        <f t="shared" si="77"/>
        <v>0</v>
      </c>
      <c r="L398" s="10" cm="1">
        <f t="array" ref="L398">ROUND(1/12*MAX(MTSum-R398-K398,MRSum)*Act_qx(x+C398,Geschlecht,getParm(Tarifart,"Tafel"),YEAR(GebDat),x+Dauer,1),2)</f>
        <v>82.2</v>
      </c>
      <c r="M398" s="10" cm="1">
        <f t="array" ref="M398">ROUND(L398*get_Üb(YEAR(A398),$M$8),2)</f>
        <v>4.1100000000000003</v>
      </c>
      <c r="N398" s="10" cm="1">
        <f t="array" ref="N398">ROUND(R398*getParm(Tarifart,IF(C398&lt;BZDauer,"gamma1","gamma2")),2)</f>
        <v>0</v>
      </c>
      <c r="O398" s="10" cm="1">
        <f t="array" ref="O398">ROUND(R398*get_Üb(YEAR(A398),$O$8),2)</f>
        <v>0</v>
      </c>
      <c r="P398" s="19">
        <f t="shared" si="78"/>
        <v>0</v>
      </c>
      <c r="Q398" s="19" cm="1">
        <f t="array" ref="Q398">ROUND(P398+1/getKurs(EDATE(A398,-1))*(K398-L398-N398-getParm(Tarifart,"StK")+M398+O398),10)*(C398&lt;Dauer)</f>
        <v>0</v>
      </c>
      <c r="R398" s="10" cm="1">
        <f t="array" ref="R398">ROUND(P398*getKurs($A398),2)</f>
        <v>0</v>
      </c>
      <c r="S398" s="10" cm="1">
        <f t="array" ref="S398">ROUND(Q398*getKurs($A398),2)</f>
        <v>0</v>
      </c>
      <c r="T398" s="10">
        <f t="shared" si="74"/>
        <v>43200</v>
      </c>
      <c r="U398" s="10" cm="1">
        <f t="array" ref="U398">getParm(Tarifart,"StoSatz")*(Dauer-C398)*Beitrag*Zahlweise*(C398&lt;BZDauer)</f>
        <v>0</v>
      </c>
      <c r="V398" s="10">
        <f t="shared" si="79"/>
        <v>0</v>
      </c>
    </row>
    <row r="399" spans="1:22" x14ac:dyDescent="0.45">
      <c r="A399" s="15">
        <f t="shared" si="80"/>
        <v>48396</v>
      </c>
      <c r="B399">
        <f t="shared" si="70"/>
        <v>390</v>
      </c>
      <c r="C399">
        <f t="shared" si="75"/>
        <v>32</v>
      </c>
      <c r="D399">
        <f t="shared" si="71"/>
        <v>6</v>
      </c>
      <c r="E399">
        <f t="shared" si="72"/>
        <v>1</v>
      </c>
      <c r="F399" s="10">
        <f t="shared" si="73"/>
        <v>0</v>
      </c>
      <c r="G399" s="10" cm="1">
        <f t="array" ref="G399">ROUND(getParm(Tarifart,"alpha")/(2*Zahlweise)*BeiSum*(C399&lt;2)*E399,2)</f>
        <v>0</v>
      </c>
      <c r="H399" s="10" cm="1">
        <f t="array" ref="H399">ROUND(F399*getParm(Tarifart,"beta")*E399,2)</f>
        <v>0</v>
      </c>
      <c r="I399" s="10" cm="1">
        <f t="array" ref="I399">ROUND(F399*get_Üb(YEAR(A399),$I$8)*E399,2)</f>
        <v>0</v>
      </c>
      <c r="J399" s="10">
        <f t="shared" si="76"/>
        <v>0</v>
      </c>
      <c r="K399" s="10">
        <f t="shared" si="77"/>
        <v>0</v>
      </c>
      <c r="L399" s="10" cm="1">
        <f t="array" ref="L399">ROUND(1/12*MAX(MTSum-R399-K399,MRSum)*Act_qx(x+C399,Geschlecht,getParm(Tarifart,"Tafel"),YEAR(GebDat),x+Dauer,1),2)</f>
        <v>82.2</v>
      </c>
      <c r="M399" s="10" cm="1">
        <f t="array" ref="M399">ROUND(L399*get_Üb(YEAR(A399),$M$8),2)</f>
        <v>4.1100000000000003</v>
      </c>
      <c r="N399" s="10" cm="1">
        <f t="array" ref="N399">ROUND(R399*getParm(Tarifart,IF(C399&lt;BZDauer,"gamma1","gamma2")),2)</f>
        <v>0</v>
      </c>
      <c r="O399" s="10" cm="1">
        <f t="array" ref="O399">ROUND(R399*get_Üb(YEAR(A399),$O$8),2)</f>
        <v>0</v>
      </c>
      <c r="P399" s="19">
        <f t="shared" si="78"/>
        <v>0</v>
      </c>
      <c r="Q399" s="19" cm="1">
        <f t="array" ref="Q399">ROUND(P399+1/getKurs(EDATE(A399,-1))*(K399-L399-N399-getParm(Tarifart,"StK")+M399+O399),10)*(C399&lt;Dauer)</f>
        <v>0</v>
      </c>
      <c r="R399" s="10" cm="1">
        <f t="array" ref="R399">ROUND(P399*getKurs($A399),2)</f>
        <v>0</v>
      </c>
      <c r="S399" s="10" cm="1">
        <f t="array" ref="S399">ROUND(Q399*getKurs($A399),2)</f>
        <v>0</v>
      </c>
      <c r="T399" s="10">
        <f t="shared" si="74"/>
        <v>43200</v>
      </c>
      <c r="U399" s="10" cm="1">
        <f t="array" ref="U399">getParm(Tarifart,"StoSatz")*(Dauer-C399)*Beitrag*Zahlweise*(C399&lt;BZDauer)</f>
        <v>0</v>
      </c>
      <c r="V399" s="10">
        <f t="shared" si="79"/>
        <v>0</v>
      </c>
    </row>
    <row r="400" spans="1:22" x14ac:dyDescent="0.45">
      <c r="A400" s="15">
        <f t="shared" si="80"/>
        <v>48427</v>
      </c>
      <c r="B400">
        <f t="shared" si="70"/>
        <v>391</v>
      </c>
      <c r="C400">
        <f t="shared" si="75"/>
        <v>32</v>
      </c>
      <c r="D400">
        <f t="shared" si="71"/>
        <v>7</v>
      </c>
      <c r="E400">
        <f t="shared" si="72"/>
        <v>1</v>
      </c>
      <c r="F400" s="10">
        <f t="shared" si="73"/>
        <v>0</v>
      </c>
      <c r="G400" s="10" cm="1">
        <f t="array" ref="G400">ROUND(getParm(Tarifart,"alpha")/(2*Zahlweise)*BeiSum*(C400&lt;2)*E400,2)</f>
        <v>0</v>
      </c>
      <c r="H400" s="10" cm="1">
        <f t="array" ref="H400">ROUND(F400*getParm(Tarifart,"beta")*E400,2)</f>
        <v>0</v>
      </c>
      <c r="I400" s="10" cm="1">
        <f t="array" ref="I400">ROUND(F400*get_Üb(YEAR(A400),$I$8)*E400,2)</f>
        <v>0</v>
      </c>
      <c r="J400" s="10">
        <f t="shared" si="76"/>
        <v>0</v>
      </c>
      <c r="K400" s="10">
        <f t="shared" si="77"/>
        <v>0</v>
      </c>
      <c r="L400" s="10" cm="1">
        <f t="array" ref="L400">ROUND(1/12*MAX(MTSum-R400-K400,MRSum)*Act_qx(x+C400,Geschlecht,getParm(Tarifart,"Tafel"),YEAR(GebDat),x+Dauer,1),2)</f>
        <v>82.2</v>
      </c>
      <c r="M400" s="10" cm="1">
        <f t="array" ref="M400">ROUND(L400*get_Üb(YEAR(A400),$M$8),2)</f>
        <v>4.1100000000000003</v>
      </c>
      <c r="N400" s="10" cm="1">
        <f t="array" ref="N400">ROUND(R400*getParm(Tarifart,IF(C400&lt;BZDauer,"gamma1","gamma2")),2)</f>
        <v>0</v>
      </c>
      <c r="O400" s="10" cm="1">
        <f t="array" ref="O400">ROUND(R400*get_Üb(YEAR(A400),$O$8),2)</f>
        <v>0</v>
      </c>
      <c r="P400" s="19">
        <f t="shared" si="78"/>
        <v>0</v>
      </c>
      <c r="Q400" s="19" cm="1">
        <f t="array" ref="Q400">ROUND(P400+1/getKurs(EDATE(A400,-1))*(K400-L400-N400-getParm(Tarifart,"StK")+M400+O400),10)*(C400&lt;Dauer)</f>
        <v>0</v>
      </c>
      <c r="R400" s="10" cm="1">
        <f t="array" ref="R400">ROUND(P400*getKurs($A400),2)</f>
        <v>0</v>
      </c>
      <c r="S400" s="10" cm="1">
        <f t="array" ref="S400">ROUND(Q400*getKurs($A400),2)</f>
        <v>0</v>
      </c>
      <c r="T400" s="10">
        <f t="shared" si="74"/>
        <v>43200</v>
      </c>
      <c r="U400" s="10" cm="1">
        <f t="array" ref="U400">getParm(Tarifart,"StoSatz")*(Dauer-C400)*Beitrag*Zahlweise*(C400&lt;BZDauer)</f>
        <v>0</v>
      </c>
      <c r="V400" s="10">
        <f t="shared" si="79"/>
        <v>0</v>
      </c>
    </row>
    <row r="401" spans="1:22" x14ac:dyDescent="0.45">
      <c r="A401" s="15">
        <f t="shared" si="80"/>
        <v>48458</v>
      </c>
      <c r="B401">
        <f t="shared" si="70"/>
        <v>392</v>
      </c>
      <c r="C401">
        <f t="shared" si="75"/>
        <v>32</v>
      </c>
      <c r="D401">
        <f t="shared" si="71"/>
        <v>8</v>
      </c>
      <c r="E401">
        <f t="shared" si="72"/>
        <v>1</v>
      </c>
      <c r="F401" s="10">
        <f t="shared" si="73"/>
        <v>0</v>
      </c>
      <c r="G401" s="10" cm="1">
        <f t="array" ref="G401">ROUND(getParm(Tarifart,"alpha")/(2*Zahlweise)*BeiSum*(C401&lt;2)*E401,2)</f>
        <v>0</v>
      </c>
      <c r="H401" s="10" cm="1">
        <f t="array" ref="H401">ROUND(F401*getParm(Tarifart,"beta")*E401,2)</f>
        <v>0</v>
      </c>
      <c r="I401" s="10" cm="1">
        <f t="array" ref="I401">ROUND(F401*get_Üb(YEAR(A401),$I$8)*E401,2)</f>
        <v>0</v>
      </c>
      <c r="J401" s="10">
        <f t="shared" si="76"/>
        <v>0</v>
      </c>
      <c r="K401" s="10">
        <f t="shared" si="77"/>
        <v>0</v>
      </c>
      <c r="L401" s="10" cm="1">
        <f t="array" ref="L401">ROUND(1/12*MAX(MTSum-R401-K401,MRSum)*Act_qx(x+C401,Geschlecht,getParm(Tarifart,"Tafel"),YEAR(GebDat),x+Dauer,1),2)</f>
        <v>82.2</v>
      </c>
      <c r="M401" s="10" cm="1">
        <f t="array" ref="M401">ROUND(L401*get_Üb(YEAR(A401),$M$8),2)</f>
        <v>4.1100000000000003</v>
      </c>
      <c r="N401" s="10" cm="1">
        <f t="array" ref="N401">ROUND(R401*getParm(Tarifart,IF(C401&lt;BZDauer,"gamma1","gamma2")),2)</f>
        <v>0</v>
      </c>
      <c r="O401" s="10" cm="1">
        <f t="array" ref="O401">ROUND(R401*get_Üb(YEAR(A401),$O$8),2)</f>
        <v>0</v>
      </c>
      <c r="P401" s="19">
        <f t="shared" si="78"/>
        <v>0</v>
      </c>
      <c r="Q401" s="19" cm="1">
        <f t="array" ref="Q401">ROUND(P401+1/getKurs(EDATE(A401,-1))*(K401-L401-N401-getParm(Tarifart,"StK")+M401+O401),10)*(C401&lt;Dauer)</f>
        <v>0</v>
      </c>
      <c r="R401" s="10" cm="1">
        <f t="array" ref="R401">ROUND(P401*getKurs($A401),2)</f>
        <v>0</v>
      </c>
      <c r="S401" s="10" cm="1">
        <f t="array" ref="S401">ROUND(Q401*getKurs($A401),2)</f>
        <v>0</v>
      </c>
      <c r="T401" s="10">
        <f t="shared" si="74"/>
        <v>43200</v>
      </c>
      <c r="U401" s="10" cm="1">
        <f t="array" ref="U401">getParm(Tarifart,"StoSatz")*(Dauer-C401)*Beitrag*Zahlweise*(C401&lt;BZDauer)</f>
        <v>0</v>
      </c>
      <c r="V401" s="10">
        <f t="shared" si="79"/>
        <v>0</v>
      </c>
    </row>
    <row r="402" spans="1:22" x14ac:dyDescent="0.45">
      <c r="A402" s="15">
        <f t="shared" si="80"/>
        <v>48488</v>
      </c>
      <c r="B402">
        <f t="shared" si="70"/>
        <v>393</v>
      </c>
      <c r="C402">
        <f t="shared" si="75"/>
        <v>32</v>
      </c>
      <c r="D402">
        <f t="shared" si="71"/>
        <v>9</v>
      </c>
      <c r="E402">
        <f t="shared" si="72"/>
        <v>1</v>
      </c>
      <c r="F402" s="10">
        <f t="shared" si="73"/>
        <v>0</v>
      </c>
      <c r="G402" s="10" cm="1">
        <f t="array" ref="G402">ROUND(getParm(Tarifart,"alpha")/(2*Zahlweise)*BeiSum*(C402&lt;2)*E402,2)</f>
        <v>0</v>
      </c>
      <c r="H402" s="10" cm="1">
        <f t="array" ref="H402">ROUND(F402*getParm(Tarifart,"beta")*E402,2)</f>
        <v>0</v>
      </c>
      <c r="I402" s="10" cm="1">
        <f t="array" ref="I402">ROUND(F402*get_Üb(YEAR(A402),$I$8)*E402,2)</f>
        <v>0</v>
      </c>
      <c r="J402" s="10">
        <f t="shared" si="76"/>
        <v>0</v>
      </c>
      <c r="K402" s="10">
        <f t="shared" si="77"/>
        <v>0</v>
      </c>
      <c r="L402" s="10" cm="1">
        <f t="array" ref="L402">ROUND(1/12*MAX(MTSum-R402-K402,MRSum)*Act_qx(x+C402,Geschlecht,getParm(Tarifart,"Tafel"),YEAR(GebDat),x+Dauer,1),2)</f>
        <v>82.2</v>
      </c>
      <c r="M402" s="10" cm="1">
        <f t="array" ref="M402">ROUND(L402*get_Üb(YEAR(A402),$M$8),2)</f>
        <v>4.1100000000000003</v>
      </c>
      <c r="N402" s="10" cm="1">
        <f t="array" ref="N402">ROUND(R402*getParm(Tarifart,IF(C402&lt;BZDauer,"gamma1","gamma2")),2)</f>
        <v>0</v>
      </c>
      <c r="O402" s="10" cm="1">
        <f t="array" ref="O402">ROUND(R402*get_Üb(YEAR(A402),$O$8),2)</f>
        <v>0</v>
      </c>
      <c r="P402" s="19">
        <f t="shared" si="78"/>
        <v>0</v>
      </c>
      <c r="Q402" s="19" cm="1">
        <f t="array" ref="Q402">ROUND(P402+1/getKurs(EDATE(A402,-1))*(K402-L402-N402-getParm(Tarifart,"StK")+M402+O402),10)*(C402&lt;Dauer)</f>
        <v>0</v>
      </c>
      <c r="R402" s="10" cm="1">
        <f t="array" ref="R402">ROUND(P402*getKurs($A402),2)</f>
        <v>0</v>
      </c>
      <c r="S402" s="10" cm="1">
        <f t="array" ref="S402">ROUND(Q402*getKurs($A402),2)</f>
        <v>0</v>
      </c>
      <c r="T402" s="10">
        <f t="shared" si="74"/>
        <v>43200</v>
      </c>
      <c r="U402" s="10" cm="1">
        <f t="array" ref="U402">getParm(Tarifart,"StoSatz")*(Dauer-C402)*Beitrag*Zahlweise*(C402&lt;BZDauer)</f>
        <v>0</v>
      </c>
      <c r="V402" s="10">
        <f t="shared" si="79"/>
        <v>0</v>
      </c>
    </row>
    <row r="403" spans="1:22" x14ac:dyDescent="0.45">
      <c r="A403" s="15">
        <f t="shared" si="80"/>
        <v>48519</v>
      </c>
      <c r="B403">
        <f t="shared" si="70"/>
        <v>394</v>
      </c>
      <c r="C403">
        <f t="shared" si="75"/>
        <v>32</v>
      </c>
      <c r="D403">
        <f t="shared" si="71"/>
        <v>10</v>
      </c>
      <c r="E403">
        <f t="shared" si="72"/>
        <v>1</v>
      </c>
      <c r="F403" s="10">
        <f t="shared" si="73"/>
        <v>0</v>
      </c>
      <c r="G403" s="10" cm="1">
        <f t="array" ref="G403">ROUND(getParm(Tarifart,"alpha")/(2*Zahlweise)*BeiSum*(C403&lt;2)*E403,2)</f>
        <v>0</v>
      </c>
      <c r="H403" s="10" cm="1">
        <f t="array" ref="H403">ROUND(F403*getParm(Tarifart,"beta")*E403,2)</f>
        <v>0</v>
      </c>
      <c r="I403" s="10" cm="1">
        <f t="array" ref="I403">ROUND(F403*get_Üb(YEAR(A403),$I$8)*E403,2)</f>
        <v>0</v>
      </c>
      <c r="J403" s="10">
        <f t="shared" si="76"/>
        <v>0</v>
      </c>
      <c r="K403" s="10">
        <f t="shared" si="77"/>
        <v>0</v>
      </c>
      <c r="L403" s="10" cm="1">
        <f t="array" ref="L403">ROUND(1/12*MAX(MTSum-R403-K403,MRSum)*Act_qx(x+C403,Geschlecht,getParm(Tarifart,"Tafel"),YEAR(GebDat),x+Dauer,1),2)</f>
        <v>82.2</v>
      </c>
      <c r="M403" s="10" cm="1">
        <f t="array" ref="M403">ROUND(L403*get_Üb(YEAR(A403),$M$8),2)</f>
        <v>4.1100000000000003</v>
      </c>
      <c r="N403" s="10" cm="1">
        <f t="array" ref="N403">ROUND(R403*getParm(Tarifart,IF(C403&lt;BZDauer,"gamma1","gamma2")),2)</f>
        <v>0</v>
      </c>
      <c r="O403" s="10" cm="1">
        <f t="array" ref="O403">ROUND(R403*get_Üb(YEAR(A403),$O$8),2)</f>
        <v>0</v>
      </c>
      <c r="P403" s="19">
        <f t="shared" si="78"/>
        <v>0</v>
      </c>
      <c r="Q403" s="19" cm="1">
        <f t="array" ref="Q403">ROUND(P403+1/getKurs(EDATE(A403,-1))*(K403-L403-N403-getParm(Tarifart,"StK")+M403+O403),10)*(C403&lt;Dauer)</f>
        <v>0</v>
      </c>
      <c r="R403" s="10" cm="1">
        <f t="array" ref="R403">ROUND(P403*getKurs($A403),2)</f>
        <v>0</v>
      </c>
      <c r="S403" s="10" cm="1">
        <f t="array" ref="S403">ROUND(Q403*getKurs($A403),2)</f>
        <v>0</v>
      </c>
      <c r="T403" s="10">
        <f t="shared" si="74"/>
        <v>43200</v>
      </c>
      <c r="U403" s="10" cm="1">
        <f t="array" ref="U403">getParm(Tarifart,"StoSatz")*(Dauer-C403)*Beitrag*Zahlweise*(C403&lt;BZDauer)</f>
        <v>0</v>
      </c>
      <c r="V403" s="10">
        <f t="shared" si="79"/>
        <v>0</v>
      </c>
    </row>
    <row r="404" spans="1:22" x14ac:dyDescent="0.45">
      <c r="A404" s="15">
        <f t="shared" si="80"/>
        <v>48549</v>
      </c>
      <c r="B404">
        <f t="shared" si="70"/>
        <v>395</v>
      </c>
      <c r="C404">
        <f t="shared" si="75"/>
        <v>32</v>
      </c>
      <c r="D404">
        <f t="shared" si="71"/>
        <v>11</v>
      </c>
      <c r="E404">
        <f t="shared" si="72"/>
        <v>1</v>
      </c>
      <c r="F404" s="10">
        <f t="shared" si="73"/>
        <v>0</v>
      </c>
      <c r="G404" s="10" cm="1">
        <f t="array" ref="G404">ROUND(getParm(Tarifart,"alpha")/(2*Zahlweise)*BeiSum*(C404&lt;2)*E404,2)</f>
        <v>0</v>
      </c>
      <c r="H404" s="10" cm="1">
        <f t="array" ref="H404">ROUND(F404*getParm(Tarifart,"beta")*E404,2)</f>
        <v>0</v>
      </c>
      <c r="I404" s="10" cm="1">
        <f t="array" ref="I404">ROUND(F404*get_Üb(YEAR(A404),$I$8)*E404,2)</f>
        <v>0</v>
      </c>
      <c r="J404" s="10">
        <f t="shared" si="76"/>
        <v>0</v>
      </c>
      <c r="K404" s="10">
        <f t="shared" si="77"/>
        <v>0</v>
      </c>
      <c r="L404" s="10" cm="1">
        <f t="array" ref="L404">ROUND(1/12*MAX(MTSum-R404-K404,MRSum)*Act_qx(x+C404,Geschlecht,getParm(Tarifart,"Tafel"),YEAR(GebDat),x+Dauer,1),2)</f>
        <v>82.2</v>
      </c>
      <c r="M404" s="10" cm="1">
        <f t="array" ref="M404">ROUND(L404*get_Üb(YEAR(A404),$M$8),2)</f>
        <v>4.1100000000000003</v>
      </c>
      <c r="N404" s="10" cm="1">
        <f t="array" ref="N404">ROUND(R404*getParm(Tarifart,IF(C404&lt;BZDauer,"gamma1","gamma2")),2)</f>
        <v>0</v>
      </c>
      <c r="O404" s="10" cm="1">
        <f t="array" ref="O404">ROUND(R404*get_Üb(YEAR(A404),$O$8),2)</f>
        <v>0</v>
      </c>
      <c r="P404" s="19">
        <f t="shared" si="78"/>
        <v>0</v>
      </c>
      <c r="Q404" s="19" cm="1">
        <f t="array" ref="Q404">ROUND(P404+1/getKurs(EDATE(A404,-1))*(K404-L404-N404-getParm(Tarifart,"StK")+M404+O404),10)*(C404&lt;Dauer)</f>
        <v>0</v>
      </c>
      <c r="R404" s="10" cm="1">
        <f t="array" ref="R404">ROUND(P404*getKurs($A404),2)</f>
        <v>0</v>
      </c>
      <c r="S404" s="10" cm="1">
        <f t="array" ref="S404">ROUND(Q404*getKurs($A404),2)</f>
        <v>0</v>
      </c>
      <c r="T404" s="10">
        <f t="shared" si="74"/>
        <v>43200</v>
      </c>
      <c r="U404" s="10" cm="1">
        <f t="array" ref="U404">getParm(Tarifart,"StoSatz")*(Dauer-C404)*Beitrag*Zahlweise*(C404&lt;BZDauer)</f>
        <v>0</v>
      </c>
      <c r="V404" s="10">
        <f t="shared" si="79"/>
        <v>0</v>
      </c>
    </row>
    <row r="405" spans="1:22" x14ac:dyDescent="0.45">
      <c r="A405" s="15">
        <f t="shared" si="80"/>
        <v>48580</v>
      </c>
      <c r="B405">
        <f t="shared" si="70"/>
        <v>396</v>
      </c>
      <c r="C405">
        <f t="shared" si="75"/>
        <v>33</v>
      </c>
      <c r="D405">
        <f t="shared" si="71"/>
        <v>0</v>
      </c>
      <c r="E405">
        <f t="shared" si="72"/>
        <v>1</v>
      </c>
      <c r="F405" s="10">
        <f t="shared" si="73"/>
        <v>0</v>
      </c>
      <c r="G405" s="10" cm="1">
        <f t="array" ref="G405">ROUND(getParm(Tarifart,"alpha")/(2*Zahlweise)*BeiSum*(C405&lt;2)*E405,2)</f>
        <v>0</v>
      </c>
      <c r="H405" s="10" cm="1">
        <f t="array" ref="H405">ROUND(F405*getParm(Tarifart,"beta")*E405,2)</f>
        <v>0</v>
      </c>
      <c r="I405" s="10" cm="1">
        <f t="array" ref="I405">ROUND(F405*get_Üb(YEAR(A405),$I$8)*E405,2)</f>
        <v>0</v>
      </c>
      <c r="J405" s="10">
        <f t="shared" si="76"/>
        <v>0</v>
      </c>
      <c r="K405" s="10">
        <f t="shared" si="77"/>
        <v>0</v>
      </c>
      <c r="L405" s="10" cm="1">
        <f t="array" ref="L405">ROUND(1/12*MAX(MTSum-R405-K405,MRSum)*Act_qx(x+C405,Geschlecht,getParm(Tarifart,"Tafel"),YEAR(GebDat),x+Dauer,1),2)</f>
        <v>89.49</v>
      </c>
      <c r="M405" s="10" cm="1">
        <f t="array" ref="M405">ROUND(L405*get_Üb(YEAR(A405),$M$8),2)</f>
        <v>4.47</v>
      </c>
      <c r="N405" s="10" cm="1">
        <f t="array" ref="N405">ROUND(R405*getParm(Tarifart,IF(C405&lt;BZDauer,"gamma1","gamma2")),2)</f>
        <v>0</v>
      </c>
      <c r="O405" s="10" cm="1">
        <f t="array" ref="O405">ROUND(R405*get_Üb(YEAR(A405),$O$8),2)</f>
        <v>0</v>
      </c>
      <c r="P405" s="19">
        <f t="shared" si="78"/>
        <v>0</v>
      </c>
      <c r="Q405" s="19" cm="1">
        <f t="array" ref="Q405">ROUND(P405+1/getKurs(EDATE(A405,-1))*(K405-L405-N405-getParm(Tarifart,"StK")+M405+O405),10)*(C405&lt;Dauer)</f>
        <v>0</v>
      </c>
      <c r="R405" s="10" cm="1">
        <f t="array" ref="R405">ROUND(P405*getKurs($A405),2)</f>
        <v>0</v>
      </c>
      <c r="S405" s="10" cm="1">
        <f t="array" ref="S405">ROUND(Q405*getKurs($A405),2)</f>
        <v>0</v>
      </c>
      <c r="T405" s="10">
        <f t="shared" si="74"/>
        <v>43200</v>
      </c>
      <c r="U405" s="10" cm="1">
        <f t="array" ref="U405">getParm(Tarifart,"StoSatz")*(Dauer-C405)*Beitrag*Zahlweise*(C405&lt;BZDauer)</f>
        <v>0</v>
      </c>
      <c r="V405" s="10">
        <f t="shared" si="79"/>
        <v>0</v>
      </c>
    </row>
    <row r="406" spans="1:22" x14ac:dyDescent="0.45">
      <c r="A406" s="15">
        <f t="shared" si="80"/>
        <v>48611</v>
      </c>
      <c r="B406">
        <f t="shared" si="70"/>
        <v>397</v>
      </c>
      <c r="C406">
        <f t="shared" si="75"/>
        <v>33</v>
      </c>
      <c r="D406">
        <f t="shared" si="71"/>
        <v>1</v>
      </c>
      <c r="E406">
        <f t="shared" si="72"/>
        <v>1</v>
      </c>
      <c r="F406" s="10">
        <f t="shared" si="73"/>
        <v>0</v>
      </c>
      <c r="G406" s="10" cm="1">
        <f t="array" ref="G406">ROUND(getParm(Tarifart,"alpha")/(2*Zahlweise)*BeiSum*(C406&lt;2)*E406,2)</f>
        <v>0</v>
      </c>
      <c r="H406" s="10" cm="1">
        <f t="array" ref="H406">ROUND(F406*getParm(Tarifart,"beta")*E406,2)</f>
        <v>0</v>
      </c>
      <c r="I406" s="10" cm="1">
        <f t="array" ref="I406">ROUND(F406*get_Üb(YEAR(A406),$I$8)*E406,2)</f>
        <v>0</v>
      </c>
      <c r="J406" s="10">
        <f t="shared" si="76"/>
        <v>0</v>
      </c>
      <c r="K406" s="10">
        <f t="shared" si="77"/>
        <v>0</v>
      </c>
      <c r="L406" s="10" cm="1">
        <f t="array" ref="L406">ROUND(1/12*MAX(MTSum-R406-K406,MRSum)*Act_qx(x+C406,Geschlecht,getParm(Tarifart,"Tafel"),YEAR(GebDat),x+Dauer,1),2)</f>
        <v>89.49</v>
      </c>
      <c r="M406" s="10" cm="1">
        <f t="array" ref="M406">ROUND(L406*get_Üb(YEAR(A406),$M$8),2)</f>
        <v>4.47</v>
      </c>
      <c r="N406" s="10" cm="1">
        <f t="array" ref="N406">ROUND(R406*getParm(Tarifart,IF(C406&lt;BZDauer,"gamma1","gamma2")),2)</f>
        <v>0</v>
      </c>
      <c r="O406" s="10" cm="1">
        <f t="array" ref="O406">ROUND(R406*get_Üb(YEAR(A406),$O$8),2)</f>
        <v>0</v>
      </c>
      <c r="P406" s="19">
        <f t="shared" si="78"/>
        <v>0</v>
      </c>
      <c r="Q406" s="19" cm="1">
        <f t="array" ref="Q406">ROUND(P406+1/getKurs(EDATE(A406,-1))*(K406-L406-N406-getParm(Tarifart,"StK")+M406+O406),10)*(C406&lt;Dauer)</f>
        <v>0</v>
      </c>
      <c r="R406" s="10" cm="1">
        <f t="array" ref="R406">ROUND(P406*getKurs($A406),2)</f>
        <v>0</v>
      </c>
      <c r="S406" s="10" cm="1">
        <f t="array" ref="S406">ROUND(Q406*getKurs($A406),2)</f>
        <v>0</v>
      </c>
      <c r="T406" s="10">
        <f t="shared" si="74"/>
        <v>43200</v>
      </c>
      <c r="U406" s="10" cm="1">
        <f t="array" ref="U406">getParm(Tarifart,"StoSatz")*(Dauer-C406)*Beitrag*Zahlweise*(C406&lt;BZDauer)</f>
        <v>0</v>
      </c>
      <c r="V406" s="10">
        <f t="shared" si="79"/>
        <v>0</v>
      </c>
    </row>
    <row r="407" spans="1:22" x14ac:dyDescent="0.45">
      <c r="A407" s="15">
        <f t="shared" si="80"/>
        <v>48639</v>
      </c>
      <c r="B407">
        <f t="shared" si="70"/>
        <v>398</v>
      </c>
      <c r="C407">
        <f t="shared" si="75"/>
        <v>33</v>
      </c>
      <c r="D407">
        <f t="shared" si="71"/>
        <v>2</v>
      </c>
      <c r="E407">
        <f t="shared" si="72"/>
        <v>1</v>
      </c>
      <c r="F407" s="10">
        <f t="shared" si="73"/>
        <v>0</v>
      </c>
      <c r="G407" s="10" cm="1">
        <f t="array" ref="G407">ROUND(getParm(Tarifart,"alpha")/(2*Zahlweise)*BeiSum*(C407&lt;2)*E407,2)</f>
        <v>0</v>
      </c>
      <c r="H407" s="10" cm="1">
        <f t="array" ref="H407">ROUND(F407*getParm(Tarifart,"beta")*E407,2)</f>
        <v>0</v>
      </c>
      <c r="I407" s="10" cm="1">
        <f t="array" ref="I407">ROUND(F407*get_Üb(YEAR(A407),$I$8)*E407,2)</f>
        <v>0</v>
      </c>
      <c r="J407" s="10">
        <f t="shared" si="76"/>
        <v>0</v>
      </c>
      <c r="K407" s="10">
        <f t="shared" si="77"/>
        <v>0</v>
      </c>
      <c r="L407" s="10" cm="1">
        <f t="array" ref="L407">ROUND(1/12*MAX(MTSum-R407-K407,MRSum)*Act_qx(x+C407,Geschlecht,getParm(Tarifart,"Tafel"),YEAR(GebDat),x+Dauer,1),2)</f>
        <v>89.49</v>
      </c>
      <c r="M407" s="10" cm="1">
        <f t="array" ref="M407">ROUND(L407*get_Üb(YEAR(A407),$M$8),2)</f>
        <v>4.47</v>
      </c>
      <c r="N407" s="10" cm="1">
        <f t="array" ref="N407">ROUND(R407*getParm(Tarifart,IF(C407&lt;BZDauer,"gamma1","gamma2")),2)</f>
        <v>0</v>
      </c>
      <c r="O407" s="10" cm="1">
        <f t="array" ref="O407">ROUND(R407*get_Üb(YEAR(A407),$O$8),2)</f>
        <v>0</v>
      </c>
      <c r="P407" s="19">
        <f t="shared" si="78"/>
        <v>0</v>
      </c>
      <c r="Q407" s="19" cm="1">
        <f t="array" ref="Q407">ROUND(P407+1/getKurs(EDATE(A407,-1))*(K407-L407-N407-getParm(Tarifart,"StK")+M407+O407),10)*(C407&lt;Dauer)</f>
        <v>0</v>
      </c>
      <c r="R407" s="10" cm="1">
        <f t="array" ref="R407">ROUND(P407*getKurs($A407),2)</f>
        <v>0</v>
      </c>
      <c r="S407" s="10" cm="1">
        <f t="array" ref="S407">ROUND(Q407*getKurs($A407),2)</f>
        <v>0</v>
      </c>
      <c r="T407" s="10">
        <f t="shared" si="74"/>
        <v>43200</v>
      </c>
      <c r="U407" s="10" cm="1">
        <f t="array" ref="U407">getParm(Tarifart,"StoSatz")*(Dauer-C407)*Beitrag*Zahlweise*(C407&lt;BZDauer)</f>
        <v>0</v>
      </c>
      <c r="V407" s="10">
        <f t="shared" si="79"/>
        <v>0</v>
      </c>
    </row>
    <row r="408" spans="1:22" x14ac:dyDescent="0.45">
      <c r="A408" s="15">
        <f t="shared" si="80"/>
        <v>48670</v>
      </c>
      <c r="B408">
        <f t="shared" si="70"/>
        <v>399</v>
      </c>
      <c r="C408">
        <f t="shared" si="75"/>
        <v>33</v>
      </c>
      <c r="D408">
        <f t="shared" si="71"/>
        <v>3</v>
      </c>
      <c r="E408">
        <f t="shared" si="72"/>
        <v>1</v>
      </c>
      <c r="F408" s="10">
        <f t="shared" si="73"/>
        <v>0</v>
      </c>
      <c r="G408" s="10" cm="1">
        <f t="array" ref="G408">ROUND(getParm(Tarifart,"alpha")/(2*Zahlweise)*BeiSum*(C408&lt;2)*E408,2)</f>
        <v>0</v>
      </c>
      <c r="H408" s="10" cm="1">
        <f t="array" ref="H408">ROUND(F408*getParm(Tarifart,"beta")*E408,2)</f>
        <v>0</v>
      </c>
      <c r="I408" s="10" cm="1">
        <f t="array" ref="I408">ROUND(F408*get_Üb(YEAR(A408),$I$8)*E408,2)</f>
        <v>0</v>
      </c>
      <c r="J408" s="10">
        <f t="shared" si="76"/>
        <v>0</v>
      </c>
      <c r="K408" s="10">
        <f t="shared" si="77"/>
        <v>0</v>
      </c>
      <c r="L408" s="10" cm="1">
        <f t="array" ref="L408">ROUND(1/12*MAX(MTSum-R408-K408,MRSum)*Act_qx(x+C408,Geschlecht,getParm(Tarifart,"Tafel"),YEAR(GebDat),x+Dauer,1),2)</f>
        <v>89.49</v>
      </c>
      <c r="M408" s="10" cm="1">
        <f t="array" ref="M408">ROUND(L408*get_Üb(YEAR(A408),$M$8),2)</f>
        <v>4.47</v>
      </c>
      <c r="N408" s="10" cm="1">
        <f t="array" ref="N408">ROUND(R408*getParm(Tarifart,IF(C408&lt;BZDauer,"gamma1","gamma2")),2)</f>
        <v>0</v>
      </c>
      <c r="O408" s="10" cm="1">
        <f t="array" ref="O408">ROUND(R408*get_Üb(YEAR(A408),$O$8),2)</f>
        <v>0</v>
      </c>
      <c r="P408" s="19">
        <f t="shared" si="78"/>
        <v>0</v>
      </c>
      <c r="Q408" s="19" cm="1">
        <f t="array" ref="Q408">ROUND(P408+1/getKurs(EDATE(A408,-1))*(K408-L408-N408-getParm(Tarifart,"StK")+M408+O408),10)*(C408&lt;Dauer)</f>
        <v>0</v>
      </c>
      <c r="R408" s="10" cm="1">
        <f t="array" ref="R408">ROUND(P408*getKurs($A408),2)</f>
        <v>0</v>
      </c>
      <c r="S408" s="10" cm="1">
        <f t="array" ref="S408">ROUND(Q408*getKurs($A408),2)</f>
        <v>0</v>
      </c>
      <c r="T408" s="10">
        <f t="shared" si="74"/>
        <v>43200</v>
      </c>
      <c r="U408" s="10" cm="1">
        <f t="array" ref="U408">getParm(Tarifart,"StoSatz")*(Dauer-C408)*Beitrag*Zahlweise*(C408&lt;BZDauer)</f>
        <v>0</v>
      </c>
      <c r="V408" s="10">
        <f t="shared" si="79"/>
        <v>0</v>
      </c>
    </row>
    <row r="409" spans="1:22" x14ac:dyDescent="0.45">
      <c r="A409" s="15">
        <f t="shared" si="80"/>
        <v>48700</v>
      </c>
      <c r="B409">
        <f t="shared" si="70"/>
        <v>400</v>
      </c>
      <c r="C409">
        <f t="shared" si="75"/>
        <v>33</v>
      </c>
      <c r="D409">
        <f t="shared" si="71"/>
        <v>4</v>
      </c>
      <c r="E409">
        <f t="shared" si="72"/>
        <v>1</v>
      </c>
      <c r="F409" s="10">
        <f t="shared" si="73"/>
        <v>0</v>
      </c>
      <c r="G409" s="10" cm="1">
        <f t="array" ref="G409">ROUND(getParm(Tarifart,"alpha")/(2*Zahlweise)*BeiSum*(C409&lt;2)*E409,2)</f>
        <v>0</v>
      </c>
      <c r="H409" s="10" cm="1">
        <f t="array" ref="H409">ROUND(F409*getParm(Tarifart,"beta")*E409,2)</f>
        <v>0</v>
      </c>
      <c r="I409" s="10" cm="1">
        <f t="array" ref="I409">ROUND(F409*get_Üb(YEAR(A409),$I$8)*E409,2)</f>
        <v>0</v>
      </c>
      <c r="J409" s="10">
        <f t="shared" si="76"/>
        <v>0</v>
      </c>
      <c r="K409" s="10">
        <f t="shared" si="77"/>
        <v>0</v>
      </c>
      <c r="L409" s="10" cm="1">
        <f t="array" ref="L409">ROUND(1/12*MAX(MTSum-R409-K409,MRSum)*Act_qx(x+C409,Geschlecht,getParm(Tarifart,"Tafel"),YEAR(GebDat),x+Dauer,1),2)</f>
        <v>89.49</v>
      </c>
      <c r="M409" s="10" cm="1">
        <f t="array" ref="M409">ROUND(L409*get_Üb(YEAR(A409),$M$8),2)</f>
        <v>4.47</v>
      </c>
      <c r="N409" s="10" cm="1">
        <f t="array" ref="N409">ROUND(R409*getParm(Tarifart,IF(C409&lt;BZDauer,"gamma1","gamma2")),2)</f>
        <v>0</v>
      </c>
      <c r="O409" s="10" cm="1">
        <f t="array" ref="O409">ROUND(R409*get_Üb(YEAR(A409),$O$8),2)</f>
        <v>0</v>
      </c>
      <c r="P409" s="19">
        <f t="shared" si="78"/>
        <v>0</v>
      </c>
      <c r="Q409" s="19" cm="1">
        <f t="array" ref="Q409">ROUND(P409+1/getKurs(EDATE(A409,-1))*(K409-L409-N409-getParm(Tarifart,"StK")+M409+O409),10)*(C409&lt;Dauer)</f>
        <v>0</v>
      </c>
      <c r="R409" s="10" cm="1">
        <f t="array" ref="R409">ROUND(P409*getKurs($A409),2)</f>
        <v>0</v>
      </c>
      <c r="S409" s="10" cm="1">
        <f t="array" ref="S409">ROUND(Q409*getKurs($A409),2)</f>
        <v>0</v>
      </c>
      <c r="T409" s="10">
        <f t="shared" si="74"/>
        <v>43200</v>
      </c>
      <c r="U409" s="10" cm="1">
        <f t="array" ref="U409">getParm(Tarifart,"StoSatz")*(Dauer-C409)*Beitrag*Zahlweise*(C409&lt;BZDauer)</f>
        <v>0</v>
      </c>
      <c r="V409" s="10">
        <f t="shared" si="79"/>
        <v>0</v>
      </c>
    </row>
    <row r="410" spans="1:22" x14ac:dyDescent="0.45">
      <c r="A410" s="15">
        <f t="shared" si="80"/>
        <v>48731</v>
      </c>
      <c r="B410">
        <f t="shared" si="70"/>
        <v>401</v>
      </c>
      <c r="C410">
        <f t="shared" si="75"/>
        <v>33</v>
      </c>
      <c r="D410">
        <f t="shared" si="71"/>
        <v>5</v>
      </c>
      <c r="E410">
        <f t="shared" si="72"/>
        <v>1</v>
      </c>
      <c r="F410" s="10">
        <f t="shared" si="73"/>
        <v>0</v>
      </c>
      <c r="G410" s="10" cm="1">
        <f t="array" ref="G410">ROUND(getParm(Tarifart,"alpha")/(2*Zahlweise)*BeiSum*(C410&lt;2)*E410,2)</f>
        <v>0</v>
      </c>
      <c r="H410" s="10" cm="1">
        <f t="array" ref="H410">ROUND(F410*getParm(Tarifart,"beta")*E410,2)</f>
        <v>0</v>
      </c>
      <c r="I410" s="10" cm="1">
        <f t="array" ref="I410">ROUND(F410*get_Üb(YEAR(A410),$I$8)*E410,2)</f>
        <v>0</v>
      </c>
      <c r="J410" s="10">
        <f t="shared" si="76"/>
        <v>0</v>
      </c>
      <c r="K410" s="10">
        <f t="shared" si="77"/>
        <v>0</v>
      </c>
      <c r="L410" s="10" cm="1">
        <f t="array" ref="L410">ROUND(1/12*MAX(MTSum-R410-K410,MRSum)*Act_qx(x+C410,Geschlecht,getParm(Tarifart,"Tafel"),YEAR(GebDat),x+Dauer,1),2)</f>
        <v>89.49</v>
      </c>
      <c r="M410" s="10" cm="1">
        <f t="array" ref="M410">ROUND(L410*get_Üb(YEAR(A410),$M$8),2)</f>
        <v>4.47</v>
      </c>
      <c r="N410" s="10" cm="1">
        <f t="array" ref="N410">ROUND(R410*getParm(Tarifart,IF(C410&lt;BZDauer,"gamma1","gamma2")),2)</f>
        <v>0</v>
      </c>
      <c r="O410" s="10" cm="1">
        <f t="array" ref="O410">ROUND(R410*get_Üb(YEAR(A410),$O$8),2)</f>
        <v>0</v>
      </c>
      <c r="P410" s="19">
        <f t="shared" si="78"/>
        <v>0</v>
      </c>
      <c r="Q410" s="19" cm="1">
        <f t="array" ref="Q410">ROUND(P410+1/getKurs(EDATE(A410,-1))*(K410-L410-N410-getParm(Tarifart,"StK")+M410+O410),10)*(C410&lt;Dauer)</f>
        <v>0</v>
      </c>
      <c r="R410" s="10" cm="1">
        <f t="array" ref="R410">ROUND(P410*getKurs($A410),2)</f>
        <v>0</v>
      </c>
      <c r="S410" s="10" cm="1">
        <f t="array" ref="S410">ROUND(Q410*getKurs($A410),2)</f>
        <v>0</v>
      </c>
      <c r="T410" s="10">
        <f t="shared" si="74"/>
        <v>43200</v>
      </c>
      <c r="U410" s="10" cm="1">
        <f t="array" ref="U410">getParm(Tarifart,"StoSatz")*(Dauer-C410)*Beitrag*Zahlweise*(C410&lt;BZDauer)</f>
        <v>0</v>
      </c>
      <c r="V410" s="10">
        <f t="shared" si="79"/>
        <v>0</v>
      </c>
    </row>
    <row r="411" spans="1:22" x14ac:dyDescent="0.45">
      <c r="A411" s="15">
        <f t="shared" si="80"/>
        <v>48761</v>
      </c>
      <c r="B411">
        <f t="shared" si="70"/>
        <v>402</v>
      </c>
      <c r="C411">
        <f t="shared" si="75"/>
        <v>33</v>
      </c>
      <c r="D411">
        <f t="shared" si="71"/>
        <v>6</v>
      </c>
      <c r="E411">
        <f t="shared" si="72"/>
        <v>1</v>
      </c>
      <c r="F411" s="10">
        <f t="shared" si="73"/>
        <v>0</v>
      </c>
      <c r="G411" s="10" cm="1">
        <f t="array" ref="G411">ROUND(getParm(Tarifart,"alpha")/(2*Zahlweise)*BeiSum*(C411&lt;2)*E411,2)</f>
        <v>0</v>
      </c>
      <c r="H411" s="10" cm="1">
        <f t="array" ref="H411">ROUND(F411*getParm(Tarifart,"beta")*E411,2)</f>
        <v>0</v>
      </c>
      <c r="I411" s="10" cm="1">
        <f t="array" ref="I411">ROUND(F411*get_Üb(YEAR(A411),$I$8)*E411,2)</f>
        <v>0</v>
      </c>
      <c r="J411" s="10">
        <f t="shared" si="76"/>
        <v>0</v>
      </c>
      <c r="K411" s="10">
        <f t="shared" si="77"/>
        <v>0</v>
      </c>
      <c r="L411" s="10" cm="1">
        <f t="array" ref="L411">ROUND(1/12*MAX(MTSum-R411-K411,MRSum)*Act_qx(x+C411,Geschlecht,getParm(Tarifart,"Tafel"),YEAR(GebDat),x+Dauer,1),2)</f>
        <v>89.49</v>
      </c>
      <c r="M411" s="10" cm="1">
        <f t="array" ref="M411">ROUND(L411*get_Üb(YEAR(A411),$M$8),2)</f>
        <v>4.47</v>
      </c>
      <c r="N411" s="10" cm="1">
        <f t="array" ref="N411">ROUND(R411*getParm(Tarifart,IF(C411&lt;BZDauer,"gamma1","gamma2")),2)</f>
        <v>0</v>
      </c>
      <c r="O411" s="10" cm="1">
        <f t="array" ref="O411">ROUND(R411*get_Üb(YEAR(A411),$O$8),2)</f>
        <v>0</v>
      </c>
      <c r="P411" s="19">
        <f t="shared" si="78"/>
        <v>0</v>
      </c>
      <c r="Q411" s="19" cm="1">
        <f t="array" ref="Q411">ROUND(P411+1/getKurs(EDATE(A411,-1))*(K411-L411-N411-getParm(Tarifart,"StK")+M411+O411),10)*(C411&lt;Dauer)</f>
        <v>0</v>
      </c>
      <c r="R411" s="10" cm="1">
        <f t="array" ref="R411">ROUND(P411*getKurs($A411),2)</f>
        <v>0</v>
      </c>
      <c r="S411" s="10" cm="1">
        <f t="array" ref="S411">ROUND(Q411*getKurs($A411),2)</f>
        <v>0</v>
      </c>
      <c r="T411" s="10">
        <f t="shared" si="74"/>
        <v>43200</v>
      </c>
      <c r="U411" s="10" cm="1">
        <f t="array" ref="U411">getParm(Tarifart,"StoSatz")*(Dauer-C411)*Beitrag*Zahlweise*(C411&lt;BZDauer)</f>
        <v>0</v>
      </c>
      <c r="V411" s="10">
        <f t="shared" si="79"/>
        <v>0</v>
      </c>
    </row>
    <row r="412" spans="1:22" x14ac:dyDescent="0.45">
      <c r="A412" s="15">
        <f t="shared" si="80"/>
        <v>48792</v>
      </c>
      <c r="B412">
        <f t="shared" si="70"/>
        <v>403</v>
      </c>
      <c r="C412">
        <f t="shared" si="75"/>
        <v>33</v>
      </c>
      <c r="D412">
        <f t="shared" si="71"/>
        <v>7</v>
      </c>
      <c r="E412">
        <f t="shared" si="72"/>
        <v>1</v>
      </c>
      <c r="F412" s="10">
        <f t="shared" si="73"/>
        <v>0</v>
      </c>
      <c r="G412" s="10" cm="1">
        <f t="array" ref="G412">ROUND(getParm(Tarifart,"alpha")/(2*Zahlweise)*BeiSum*(C412&lt;2)*E412,2)</f>
        <v>0</v>
      </c>
      <c r="H412" s="10" cm="1">
        <f t="array" ref="H412">ROUND(F412*getParm(Tarifart,"beta")*E412,2)</f>
        <v>0</v>
      </c>
      <c r="I412" s="10" cm="1">
        <f t="array" ref="I412">ROUND(F412*get_Üb(YEAR(A412),$I$8)*E412,2)</f>
        <v>0</v>
      </c>
      <c r="J412" s="10">
        <f t="shared" si="76"/>
        <v>0</v>
      </c>
      <c r="K412" s="10">
        <f t="shared" si="77"/>
        <v>0</v>
      </c>
      <c r="L412" s="10" cm="1">
        <f t="array" ref="L412">ROUND(1/12*MAX(MTSum-R412-K412,MRSum)*Act_qx(x+C412,Geschlecht,getParm(Tarifart,"Tafel"),YEAR(GebDat),x+Dauer,1),2)</f>
        <v>89.49</v>
      </c>
      <c r="M412" s="10" cm="1">
        <f t="array" ref="M412">ROUND(L412*get_Üb(YEAR(A412),$M$8),2)</f>
        <v>4.47</v>
      </c>
      <c r="N412" s="10" cm="1">
        <f t="array" ref="N412">ROUND(R412*getParm(Tarifart,IF(C412&lt;BZDauer,"gamma1","gamma2")),2)</f>
        <v>0</v>
      </c>
      <c r="O412" s="10" cm="1">
        <f t="array" ref="O412">ROUND(R412*get_Üb(YEAR(A412),$O$8),2)</f>
        <v>0</v>
      </c>
      <c r="P412" s="19">
        <f t="shared" si="78"/>
        <v>0</v>
      </c>
      <c r="Q412" s="19" cm="1">
        <f t="array" ref="Q412">ROUND(P412+1/getKurs(EDATE(A412,-1))*(K412-L412-N412-getParm(Tarifart,"StK")+M412+O412),10)*(C412&lt;Dauer)</f>
        <v>0</v>
      </c>
      <c r="R412" s="10" cm="1">
        <f t="array" ref="R412">ROUND(P412*getKurs($A412),2)</f>
        <v>0</v>
      </c>
      <c r="S412" s="10" cm="1">
        <f t="array" ref="S412">ROUND(Q412*getKurs($A412),2)</f>
        <v>0</v>
      </c>
      <c r="T412" s="10">
        <f t="shared" si="74"/>
        <v>43200</v>
      </c>
      <c r="U412" s="10" cm="1">
        <f t="array" ref="U412">getParm(Tarifart,"StoSatz")*(Dauer-C412)*Beitrag*Zahlweise*(C412&lt;BZDauer)</f>
        <v>0</v>
      </c>
      <c r="V412" s="10">
        <f t="shared" si="79"/>
        <v>0</v>
      </c>
    </row>
    <row r="413" spans="1:22" x14ac:dyDescent="0.45">
      <c r="A413" s="15">
        <f t="shared" si="80"/>
        <v>48823</v>
      </c>
      <c r="B413">
        <f t="shared" si="70"/>
        <v>404</v>
      </c>
      <c r="C413">
        <f t="shared" si="75"/>
        <v>33</v>
      </c>
      <c r="D413">
        <f t="shared" si="71"/>
        <v>8</v>
      </c>
      <c r="E413">
        <f t="shared" si="72"/>
        <v>1</v>
      </c>
      <c r="F413" s="10">
        <f t="shared" si="73"/>
        <v>0</v>
      </c>
      <c r="G413" s="10" cm="1">
        <f t="array" ref="G413">ROUND(getParm(Tarifart,"alpha")/(2*Zahlweise)*BeiSum*(C413&lt;2)*E413,2)</f>
        <v>0</v>
      </c>
      <c r="H413" s="10" cm="1">
        <f t="array" ref="H413">ROUND(F413*getParm(Tarifart,"beta")*E413,2)</f>
        <v>0</v>
      </c>
      <c r="I413" s="10" cm="1">
        <f t="array" ref="I413">ROUND(F413*get_Üb(YEAR(A413),$I$8)*E413,2)</f>
        <v>0</v>
      </c>
      <c r="J413" s="10">
        <f t="shared" si="76"/>
        <v>0</v>
      </c>
      <c r="K413" s="10">
        <f t="shared" si="77"/>
        <v>0</v>
      </c>
      <c r="L413" s="10" cm="1">
        <f t="array" ref="L413">ROUND(1/12*MAX(MTSum-R413-K413,MRSum)*Act_qx(x+C413,Geschlecht,getParm(Tarifart,"Tafel"),YEAR(GebDat),x+Dauer,1),2)</f>
        <v>89.49</v>
      </c>
      <c r="M413" s="10" cm="1">
        <f t="array" ref="M413">ROUND(L413*get_Üb(YEAR(A413),$M$8),2)</f>
        <v>4.47</v>
      </c>
      <c r="N413" s="10" cm="1">
        <f t="array" ref="N413">ROUND(R413*getParm(Tarifart,IF(C413&lt;BZDauer,"gamma1","gamma2")),2)</f>
        <v>0</v>
      </c>
      <c r="O413" s="10" cm="1">
        <f t="array" ref="O413">ROUND(R413*get_Üb(YEAR(A413),$O$8),2)</f>
        <v>0</v>
      </c>
      <c r="P413" s="19">
        <f t="shared" si="78"/>
        <v>0</v>
      </c>
      <c r="Q413" s="19" cm="1">
        <f t="array" ref="Q413">ROUND(P413+1/getKurs(EDATE(A413,-1))*(K413-L413-N413-getParm(Tarifart,"StK")+M413+O413),10)*(C413&lt;Dauer)</f>
        <v>0</v>
      </c>
      <c r="R413" s="10" cm="1">
        <f t="array" ref="R413">ROUND(P413*getKurs($A413),2)</f>
        <v>0</v>
      </c>
      <c r="S413" s="10" cm="1">
        <f t="array" ref="S413">ROUND(Q413*getKurs($A413),2)</f>
        <v>0</v>
      </c>
      <c r="T413" s="10">
        <f t="shared" si="74"/>
        <v>43200</v>
      </c>
      <c r="U413" s="10" cm="1">
        <f t="array" ref="U413">getParm(Tarifart,"StoSatz")*(Dauer-C413)*Beitrag*Zahlweise*(C413&lt;BZDauer)</f>
        <v>0</v>
      </c>
      <c r="V413" s="10">
        <f t="shared" si="79"/>
        <v>0</v>
      </c>
    </row>
    <row r="414" spans="1:22" x14ac:dyDescent="0.45">
      <c r="A414" s="15">
        <f t="shared" si="80"/>
        <v>48853</v>
      </c>
      <c r="B414">
        <f t="shared" si="70"/>
        <v>405</v>
      </c>
      <c r="C414">
        <f t="shared" si="75"/>
        <v>33</v>
      </c>
      <c r="D414">
        <f t="shared" si="71"/>
        <v>9</v>
      </c>
      <c r="E414">
        <f t="shared" si="72"/>
        <v>1</v>
      </c>
      <c r="F414" s="10">
        <f t="shared" si="73"/>
        <v>0</v>
      </c>
      <c r="G414" s="10" cm="1">
        <f t="array" ref="G414">ROUND(getParm(Tarifart,"alpha")/(2*Zahlweise)*BeiSum*(C414&lt;2)*E414,2)</f>
        <v>0</v>
      </c>
      <c r="H414" s="10" cm="1">
        <f t="array" ref="H414">ROUND(F414*getParm(Tarifart,"beta")*E414,2)</f>
        <v>0</v>
      </c>
      <c r="I414" s="10" cm="1">
        <f t="array" ref="I414">ROUND(F414*get_Üb(YEAR(A414),$I$8)*E414,2)</f>
        <v>0</v>
      </c>
      <c r="J414" s="10">
        <f t="shared" si="76"/>
        <v>0</v>
      </c>
      <c r="K414" s="10">
        <f t="shared" si="77"/>
        <v>0</v>
      </c>
      <c r="L414" s="10" cm="1">
        <f t="array" ref="L414">ROUND(1/12*MAX(MTSum-R414-K414,MRSum)*Act_qx(x+C414,Geschlecht,getParm(Tarifart,"Tafel"),YEAR(GebDat),x+Dauer,1),2)</f>
        <v>89.49</v>
      </c>
      <c r="M414" s="10" cm="1">
        <f t="array" ref="M414">ROUND(L414*get_Üb(YEAR(A414),$M$8),2)</f>
        <v>4.47</v>
      </c>
      <c r="N414" s="10" cm="1">
        <f t="array" ref="N414">ROUND(R414*getParm(Tarifart,IF(C414&lt;BZDauer,"gamma1","gamma2")),2)</f>
        <v>0</v>
      </c>
      <c r="O414" s="10" cm="1">
        <f t="array" ref="O414">ROUND(R414*get_Üb(YEAR(A414),$O$8),2)</f>
        <v>0</v>
      </c>
      <c r="P414" s="19">
        <f t="shared" si="78"/>
        <v>0</v>
      </c>
      <c r="Q414" s="19" cm="1">
        <f t="array" ref="Q414">ROUND(P414+1/getKurs(EDATE(A414,-1))*(K414-L414-N414-getParm(Tarifart,"StK")+M414+O414),10)*(C414&lt;Dauer)</f>
        <v>0</v>
      </c>
      <c r="R414" s="10" cm="1">
        <f t="array" ref="R414">ROUND(P414*getKurs($A414),2)</f>
        <v>0</v>
      </c>
      <c r="S414" s="10" cm="1">
        <f t="array" ref="S414">ROUND(Q414*getKurs($A414),2)</f>
        <v>0</v>
      </c>
      <c r="T414" s="10">
        <f t="shared" si="74"/>
        <v>43200</v>
      </c>
      <c r="U414" s="10" cm="1">
        <f t="array" ref="U414">getParm(Tarifart,"StoSatz")*(Dauer-C414)*Beitrag*Zahlweise*(C414&lt;BZDauer)</f>
        <v>0</v>
      </c>
      <c r="V414" s="10">
        <f t="shared" si="79"/>
        <v>0</v>
      </c>
    </row>
    <row r="415" spans="1:22" x14ac:dyDescent="0.45">
      <c r="A415" s="15">
        <f t="shared" si="80"/>
        <v>48884</v>
      </c>
      <c r="B415">
        <f t="shared" si="70"/>
        <v>406</v>
      </c>
      <c r="C415">
        <f t="shared" si="75"/>
        <v>33</v>
      </c>
      <c r="D415">
        <f t="shared" si="71"/>
        <v>10</v>
      </c>
      <c r="E415">
        <f t="shared" si="72"/>
        <v>1</v>
      </c>
      <c r="F415" s="10">
        <f t="shared" si="73"/>
        <v>0</v>
      </c>
      <c r="G415" s="10" cm="1">
        <f t="array" ref="G415">ROUND(getParm(Tarifart,"alpha")/(2*Zahlweise)*BeiSum*(C415&lt;2)*E415,2)</f>
        <v>0</v>
      </c>
      <c r="H415" s="10" cm="1">
        <f t="array" ref="H415">ROUND(F415*getParm(Tarifart,"beta")*E415,2)</f>
        <v>0</v>
      </c>
      <c r="I415" s="10" cm="1">
        <f t="array" ref="I415">ROUND(F415*get_Üb(YEAR(A415),$I$8)*E415,2)</f>
        <v>0</v>
      </c>
      <c r="J415" s="10">
        <f t="shared" si="76"/>
        <v>0</v>
      </c>
      <c r="K415" s="10">
        <f t="shared" si="77"/>
        <v>0</v>
      </c>
      <c r="L415" s="10" cm="1">
        <f t="array" ref="L415">ROUND(1/12*MAX(MTSum-R415-K415,MRSum)*Act_qx(x+C415,Geschlecht,getParm(Tarifart,"Tafel"),YEAR(GebDat),x+Dauer,1),2)</f>
        <v>89.49</v>
      </c>
      <c r="M415" s="10" cm="1">
        <f t="array" ref="M415">ROUND(L415*get_Üb(YEAR(A415),$M$8),2)</f>
        <v>4.47</v>
      </c>
      <c r="N415" s="10" cm="1">
        <f t="array" ref="N415">ROUND(R415*getParm(Tarifart,IF(C415&lt;BZDauer,"gamma1","gamma2")),2)</f>
        <v>0</v>
      </c>
      <c r="O415" s="10" cm="1">
        <f t="array" ref="O415">ROUND(R415*get_Üb(YEAR(A415),$O$8),2)</f>
        <v>0</v>
      </c>
      <c r="P415" s="19">
        <f t="shared" si="78"/>
        <v>0</v>
      </c>
      <c r="Q415" s="19" cm="1">
        <f t="array" ref="Q415">ROUND(P415+1/getKurs(EDATE(A415,-1))*(K415-L415-N415-getParm(Tarifart,"StK")+M415+O415),10)*(C415&lt;Dauer)</f>
        <v>0</v>
      </c>
      <c r="R415" s="10" cm="1">
        <f t="array" ref="R415">ROUND(P415*getKurs($A415),2)</f>
        <v>0</v>
      </c>
      <c r="S415" s="10" cm="1">
        <f t="array" ref="S415">ROUND(Q415*getKurs($A415),2)</f>
        <v>0</v>
      </c>
      <c r="T415" s="10">
        <f t="shared" si="74"/>
        <v>43200</v>
      </c>
      <c r="U415" s="10" cm="1">
        <f t="array" ref="U415">getParm(Tarifart,"StoSatz")*(Dauer-C415)*Beitrag*Zahlweise*(C415&lt;BZDauer)</f>
        <v>0</v>
      </c>
      <c r="V415" s="10">
        <f t="shared" si="79"/>
        <v>0</v>
      </c>
    </row>
    <row r="416" spans="1:22" x14ac:dyDescent="0.45">
      <c r="A416" s="15">
        <f t="shared" si="80"/>
        <v>48914</v>
      </c>
      <c r="B416">
        <f t="shared" si="70"/>
        <v>407</v>
      </c>
      <c r="C416">
        <f t="shared" si="75"/>
        <v>33</v>
      </c>
      <c r="D416">
        <f t="shared" si="71"/>
        <v>11</v>
      </c>
      <c r="E416">
        <f t="shared" si="72"/>
        <v>1</v>
      </c>
      <c r="F416" s="10">
        <f t="shared" si="73"/>
        <v>0</v>
      </c>
      <c r="G416" s="10" cm="1">
        <f t="array" ref="G416">ROUND(getParm(Tarifart,"alpha")/(2*Zahlweise)*BeiSum*(C416&lt;2)*E416,2)</f>
        <v>0</v>
      </c>
      <c r="H416" s="10" cm="1">
        <f t="array" ref="H416">ROUND(F416*getParm(Tarifart,"beta")*E416,2)</f>
        <v>0</v>
      </c>
      <c r="I416" s="10" cm="1">
        <f t="array" ref="I416">ROUND(F416*get_Üb(YEAR(A416),$I$8)*E416,2)</f>
        <v>0</v>
      </c>
      <c r="J416" s="10">
        <f t="shared" si="76"/>
        <v>0</v>
      </c>
      <c r="K416" s="10">
        <f t="shared" si="77"/>
        <v>0</v>
      </c>
      <c r="L416" s="10" cm="1">
        <f t="array" ref="L416">ROUND(1/12*MAX(MTSum-R416-K416,MRSum)*Act_qx(x+C416,Geschlecht,getParm(Tarifart,"Tafel"),YEAR(GebDat),x+Dauer,1),2)</f>
        <v>89.49</v>
      </c>
      <c r="M416" s="10" cm="1">
        <f t="array" ref="M416">ROUND(L416*get_Üb(YEAR(A416),$M$8),2)</f>
        <v>4.47</v>
      </c>
      <c r="N416" s="10" cm="1">
        <f t="array" ref="N416">ROUND(R416*getParm(Tarifart,IF(C416&lt;BZDauer,"gamma1","gamma2")),2)</f>
        <v>0</v>
      </c>
      <c r="O416" s="10" cm="1">
        <f t="array" ref="O416">ROUND(R416*get_Üb(YEAR(A416),$O$8),2)</f>
        <v>0</v>
      </c>
      <c r="P416" s="19">
        <f t="shared" si="78"/>
        <v>0</v>
      </c>
      <c r="Q416" s="19" cm="1">
        <f t="array" ref="Q416">ROUND(P416+1/getKurs(EDATE(A416,-1))*(K416-L416-N416-getParm(Tarifart,"StK")+M416+O416),10)*(C416&lt;Dauer)</f>
        <v>0</v>
      </c>
      <c r="R416" s="10" cm="1">
        <f t="array" ref="R416">ROUND(P416*getKurs($A416),2)</f>
        <v>0</v>
      </c>
      <c r="S416" s="10" cm="1">
        <f t="array" ref="S416">ROUND(Q416*getKurs($A416),2)</f>
        <v>0</v>
      </c>
      <c r="T416" s="10">
        <f t="shared" si="74"/>
        <v>43200</v>
      </c>
      <c r="U416" s="10" cm="1">
        <f t="array" ref="U416">getParm(Tarifart,"StoSatz")*(Dauer-C416)*Beitrag*Zahlweise*(C416&lt;BZDauer)</f>
        <v>0</v>
      </c>
      <c r="V416" s="10">
        <f t="shared" si="79"/>
        <v>0</v>
      </c>
    </row>
    <row r="417" spans="1:22" x14ac:dyDescent="0.45">
      <c r="A417" s="15">
        <f t="shared" si="80"/>
        <v>48945</v>
      </c>
      <c r="B417">
        <f t="shared" si="70"/>
        <v>408</v>
      </c>
      <c r="C417">
        <f t="shared" si="75"/>
        <v>34</v>
      </c>
      <c r="D417">
        <f t="shared" si="71"/>
        <v>0</v>
      </c>
      <c r="E417">
        <f t="shared" si="72"/>
        <v>1</v>
      </c>
      <c r="F417" s="10">
        <f t="shared" si="73"/>
        <v>0</v>
      </c>
      <c r="G417" s="10" cm="1">
        <f t="array" ref="G417">ROUND(getParm(Tarifart,"alpha")/(2*Zahlweise)*BeiSum*(C417&lt;2)*E417,2)</f>
        <v>0</v>
      </c>
      <c r="H417" s="10" cm="1">
        <f t="array" ref="H417">ROUND(F417*getParm(Tarifart,"beta")*E417,2)</f>
        <v>0</v>
      </c>
      <c r="I417" s="10" cm="1">
        <f t="array" ref="I417">ROUND(F417*get_Üb(YEAR(A417),$I$8)*E417,2)</f>
        <v>0</v>
      </c>
      <c r="J417" s="10">
        <f t="shared" si="76"/>
        <v>0</v>
      </c>
      <c r="K417" s="10">
        <f t="shared" si="77"/>
        <v>0</v>
      </c>
      <c r="L417" s="10" cm="1">
        <f t="array" ref="L417">ROUND(1/12*MAX(MTSum-R417-K417,MRSum)*Act_qx(x+C417,Geschlecht,getParm(Tarifart,"Tafel"),YEAR(GebDat),x+Dauer,1),2)</f>
        <v>97.46</v>
      </c>
      <c r="M417" s="10" cm="1">
        <f t="array" ref="M417">ROUND(L417*get_Üb(YEAR(A417),$M$8),2)</f>
        <v>4.87</v>
      </c>
      <c r="N417" s="10" cm="1">
        <f t="array" ref="N417">ROUND(R417*getParm(Tarifart,IF(C417&lt;BZDauer,"gamma1","gamma2")),2)</f>
        <v>0</v>
      </c>
      <c r="O417" s="10" cm="1">
        <f t="array" ref="O417">ROUND(R417*get_Üb(YEAR(A417),$O$8),2)</f>
        <v>0</v>
      </c>
      <c r="P417" s="19">
        <f t="shared" si="78"/>
        <v>0</v>
      </c>
      <c r="Q417" s="19" cm="1">
        <f t="array" ref="Q417">ROUND(P417+1/getKurs(EDATE(A417,-1))*(K417-L417-N417-getParm(Tarifart,"StK")+M417+O417),10)*(C417&lt;Dauer)</f>
        <v>0</v>
      </c>
      <c r="R417" s="10" cm="1">
        <f t="array" ref="R417">ROUND(P417*getKurs($A417),2)</f>
        <v>0</v>
      </c>
      <c r="S417" s="10" cm="1">
        <f t="array" ref="S417">ROUND(Q417*getKurs($A417),2)</f>
        <v>0</v>
      </c>
      <c r="T417" s="10">
        <f t="shared" si="74"/>
        <v>43200</v>
      </c>
      <c r="U417" s="10" cm="1">
        <f t="array" ref="U417">getParm(Tarifart,"StoSatz")*(Dauer-C417)*Beitrag*Zahlweise*(C417&lt;BZDauer)</f>
        <v>0</v>
      </c>
      <c r="V417" s="10">
        <f t="shared" si="79"/>
        <v>0</v>
      </c>
    </row>
    <row r="418" spans="1:22" x14ac:dyDescent="0.45">
      <c r="A418" s="15">
        <f t="shared" si="80"/>
        <v>48976</v>
      </c>
      <c r="B418">
        <f t="shared" si="70"/>
        <v>409</v>
      </c>
      <c r="C418">
        <f t="shared" si="75"/>
        <v>34</v>
      </c>
      <c r="D418">
        <f t="shared" si="71"/>
        <v>1</v>
      </c>
      <c r="E418">
        <f t="shared" si="72"/>
        <v>1</v>
      </c>
      <c r="F418" s="10">
        <f t="shared" si="73"/>
        <v>0</v>
      </c>
      <c r="G418" s="10" cm="1">
        <f t="array" ref="G418">ROUND(getParm(Tarifart,"alpha")/(2*Zahlweise)*BeiSum*(C418&lt;2)*E418,2)</f>
        <v>0</v>
      </c>
      <c r="H418" s="10" cm="1">
        <f t="array" ref="H418">ROUND(F418*getParm(Tarifart,"beta")*E418,2)</f>
        <v>0</v>
      </c>
      <c r="I418" s="10" cm="1">
        <f t="array" ref="I418">ROUND(F418*get_Üb(YEAR(A418),$I$8)*E418,2)</f>
        <v>0</v>
      </c>
      <c r="J418" s="10">
        <f t="shared" si="76"/>
        <v>0</v>
      </c>
      <c r="K418" s="10">
        <f t="shared" si="77"/>
        <v>0</v>
      </c>
      <c r="L418" s="10" cm="1">
        <f t="array" ref="L418">ROUND(1/12*MAX(MTSum-R418-K418,MRSum)*Act_qx(x+C418,Geschlecht,getParm(Tarifart,"Tafel"),YEAR(GebDat),x+Dauer,1),2)</f>
        <v>97.46</v>
      </c>
      <c r="M418" s="10" cm="1">
        <f t="array" ref="M418">ROUND(L418*get_Üb(YEAR(A418),$M$8),2)</f>
        <v>4.87</v>
      </c>
      <c r="N418" s="10" cm="1">
        <f t="array" ref="N418">ROUND(R418*getParm(Tarifart,IF(C418&lt;BZDauer,"gamma1","gamma2")),2)</f>
        <v>0</v>
      </c>
      <c r="O418" s="10" cm="1">
        <f t="array" ref="O418">ROUND(R418*get_Üb(YEAR(A418),$O$8),2)</f>
        <v>0</v>
      </c>
      <c r="P418" s="19">
        <f t="shared" si="78"/>
        <v>0</v>
      </c>
      <c r="Q418" s="19" cm="1">
        <f t="array" ref="Q418">ROUND(P418+1/getKurs(EDATE(A418,-1))*(K418-L418-N418-getParm(Tarifart,"StK")+M418+O418),10)*(C418&lt;Dauer)</f>
        <v>0</v>
      </c>
      <c r="R418" s="10" cm="1">
        <f t="array" ref="R418">ROUND(P418*getKurs($A418),2)</f>
        <v>0</v>
      </c>
      <c r="S418" s="10" cm="1">
        <f t="array" ref="S418">ROUND(Q418*getKurs($A418),2)</f>
        <v>0</v>
      </c>
      <c r="T418" s="10">
        <f t="shared" si="74"/>
        <v>43200</v>
      </c>
      <c r="U418" s="10" cm="1">
        <f t="array" ref="U418">getParm(Tarifart,"StoSatz")*(Dauer-C418)*Beitrag*Zahlweise*(C418&lt;BZDauer)</f>
        <v>0</v>
      </c>
      <c r="V418" s="10">
        <f t="shared" si="79"/>
        <v>0</v>
      </c>
    </row>
    <row r="419" spans="1:22" x14ac:dyDescent="0.45">
      <c r="A419" s="15">
        <f t="shared" si="80"/>
        <v>49004</v>
      </c>
      <c r="B419">
        <f t="shared" si="70"/>
        <v>410</v>
      </c>
      <c r="C419">
        <f t="shared" si="75"/>
        <v>34</v>
      </c>
      <c r="D419">
        <f t="shared" si="71"/>
        <v>2</v>
      </c>
      <c r="E419">
        <f t="shared" si="72"/>
        <v>1</v>
      </c>
      <c r="F419" s="10">
        <f t="shared" si="73"/>
        <v>0</v>
      </c>
      <c r="G419" s="10" cm="1">
        <f t="array" ref="G419">ROUND(getParm(Tarifart,"alpha")/(2*Zahlweise)*BeiSum*(C419&lt;2)*E419,2)</f>
        <v>0</v>
      </c>
      <c r="H419" s="10" cm="1">
        <f t="array" ref="H419">ROUND(F419*getParm(Tarifart,"beta")*E419,2)</f>
        <v>0</v>
      </c>
      <c r="I419" s="10" cm="1">
        <f t="array" ref="I419">ROUND(F419*get_Üb(YEAR(A419),$I$8)*E419,2)</f>
        <v>0</v>
      </c>
      <c r="J419" s="10">
        <f t="shared" si="76"/>
        <v>0</v>
      </c>
      <c r="K419" s="10">
        <f t="shared" si="77"/>
        <v>0</v>
      </c>
      <c r="L419" s="10" cm="1">
        <f t="array" ref="L419">ROUND(1/12*MAX(MTSum-R419-K419,MRSum)*Act_qx(x+C419,Geschlecht,getParm(Tarifart,"Tafel"),YEAR(GebDat),x+Dauer,1),2)</f>
        <v>97.46</v>
      </c>
      <c r="M419" s="10" cm="1">
        <f t="array" ref="M419">ROUND(L419*get_Üb(YEAR(A419),$M$8),2)</f>
        <v>4.87</v>
      </c>
      <c r="N419" s="10" cm="1">
        <f t="array" ref="N419">ROUND(R419*getParm(Tarifart,IF(C419&lt;BZDauer,"gamma1","gamma2")),2)</f>
        <v>0</v>
      </c>
      <c r="O419" s="10" cm="1">
        <f t="array" ref="O419">ROUND(R419*get_Üb(YEAR(A419),$O$8),2)</f>
        <v>0</v>
      </c>
      <c r="P419" s="19">
        <f t="shared" si="78"/>
        <v>0</v>
      </c>
      <c r="Q419" s="19" cm="1">
        <f t="array" ref="Q419">ROUND(P419+1/getKurs(EDATE(A419,-1))*(K419-L419-N419-getParm(Tarifart,"StK")+M419+O419),10)*(C419&lt;Dauer)</f>
        <v>0</v>
      </c>
      <c r="R419" s="10" cm="1">
        <f t="array" ref="R419">ROUND(P419*getKurs($A419),2)</f>
        <v>0</v>
      </c>
      <c r="S419" s="10" cm="1">
        <f t="array" ref="S419">ROUND(Q419*getKurs($A419),2)</f>
        <v>0</v>
      </c>
      <c r="T419" s="10">
        <f t="shared" si="74"/>
        <v>43200</v>
      </c>
      <c r="U419" s="10" cm="1">
        <f t="array" ref="U419">getParm(Tarifart,"StoSatz")*(Dauer-C419)*Beitrag*Zahlweise*(C419&lt;BZDauer)</f>
        <v>0</v>
      </c>
      <c r="V419" s="10">
        <f t="shared" si="79"/>
        <v>0</v>
      </c>
    </row>
    <row r="420" spans="1:22" x14ac:dyDescent="0.45">
      <c r="A420" s="15">
        <f t="shared" si="80"/>
        <v>49035</v>
      </c>
      <c r="B420">
        <f t="shared" si="70"/>
        <v>411</v>
      </c>
      <c r="C420">
        <f t="shared" si="75"/>
        <v>34</v>
      </c>
      <c r="D420">
        <f t="shared" si="71"/>
        <v>3</v>
      </c>
      <c r="E420">
        <f t="shared" si="72"/>
        <v>1</v>
      </c>
      <c r="F420" s="10">
        <f t="shared" si="73"/>
        <v>0</v>
      </c>
      <c r="G420" s="10" cm="1">
        <f t="array" ref="G420">ROUND(getParm(Tarifart,"alpha")/(2*Zahlweise)*BeiSum*(C420&lt;2)*E420,2)</f>
        <v>0</v>
      </c>
      <c r="H420" s="10" cm="1">
        <f t="array" ref="H420">ROUND(F420*getParm(Tarifart,"beta")*E420,2)</f>
        <v>0</v>
      </c>
      <c r="I420" s="10" cm="1">
        <f t="array" ref="I420">ROUND(F420*get_Üb(YEAR(A420),$I$8)*E420,2)</f>
        <v>0</v>
      </c>
      <c r="J420" s="10">
        <f t="shared" si="76"/>
        <v>0</v>
      </c>
      <c r="K420" s="10">
        <f t="shared" si="77"/>
        <v>0</v>
      </c>
      <c r="L420" s="10" cm="1">
        <f t="array" ref="L420">ROUND(1/12*MAX(MTSum-R420-K420,MRSum)*Act_qx(x+C420,Geschlecht,getParm(Tarifart,"Tafel"),YEAR(GebDat),x+Dauer,1),2)</f>
        <v>97.46</v>
      </c>
      <c r="M420" s="10" cm="1">
        <f t="array" ref="M420">ROUND(L420*get_Üb(YEAR(A420),$M$8),2)</f>
        <v>4.87</v>
      </c>
      <c r="N420" s="10" cm="1">
        <f t="array" ref="N420">ROUND(R420*getParm(Tarifart,IF(C420&lt;BZDauer,"gamma1","gamma2")),2)</f>
        <v>0</v>
      </c>
      <c r="O420" s="10" cm="1">
        <f t="array" ref="O420">ROUND(R420*get_Üb(YEAR(A420),$O$8),2)</f>
        <v>0</v>
      </c>
      <c r="P420" s="19">
        <f t="shared" si="78"/>
        <v>0</v>
      </c>
      <c r="Q420" s="19" cm="1">
        <f t="array" ref="Q420">ROUND(P420+1/getKurs(EDATE(A420,-1))*(K420-L420-N420-getParm(Tarifart,"StK")+M420+O420),10)*(C420&lt;Dauer)</f>
        <v>0</v>
      </c>
      <c r="R420" s="10" cm="1">
        <f t="array" ref="R420">ROUND(P420*getKurs($A420),2)</f>
        <v>0</v>
      </c>
      <c r="S420" s="10" cm="1">
        <f t="array" ref="S420">ROUND(Q420*getKurs($A420),2)</f>
        <v>0</v>
      </c>
      <c r="T420" s="10">
        <f t="shared" si="74"/>
        <v>43200</v>
      </c>
      <c r="U420" s="10" cm="1">
        <f t="array" ref="U420">getParm(Tarifart,"StoSatz")*(Dauer-C420)*Beitrag*Zahlweise*(C420&lt;BZDauer)</f>
        <v>0</v>
      </c>
      <c r="V420" s="10">
        <f t="shared" si="79"/>
        <v>0</v>
      </c>
    </row>
    <row r="421" spans="1:22" x14ac:dyDescent="0.45">
      <c r="A421" s="15">
        <f t="shared" si="80"/>
        <v>49065</v>
      </c>
      <c r="B421">
        <f t="shared" si="70"/>
        <v>412</v>
      </c>
      <c r="C421">
        <f t="shared" si="75"/>
        <v>34</v>
      </c>
      <c r="D421">
        <f t="shared" si="71"/>
        <v>4</v>
      </c>
      <c r="E421">
        <f t="shared" si="72"/>
        <v>1</v>
      </c>
      <c r="F421" s="10">
        <f t="shared" si="73"/>
        <v>0</v>
      </c>
      <c r="G421" s="10" cm="1">
        <f t="array" ref="G421">ROUND(getParm(Tarifart,"alpha")/(2*Zahlweise)*BeiSum*(C421&lt;2)*E421,2)</f>
        <v>0</v>
      </c>
      <c r="H421" s="10" cm="1">
        <f t="array" ref="H421">ROUND(F421*getParm(Tarifart,"beta")*E421,2)</f>
        <v>0</v>
      </c>
      <c r="I421" s="10" cm="1">
        <f t="array" ref="I421">ROUND(F421*get_Üb(YEAR(A421),$I$8)*E421,2)</f>
        <v>0</v>
      </c>
      <c r="J421" s="10">
        <f t="shared" si="76"/>
        <v>0</v>
      </c>
      <c r="K421" s="10">
        <f t="shared" si="77"/>
        <v>0</v>
      </c>
      <c r="L421" s="10" cm="1">
        <f t="array" ref="L421">ROUND(1/12*MAX(MTSum-R421-K421,MRSum)*Act_qx(x+C421,Geschlecht,getParm(Tarifart,"Tafel"),YEAR(GebDat),x+Dauer,1),2)</f>
        <v>97.46</v>
      </c>
      <c r="M421" s="10" cm="1">
        <f t="array" ref="M421">ROUND(L421*get_Üb(YEAR(A421),$M$8),2)</f>
        <v>4.87</v>
      </c>
      <c r="N421" s="10" cm="1">
        <f t="array" ref="N421">ROUND(R421*getParm(Tarifart,IF(C421&lt;BZDauer,"gamma1","gamma2")),2)</f>
        <v>0</v>
      </c>
      <c r="O421" s="10" cm="1">
        <f t="array" ref="O421">ROUND(R421*get_Üb(YEAR(A421),$O$8),2)</f>
        <v>0</v>
      </c>
      <c r="P421" s="19">
        <f t="shared" si="78"/>
        <v>0</v>
      </c>
      <c r="Q421" s="19" cm="1">
        <f t="array" ref="Q421">ROUND(P421+1/getKurs(EDATE(A421,-1))*(K421-L421-N421-getParm(Tarifart,"StK")+M421+O421),10)*(C421&lt;Dauer)</f>
        <v>0</v>
      </c>
      <c r="R421" s="10" cm="1">
        <f t="array" ref="R421">ROUND(P421*getKurs($A421),2)</f>
        <v>0</v>
      </c>
      <c r="S421" s="10" cm="1">
        <f t="array" ref="S421">ROUND(Q421*getKurs($A421),2)</f>
        <v>0</v>
      </c>
      <c r="T421" s="10">
        <f t="shared" si="74"/>
        <v>43200</v>
      </c>
      <c r="U421" s="10" cm="1">
        <f t="array" ref="U421">getParm(Tarifart,"StoSatz")*(Dauer-C421)*Beitrag*Zahlweise*(C421&lt;BZDauer)</f>
        <v>0</v>
      </c>
      <c r="V421" s="10">
        <f t="shared" si="79"/>
        <v>0</v>
      </c>
    </row>
    <row r="422" spans="1:22" x14ac:dyDescent="0.45">
      <c r="A422" s="15">
        <f t="shared" si="80"/>
        <v>49096</v>
      </c>
      <c r="B422">
        <f t="shared" si="70"/>
        <v>413</v>
      </c>
      <c r="C422">
        <f t="shared" si="75"/>
        <v>34</v>
      </c>
      <c r="D422">
        <f t="shared" si="71"/>
        <v>5</v>
      </c>
      <c r="E422">
        <f t="shared" si="72"/>
        <v>1</v>
      </c>
      <c r="F422" s="10">
        <f t="shared" si="73"/>
        <v>0</v>
      </c>
      <c r="G422" s="10" cm="1">
        <f t="array" ref="G422">ROUND(getParm(Tarifart,"alpha")/(2*Zahlweise)*BeiSum*(C422&lt;2)*E422,2)</f>
        <v>0</v>
      </c>
      <c r="H422" s="10" cm="1">
        <f t="array" ref="H422">ROUND(F422*getParm(Tarifart,"beta")*E422,2)</f>
        <v>0</v>
      </c>
      <c r="I422" s="10" cm="1">
        <f t="array" ref="I422">ROUND(F422*get_Üb(YEAR(A422),$I$8)*E422,2)</f>
        <v>0</v>
      </c>
      <c r="J422" s="10">
        <f t="shared" si="76"/>
        <v>0</v>
      </c>
      <c r="K422" s="10">
        <f t="shared" si="77"/>
        <v>0</v>
      </c>
      <c r="L422" s="10" cm="1">
        <f t="array" ref="L422">ROUND(1/12*MAX(MTSum-R422-K422,MRSum)*Act_qx(x+C422,Geschlecht,getParm(Tarifart,"Tafel"),YEAR(GebDat),x+Dauer,1),2)</f>
        <v>97.46</v>
      </c>
      <c r="M422" s="10" cm="1">
        <f t="array" ref="M422">ROUND(L422*get_Üb(YEAR(A422),$M$8),2)</f>
        <v>4.87</v>
      </c>
      <c r="N422" s="10" cm="1">
        <f t="array" ref="N422">ROUND(R422*getParm(Tarifart,IF(C422&lt;BZDauer,"gamma1","gamma2")),2)</f>
        <v>0</v>
      </c>
      <c r="O422" s="10" cm="1">
        <f t="array" ref="O422">ROUND(R422*get_Üb(YEAR(A422),$O$8),2)</f>
        <v>0</v>
      </c>
      <c r="P422" s="19">
        <f t="shared" si="78"/>
        <v>0</v>
      </c>
      <c r="Q422" s="19" cm="1">
        <f t="array" ref="Q422">ROUND(P422+1/getKurs(EDATE(A422,-1))*(K422-L422-N422-getParm(Tarifart,"StK")+M422+O422),10)*(C422&lt;Dauer)</f>
        <v>0</v>
      </c>
      <c r="R422" s="10" cm="1">
        <f t="array" ref="R422">ROUND(P422*getKurs($A422),2)</f>
        <v>0</v>
      </c>
      <c r="S422" s="10" cm="1">
        <f t="array" ref="S422">ROUND(Q422*getKurs($A422),2)</f>
        <v>0</v>
      </c>
      <c r="T422" s="10">
        <f t="shared" si="74"/>
        <v>43200</v>
      </c>
      <c r="U422" s="10" cm="1">
        <f t="array" ref="U422">getParm(Tarifart,"StoSatz")*(Dauer-C422)*Beitrag*Zahlweise*(C422&lt;BZDauer)</f>
        <v>0</v>
      </c>
      <c r="V422" s="10">
        <f t="shared" si="79"/>
        <v>0</v>
      </c>
    </row>
    <row r="423" spans="1:22" x14ac:dyDescent="0.45">
      <c r="A423" s="15">
        <f t="shared" si="80"/>
        <v>49126</v>
      </c>
      <c r="B423">
        <f t="shared" si="70"/>
        <v>414</v>
      </c>
      <c r="C423">
        <f t="shared" si="75"/>
        <v>34</v>
      </c>
      <c r="D423">
        <f t="shared" si="71"/>
        <v>6</v>
      </c>
      <c r="E423">
        <f t="shared" si="72"/>
        <v>1</v>
      </c>
      <c r="F423" s="10">
        <f t="shared" si="73"/>
        <v>0</v>
      </c>
      <c r="G423" s="10" cm="1">
        <f t="array" ref="G423">ROUND(getParm(Tarifart,"alpha")/(2*Zahlweise)*BeiSum*(C423&lt;2)*E423,2)</f>
        <v>0</v>
      </c>
      <c r="H423" s="10" cm="1">
        <f t="array" ref="H423">ROUND(F423*getParm(Tarifart,"beta")*E423,2)</f>
        <v>0</v>
      </c>
      <c r="I423" s="10" cm="1">
        <f t="array" ref="I423">ROUND(F423*get_Üb(YEAR(A423),$I$8)*E423,2)</f>
        <v>0</v>
      </c>
      <c r="J423" s="10">
        <f t="shared" si="76"/>
        <v>0</v>
      </c>
      <c r="K423" s="10">
        <f t="shared" si="77"/>
        <v>0</v>
      </c>
      <c r="L423" s="10" cm="1">
        <f t="array" ref="L423">ROUND(1/12*MAX(MTSum-R423-K423,MRSum)*Act_qx(x+C423,Geschlecht,getParm(Tarifart,"Tafel"),YEAR(GebDat),x+Dauer,1),2)</f>
        <v>97.46</v>
      </c>
      <c r="M423" s="10" cm="1">
        <f t="array" ref="M423">ROUND(L423*get_Üb(YEAR(A423),$M$8),2)</f>
        <v>4.87</v>
      </c>
      <c r="N423" s="10" cm="1">
        <f t="array" ref="N423">ROUND(R423*getParm(Tarifart,IF(C423&lt;BZDauer,"gamma1","gamma2")),2)</f>
        <v>0</v>
      </c>
      <c r="O423" s="10" cm="1">
        <f t="array" ref="O423">ROUND(R423*get_Üb(YEAR(A423),$O$8),2)</f>
        <v>0</v>
      </c>
      <c r="P423" s="19">
        <f t="shared" si="78"/>
        <v>0</v>
      </c>
      <c r="Q423" s="19" cm="1">
        <f t="array" ref="Q423">ROUND(P423+1/getKurs(EDATE(A423,-1))*(K423-L423-N423-getParm(Tarifart,"StK")+M423+O423),10)*(C423&lt;Dauer)</f>
        <v>0</v>
      </c>
      <c r="R423" s="10" cm="1">
        <f t="array" ref="R423">ROUND(P423*getKurs($A423),2)</f>
        <v>0</v>
      </c>
      <c r="S423" s="10" cm="1">
        <f t="array" ref="S423">ROUND(Q423*getKurs($A423),2)</f>
        <v>0</v>
      </c>
      <c r="T423" s="10">
        <f t="shared" si="74"/>
        <v>43200</v>
      </c>
      <c r="U423" s="10" cm="1">
        <f t="array" ref="U423">getParm(Tarifart,"StoSatz")*(Dauer-C423)*Beitrag*Zahlweise*(C423&lt;BZDauer)</f>
        <v>0</v>
      </c>
      <c r="V423" s="10">
        <f t="shared" si="79"/>
        <v>0</v>
      </c>
    </row>
    <row r="424" spans="1:22" x14ac:dyDescent="0.45">
      <c r="A424" s="15">
        <f t="shared" si="80"/>
        <v>49157</v>
      </c>
      <c r="B424">
        <f t="shared" si="70"/>
        <v>415</v>
      </c>
      <c r="C424">
        <f t="shared" si="75"/>
        <v>34</v>
      </c>
      <c r="D424">
        <f t="shared" si="71"/>
        <v>7</v>
      </c>
      <c r="E424">
        <f t="shared" si="72"/>
        <v>1</v>
      </c>
      <c r="F424" s="10">
        <f t="shared" si="73"/>
        <v>0</v>
      </c>
      <c r="G424" s="10" cm="1">
        <f t="array" ref="G424">ROUND(getParm(Tarifart,"alpha")/(2*Zahlweise)*BeiSum*(C424&lt;2)*E424,2)</f>
        <v>0</v>
      </c>
      <c r="H424" s="10" cm="1">
        <f t="array" ref="H424">ROUND(F424*getParm(Tarifart,"beta")*E424,2)</f>
        <v>0</v>
      </c>
      <c r="I424" s="10" cm="1">
        <f t="array" ref="I424">ROUND(F424*get_Üb(YEAR(A424),$I$8)*E424,2)</f>
        <v>0</v>
      </c>
      <c r="J424" s="10">
        <f t="shared" si="76"/>
        <v>0</v>
      </c>
      <c r="K424" s="10">
        <f t="shared" si="77"/>
        <v>0</v>
      </c>
      <c r="L424" s="10" cm="1">
        <f t="array" ref="L424">ROUND(1/12*MAX(MTSum-R424-K424,MRSum)*Act_qx(x+C424,Geschlecht,getParm(Tarifart,"Tafel"),YEAR(GebDat),x+Dauer,1),2)</f>
        <v>97.46</v>
      </c>
      <c r="M424" s="10" cm="1">
        <f t="array" ref="M424">ROUND(L424*get_Üb(YEAR(A424),$M$8),2)</f>
        <v>4.87</v>
      </c>
      <c r="N424" s="10" cm="1">
        <f t="array" ref="N424">ROUND(R424*getParm(Tarifart,IF(C424&lt;BZDauer,"gamma1","gamma2")),2)</f>
        <v>0</v>
      </c>
      <c r="O424" s="10" cm="1">
        <f t="array" ref="O424">ROUND(R424*get_Üb(YEAR(A424),$O$8),2)</f>
        <v>0</v>
      </c>
      <c r="P424" s="19">
        <f t="shared" si="78"/>
        <v>0</v>
      </c>
      <c r="Q424" s="19" cm="1">
        <f t="array" ref="Q424">ROUND(P424+1/getKurs(EDATE(A424,-1))*(K424-L424-N424-getParm(Tarifart,"StK")+M424+O424),10)*(C424&lt;Dauer)</f>
        <v>0</v>
      </c>
      <c r="R424" s="10" cm="1">
        <f t="array" ref="R424">ROUND(P424*getKurs($A424),2)</f>
        <v>0</v>
      </c>
      <c r="S424" s="10" cm="1">
        <f t="array" ref="S424">ROUND(Q424*getKurs($A424),2)</f>
        <v>0</v>
      </c>
      <c r="T424" s="10">
        <f t="shared" si="74"/>
        <v>43200</v>
      </c>
      <c r="U424" s="10" cm="1">
        <f t="array" ref="U424">getParm(Tarifart,"StoSatz")*(Dauer-C424)*Beitrag*Zahlweise*(C424&lt;BZDauer)</f>
        <v>0</v>
      </c>
      <c r="V424" s="10">
        <f t="shared" si="79"/>
        <v>0</v>
      </c>
    </row>
    <row r="425" spans="1:22" x14ac:dyDescent="0.45">
      <c r="A425" s="15">
        <f t="shared" si="80"/>
        <v>49188</v>
      </c>
      <c r="B425">
        <f t="shared" si="70"/>
        <v>416</v>
      </c>
      <c r="C425">
        <f t="shared" si="75"/>
        <v>34</v>
      </c>
      <c r="D425">
        <f t="shared" si="71"/>
        <v>8</v>
      </c>
      <c r="E425">
        <f t="shared" si="72"/>
        <v>1</v>
      </c>
      <c r="F425" s="10">
        <f t="shared" si="73"/>
        <v>0</v>
      </c>
      <c r="G425" s="10" cm="1">
        <f t="array" ref="G425">ROUND(getParm(Tarifart,"alpha")/(2*Zahlweise)*BeiSum*(C425&lt;2)*E425,2)</f>
        <v>0</v>
      </c>
      <c r="H425" s="10" cm="1">
        <f t="array" ref="H425">ROUND(F425*getParm(Tarifart,"beta")*E425,2)</f>
        <v>0</v>
      </c>
      <c r="I425" s="10" cm="1">
        <f t="array" ref="I425">ROUND(F425*get_Üb(YEAR(A425),$I$8)*E425,2)</f>
        <v>0</v>
      </c>
      <c r="J425" s="10">
        <f t="shared" si="76"/>
        <v>0</v>
      </c>
      <c r="K425" s="10">
        <f t="shared" si="77"/>
        <v>0</v>
      </c>
      <c r="L425" s="10" cm="1">
        <f t="array" ref="L425">ROUND(1/12*MAX(MTSum-R425-K425,MRSum)*Act_qx(x+C425,Geschlecht,getParm(Tarifart,"Tafel"),YEAR(GebDat),x+Dauer,1),2)</f>
        <v>97.46</v>
      </c>
      <c r="M425" s="10" cm="1">
        <f t="array" ref="M425">ROUND(L425*get_Üb(YEAR(A425),$M$8),2)</f>
        <v>4.87</v>
      </c>
      <c r="N425" s="10" cm="1">
        <f t="array" ref="N425">ROUND(R425*getParm(Tarifart,IF(C425&lt;BZDauer,"gamma1","gamma2")),2)</f>
        <v>0</v>
      </c>
      <c r="O425" s="10" cm="1">
        <f t="array" ref="O425">ROUND(R425*get_Üb(YEAR(A425),$O$8),2)</f>
        <v>0</v>
      </c>
      <c r="P425" s="19">
        <f t="shared" si="78"/>
        <v>0</v>
      </c>
      <c r="Q425" s="19" cm="1">
        <f t="array" ref="Q425">ROUND(P425+1/getKurs(EDATE(A425,-1))*(K425-L425-N425-getParm(Tarifart,"StK")+M425+O425),10)*(C425&lt;Dauer)</f>
        <v>0</v>
      </c>
      <c r="R425" s="10" cm="1">
        <f t="array" ref="R425">ROUND(P425*getKurs($A425),2)</f>
        <v>0</v>
      </c>
      <c r="S425" s="10" cm="1">
        <f t="array" ref="S425">ROUND(Q425*getKurs($A425),2)</f>
        <v>0</v>
      </c>
      <c r="T425" s="10">
        <f t="shared" si="74"/>
        <v>43200</v>
      </c>
      <c r="U425" s="10" cm="1">
        <f t="array" ref="U425">getParm(Tarifart,"StoSatz")*(Dauer-C425)*Beitrag*Zahlweise*(C425&lt;BZDauer)</f>
        <v>0</v>
      </c>
      <c r="V425" s="10">
        <f t="shared" si="79"/>
        <v>0</v>
      </c>
    </row>
    <row r="426" spans="1:22" x14ac:dyDescent="0.45">
      <c r="A426" s="15">
        <f t="shared" si="80"/>
        <v>49218</v>
      </c>
      <c r="B426">
        <f t="shared" si="70"/>
        <v>417</v>
      </c>
      <c r="C426">
        <f t="shared" si="75"/>
        <v>34</v>
      </c>
      <c r="D426">
        <f t="shared" si="71"/>
        <v>9</v>
      </c>
      <c r="E426">
        <f t="shared" si="72"/>
        <v>1</v>
      </c>
      <c r="F426" s="10">
        <f t="shared" si="73"/>
        <v>0</v>
      </c>
      <c r="G426" s="10" cm="1">
        <f t="array" ref="G426">ROUND(getParm(Tarifart,"alpha")/(2*Zahlweise)*BeiSum*(C426&lt;2)*E426,2)</f>
        <v>0</v>
      </c>
      <c r="H426" s="10" cm="1">
        <f t="array" ref="H426">ROUND(F426*getParm(Tarifart,"beta")*E426,2)</f>
        <v>0</v>
      </c>
      <c r="I426" s="10" cm="1">
        <f t="array" ref="I426">ROUND(F426*get_Üb(YEAR(A426),$I$8)*E426,2)</f>
        <v>0</v>
      </c>
      <c r="J426" s="10">
        <f t="shared" si="76"/>
        <v>0</v>
      </c>
      <c r="K426" s="10">
        <f t="shared" si="77"/>
        <v>0</v>
      </c>
      <c r="L426" s="10" cm="1">
        <f t="array" ref="L426">ROUND(1/12*MAX(MTSum-R426-K426,MRSum)*Act_qx(x+C426,Geschlecht,getParm(Tarifart,"Tafel"),YEAR(GebDat),x+Dauer,1),2)</f>
        <v>97.46</v>
      </c>
      <c r="M426" s="10" cm="1">
        <f t="array" ref="M426">ROUND(L426*get_Üb(YEAR(A426),$M$8),2)</f>
        <v>4.87</v>
      </c>
      <c r="N426" s="10" cm="1">
        <f t="array" ref="N426">ROUND(R426*getParm(Tarifart,IF(C426&lt;BZDauer,"gamma1","gamma2")),2)</f>
        <v>0</v>
      </c>
      <c r="O426" s="10" cm="1">
        <f t="array" ref="O426">ROUND(R426*get_Üb(YEAR(A426),$O$8),2)</f>
        <v>0</v>
      </c>
      <c r="P426" s="19">
        <f t="shared" si="78"/>
        <v>0</v>
      </c>
      <c r="Q426" s="19" cm="1">
        <f t="array" ref="Q426">ROUND(P426+1/getKurs(EDATE(A426,-1))*(K426-L426-N426-getParm(Tarifart,"StK")+M426+O426),10)*(C426&lt;Dauer)</f>
        <v>0</v>
      </c>
      <c r="R426" s="10" cm="1">
        <f t="array" ref="R426">ROUND(P426*getKurs($A426),2)</f>
        <v>0</v>
      </c>
      <c r="S426" s="10" cm="1">
        <f t="array" ref="S426">ROUND(Q426*getKurs($A426),2)</f>
        <v>0</v>
      </c>
      <c r="T426" s="10">
        <f t="shared" si="74"/>
        <v>43200</v>
      </c>
      <c r="U426" s="10" cm="1">
        <f t="array" ref="U426">getParm(Tarifart,"StoSatz")*(Dauer-C426)*Beitrag*Zahlweise*(C426&lt;BZDauer)</f>
        <v>0</v>
      </c>
      <c r="V426" s="10">
        <f t="shared" si="79"/>
        <v>0</v>
      </c>
    </row>
    <row r="427" spans="1:22" x14ac:dyDescent="0.45">
      <c r="A427" s="15">
        <f t="shared" si="80"/>
        <v>49249</v>
      </c>
      <c r="B427">
        <f t="shared" si="70"/>
        <v>418</v>
      </c>
      <c r="C427">
        <f t="shared" si="75"/>
        <v>34</v>
      </c>
      <c r="D427">
        <f t="shared" si="71"/>
        <v>10</v>
      </c>
      <c r="E427">
        <f t="shared" si="72"/>
        <v>1</v>
      </c>
      <c r="F427" s="10">
        <f t="shared" si="73"/>
        <v>0</v>
      </c>
      <c r="G427" s="10" cm="1">
        <f t="array" ref="G427">ROUND(getParm(Tarifart,"alpha")/(2*Zahlweise)*BeiSum*(C427&lt;2)*E427,2)</f>
        <v>0</v>
      </c>
      <c r="H427" s="10" cm="1">
        <f t="array" ref="H427">ROUND(F427*getParm(Tarifart,"beta")*E427,2)</f>
        <v>0</v>
      </c>
      <c r="I427" s="10" cm="1">
        <f t="array" ref="I427">ROUND(F427*get_Üb(YEAR(A427),$I$8)*E427,2)</f>
        <v>0</v>
      </c>
      <c r="J427" s="10">
        <f t="shared" si="76"/>
        <v>0</v>
      </c>
      <c r="K427" s="10">
        <f t="shared" si="77"/>
        <v>0</v>
      </c>
      <c r="L427" s="10" cm="1">
        <f t="array" ref="L427">ROUND(1/12*MAX(MTSum-R427-K427,MRSum)*Act_qx(x+C427,Geschlecht,getParm(Tarifart,"Tafel"),YEAR(GebDat),x+Dauer,1),2)</f>
        <v>97.46</v>
      </c>
      <c r="M427" s="10" cm="1">
        <f t="array" ref="M427">ROUND(L427*get_Üb(YEAR(A427),$M$8),2)</f>
        <v>4.87</v>
      </c>
      <c r="N427" s="10" cm="1">
        <f t="array" ref="N427">ROUND(R427*getParm(Tarifart,IF(C427&lt;BZDauer,"gamma1","gamma2")),2)</f>
        <v>0</v>
      </c>
      <c r="O427" s="10" cm="1">
        <f t="array" ref="O427">ROUND(R427*get_Üb(YEAR(A427),$O$8),2)</f>
        <v>0</v>
      </c>
      <c r="P427" s="19">
        <f t="shared" si="78"/>
        <v>0</v>
      </c>
      <c r="Q427" s="19" cm="1">
        <f t="array" ref="Q427">ROUND(P427+1/getKurs(EDATE(A427,-1))*(K427-L427-N427-getParm(Tarifart,"StK")+M427+O427),10)*(C427&lt;Dauer)</f>
        <v>0</v>
      </c>
      <c r="R427" s="10" cm="1">
        <f t="array" ref="R427">ROUND(P427*getKurs($A427),2)</f>
        <v>0</v>
      </c>
      <c r="S427" s="10" cm="1">
        <f t="array" ref="S427">ROUND(Q427*getKurs($A427),2)</f>
        <v>0</v>
      </c>
      <c r="T427" s="10">
        <f t="shared" si="74"/>
        <v>43200</v>
      </c>
      <c r="U427" s="10" cm="1">
        <f t="array" ref="U427">getParm(Tarifart,"StoSatz")*(Dauer-C427)*Beitrag*Zahlweise*(C427&lt;BZDauer)</f>
        <v>0</v>
      </c>
      <c r="V427" s="10">
        <f t="shared" si="79"/>
        <v>0</v>
      </c>
    </row>
    <row r="428" spans="1:22" x14ac:dyDescent="0.45">
      <c r="A428" s="15">
        <f t="shared" si="80"/>
        <v>49279</v>
      </c>
      <c r="B428">
        <f t="shared" si="70"/>
        <v>419</v>
      </c>
      <c r="C428">
        <f t="shared" si="75"/>
        <v>34</v>
      </c>
      <c r="D428">
        <f t="shared" si="71"/>
        <v>11</v>
      </c>
      <c r="E428">
        <f t="shared" si="72"/>
        <v>1</v>
      </c>
      <c r="F428" s="10">
        <f t="shared" si="73"/>
        <v>0</v>
      </c>
      <c r="G428" s="10" cm="1">
        <f t="array" ref="G428">ROUND(getParm(Tarifart,"alpha")/(2*Zahlweise)*BeiSum*(C428&lt;2)*E428,2)</f>
        <v>0</v>
      </c>
      <c r="H428" s="10" cm="1">
        <f t="array" ref="H428">ROUND(F428*getParm(Tarifart,"beta")*E428,2)</f>
        <v>0</v>
      </c>
      <c r="I428" s="10" cm="1">
        <f t="array" ref="I428">ROUND(F428*get_Üb(YEAR(A428),$I$8)*E428,2)</f>
        <v>0</v>
      </c>
      <c r="J428" s="10">
        <f t="shared" si="76"/>
        <v>0</v>
      </c>
      <c r="K428" s="10">
        <f t="shared" si="77"/>
        <v>0</v>
      </c>
      <c r="L428" s="10" cm="1">
        <f t="array" ref="L428">ROUND(1/12*MAX(MTSum-R428-K428,MRSum)*Act_qx(x+C428,Geschlecht,getParm(Tarifart,"Tafel"),YEAR(GebDat),x+Dauer,1),2)</f>
        <v>97.46</v>
      </c>
      <c r="M428" s="10" cm="1">
        <f t="array" ref="M428">ROUND(L428*get_Üb(YEAR(A428),$M$8),2)</f>
        <v>4.87</v>
      </c>
      <c r="N428" s="10" cm="1">
        <f t="array" ref="N428">ROUND(R428*getParm(Tarifart,IF(C428&lt;BZDauer,"gamma1","gamma2")),2)</f>
        <v>0</v>
      </c>
      <c r="O428" s="10" cm="1">
        <f t="array" ref="O428">ROUND(R428*get_Üb(YEAR(A428),$O$8),2)</f>
        <v>0</v>
      </c>
      <c r="P428" s="19">
        <f t="shared" si="78"/>
        <v>0</v>
      </c>
      <c r="Q428" s="19" cm="1">
        <f t="array" ref="Q428">ROUND(P428+1/getKurs(EDATE(A428,-1))*(K428-L428-N428-getParm(Tarifart,"StK")+M428+O428),10)*(C428&lt;Dauer)</f>
        <v>0</v>
      </c>
      <c r="R428" s="10" cm="1">
        <f t="array" ref="R428">ROUND(P428*getKurs($A428),2)</f>
        <v>0</v>
      </c>
      <c r="S428" s="10" cm="1">
        <f t="array" ref="S428">ROUND(Q428*getKurs($A428),2)</f>
        <v>0</v>
      </c>
      <c r="T428" s="10">
        <f t="shared" si="74"/>
        <v>43200</v>
      </c>
      <c r="U428" s="10" cm="1">
        <f t="array" ref="U428">getParm(Tarifart,"StoSatz")*(Dauer-C428)*Beitrag*Zahlweise*(C428&lt;BZDauer)</f>
        <v>0</v>
      </c>
      <c r="V428" s="10">
        <f t="shared" si="79"/>
        <v>0</v>
      </c>
    </row>
    <row r="429" spans="1:22" x14ac:dyDescent="0.45">
      <c r="A429" s="15">
        <f t="shared" si="80"/>
        <v>49310</v>
      </c>
      <c r="B429">
        <f t="shared" si="70"/>
        <v>420</v>
      </c>
      <c r="C429">
        <f t="shared" si="75"/>
        <v>35</v>
      </c>
      <c r="D429">
        <f t="shared" si="71"/>
        <v>0</v>
      </c>
      <c r="E429">
        <f t="shared" si="72"/>
        <v>1</v>
      </c>
      <c r="F429" s="10">
        <f t="shared" si="73"/>
        <v>0</v>
      </c>
      <c r="G429" s="10" cm="1">
        <f t="array" ref="G429">ROUND(getParm(Tarifart,"alpha")/(2*Zahlweise)*BeiSum*(C429&lt;2)*E429,2)</f>
        <v>0</v>
      </c>
      <c r="H429" s="10" cm="1">
        <f t="array" ref="H429">ROUND(F429*getParm(Tarifart,"beta")*E429,2)</f>
        <v>0</v>
      </c>
      <c r="I429" s="10" cm="1">
        <f t="array" ref="I429">ROUND(F429*get_Üb(YEAR(A429),$I$8)*E429,2)</f>
        <v>0</v>
      </c>
      <c r="J429" s="10">
        <f t="shared" si="76"/>
        <v>0</v>
      </c>
      <c r="K429" s="10">
        <f t="shared" si="77"/>
        <v>0</v>
      </c>
      <c r="L429" s="10" cm="1">
        <f t="array" ref="L429">ROUND(1/12*MAX(MTSum-R429-K429,MRSum)*Act_qx(x+C429,Geschlecht,getParm(Tarifart,"Tafel"),YEAR(GebDat),x+Dauer,1),2)</f>
        <v>106.39</v>
      </c>
      <c r="M429" s="10" cm="1">
        <f t="array" ref="M429">ROUND(L429*get_Üb(YEAR(A429),$M$8),2)</f>
        <v>5.32</v>
      </c>
      <c r="N429" s="10" cm="1">
        <f t="array" ref="N429">ROUND(R429*getParm(Tarifart,IF(C429&lt;BZDauer,"gamma1","gamma2")),2)</f>
        <v>0</v>
      </c>
      <c r="O429" s="10" cm="1">
        <f t="array" ref="O429">ROUND(R429*get_Üb(YEAR(A429),$O$8),2)</f>
        <v>0</v>
      </c>
      <c r="P429" s="19">
        <f t="shared" si="78"/>
        <v>0</v>
      </c>
      <c r="Q429" s="19" cm="1">
        <f t="array" ref="Q429">ROUND(P429+1/getKurs(EDATE(A429,-1))*(K429-L429-N429-getParm(Tarifart,"StK")+M429+O429),10)*(C429&lt;Dauer)</f>
        <v>0</v>
      </c>
      <c r="R429" s="10" cm="1">
        <f t="array" ref="R429">ROUND(P429*getKurs($A429),2)</f>
        <v>0</v>
      </c>
      <c r="S429" s="10" cm="1">
        <f t="array" ref="S429">ROUND(Q429*getKurs($A429),2)</f>
        <v>0</v>
      </c>
      <c r="T429" s="10">
        <f t="shared" si="74"/>
        <v>43200</v>
      </c>
      <c r="U429" s="10" cm="1">
        <f t="array" ref="U429">getParm(Tarifart,"StoSatz")*(Dauer-C429)*Beitrag*Zahlweise*(C429&lt;BZDauer)</f>
        <v>0</v>
      </c>
      <c r="V429" s="10">
        <f t="shared" si="79"/>
        <v>0</v>
      </c>
    </row>
    <row r="430" spans="1:22" x14ac:dyDescent="0.45">
      <c r="A430" s="15">
        <f t="shared" si="80"/>
        <v>49341</v>
      </c>
      <c r="B430">
        <f t="shared" si="70"/>
        <v>421</v>
      </c>
      <c r="C430">
        <f t="shared" si="75"/>
        <v>35</v>
      </c>
      <c r="D430">
        <f t="shared" si="71"/>
        <v>1</v>
      </c>
      <c r="E430">
        <f t="shared" si="72"/>
        <v>1</v>
      </c>
      <c r="F430" s="10">
        <f t="shared" si="73"/>
        <v>0</v>
      </c>
      <c r="G430" s="10" cm="1">
        <f t="array" ref="G430">ROUND(getParm(Tarifart,"alpha")/(2*Zahlweise)*BeiSum*(C430&lt;2)*E430,2)</f>
        <v>0</v>
      </c>
      <c r="H430" s="10" cm="1">
        <f t="array" ref="H430">ROUND(F430*getParm(Tarifart,"beta")*E430,2)</f>
        <v>0</v>
      </c>
      <c r="I430" s="10" cm="1">
        <f t="array" ref="I430">ROUND(F430*get_Üb(YEAR(A430),$I$8)*E430,2)</f>
        <v>0</v>
      </c>
      <c r="J430" s="10">
        <f t="shared" si="76"/>
        <v>0</v>
      </c>
      <c r="K430" s="10">
        <f t="shared" si="77"/>
        <v>0</v>
      </c>
      <c r="L430" s="10" cm="1">
        <f t="array" ref="L430">ROUND(1/12*MAX(MTSum-R430-K430,MRSum)*Act_qx(x+C430,Geschlecht,getParm(Tarifart,"Tafel"),YEAR(GebDat),x+Dauer,1),2)</f>
        <v>106.39</v>
      </c>
      <c r="M430" s="10" cm="1">
        <f t="array" ref="M430">ROUND(L430*get_Üb(YEAR(A430),$M$8),2)</f>
        <v>5.32</v>
      </c>
      <c r="N430" s="10" cm="1">
        <f t="array" ref="N430">ROUND(R430*getParm(Tarifart,IF(C430&lt;BZDauer,"gamma1","gamma2")),2)</f>
        <v>0</v>
      </c>
      <c r="O430" s="10" cm="1">
        <f t="array" ref="O430">ROUND(R430*get_Üb(YEAR(A430),$O$8),2)</f>
        <v>0</v>
      </c>
      <c r="P430" s="19">
        <f t="shared" si="78"/>
        <v>0</v>
      </c>
      <c r="Q430" s="19" cm="1">
        <f t="array" ref="Q430">ROUND(P430+1/getKurs(EDATE(A430,-1))*(K430-L430-N430-getParm(Tarifart,"StK")+M430+O430),10)*(C430&lt;Dauer)</f>
        <v>0</v>
      </c>
      <c r="R430" s="10" cm="1">
        <f t="array" ref="R430">ROUND(P430*getKurs($A430),2)</f>
        <v>0</v>
      </c>
      <c r="S430" s="10" cm="1">
        <f t="array" ref="S430">ROUND(Q430*getKurs($A430),2)</f>
        <v>0</v>
      </c>
      <c r="T430" s="10">
        <f t="shared" si="74"/>
        <v>43200</v>
      </c>
      <c r="U430" s="10" cm="1">
        <f t="array" ref="U430">getParm(Tarifart,"StoSatz")*(Dauer-C430)*Beitrag*Zahlweise*(C430&lt;BZDauer)</f>
        <v>0</v>
      </c>
      <c r="V430" s="10">
        <f t="shared" si="79"/>
        <v>0</v>
      </c>
    </row>
    <row r="431" spans="1:22" x14ac:dyDescent="0.45">
      <c r="A431" s="15">
        <f t="shared" si="80"/>
        <v>49369</v>
      </c>
      <c r="B431">
        <f t="shared" si="70"/>
        <v>422</v>
      </c>
      <c r="C431">
        <f t="shared" si="75"/>
        <v>35</v>
      </c>
      <c r="D431">
        <f t="shared" si="71"/>
        <v>2</v>
      </c>
      <c r="E431">
        <f t="shared" si="72"/>
        <v>1</v>
      </c>
      <c r="F431" s="10">
        <f t="shared" si="73"/>
        <v>0</v>
      </c>
      <c r="G431" s="10" cm="1">
        <f t="array" ref="G431">ROUND(getParm(Tarifart,"alpha")/(2*Zahlweise)*BeiSum*(C431&lt;2)*E431,2)</f>
        <v>0</v>
      </c>
      <c r="H431" s="10" cm="1">
        <f t="array" ref="H431">ROUND(F431*getParm(Tarifart,"beta")*E431,2)</f>
        <v>0</v>
      </c>
      <c r="I431" s="10" cm="1">
        <f t="array" ref="I431">ROUND(F431*get_Üb(YEAR(A431),$I$8)*E431,2)</f>
        <v>0</v>
      </c>
      <c r="J431" s="10">
        <f t="shared" si="76"/>
        <v>0</v>
      </c>
      <c r="K431" s="10">
        <f t="shared" si="77"/>
        <v>0</v>
      </c>
      <c r="L431" s="10" cm="1">
        <f t="array" ref="L431">ROUND(1/12*MAX(MTSum-R431-K431,MRSum)*Act_qx(x+C431,Geschlecht,getParm(Tarifart,"Tafel"),YEAR(GebDat),x+Dauer,1),2)</f>
        <v>106.39</v>
      </c>
      <c r="M431" s="10" cm="1">
        <f t="array" ref="M431">ROUND(L431*get_Üb(YEAR(A431),$M$8),2)</f>
        <v>5.32</v>
      </c>
      <c r="N431" s="10" cm="1">
        <f t="array" ref="N431">ROUND(R431*getParm(Tarifart,IF(C431&lt;BZDauer,"gamma1","gamma2")),2)</f>
        <v>0</v>
      </c>
      <c r="O431" s="10" cm="1">
        <f t="array" ref="O431">ROUND(R431*get_Üb(YEAR(A431),$O$8),2)</f>
        <v>0</v>
      </c>
      <c r="P431" s="19">
        <f t="shared" si="78"/>
        <v>0</v>
      </c>
      <c r="Q431" s="19" cm="1">
        <f t="array" ref="Q431">ROUND(P431+1/getKurs(EDATE(A431,-1))*(K431-L431-N431-getParm(Tarifart,"StK")+M431+O431),10)*(C431&lt;Dauer)</f>
        <v>0</v>
      </c>
      <c r="R431" s="10" cm="1">
        <f t="array" ref="R431">ROUND(P431*getKurs($A431),2)</f>
        <v>0</v>
      </c>
      <c r="S431" s="10" cm="1">
        <f t="array" ref="S431">ROUND(Q431*getKurs($A431),2)</f>
        <v>0</v>
      </c>
      <c r="T431" s="10">
        <f t="shared" si="74"/>
        <v>43200</v>
      </c>
      <c r="U431" s="10" cm="1">
        <f t="array" ref="U431">getParm(Tarifart,"StoSatz")*(Dauer-C431)*Beitrag*Zahlweise*(C431&lt;BZDauer)</f>
        <v>0</v>
      </c>
      <c r="V431" s="10">
        <f t="shared" si="79"/>
        <v>0</v>
      </c>
    </row>
    <row r="432" spans="1:22" x14ac:dyDescent="0.45">
      <c r="A432" s="15">
        <f t="shared" si="80"/>
        <v>49400</v>
      </c>
      <c r="B432">
        <f t="shared" si="70"/>
        <v>423</v>
      </c>
      <c r="C432">
        <f t="shared" si="75"/>
        <v>35</v>
      </c>
      <c r="D432">
        <f t="shared" si="71"/>
        <v>3</v>
      </c>
      <c r="E432">
        <f t="shared" si="72"/>
        <v>1</v>
      </c>
      <c r="F432" s="10">
        <f t="shared" si="73"/>
        <v>0</v>
      </c>
      <c r="G432" s="10" cm="1">
        <f t="array" ref="G432">ROUND(getParm(Tarifart,"alpha")/(2*Zahlweise)*BeiSum*(C432&lt;2)*E432,2)</f>
        <v>0</v>
      </c>
      <c r="H432" s="10" cm="1">
        <f t="array" ref="H432">ROUND(F432*getParm(Tarifart,"beta")*E432,2)</f>
        <v>0</v>
      </c>
      <c r="I432" s="10" cm="1">
        <f t="array" ref="I432">ROUND(F432*get_Üb(YEAR(A432),$I$8)*E432,2)</f>
        <v>0</v>
      </c>
      <c r="J432" s="10">
        <f t="shared" si="76"/>
        <v>0</v>
      </c>
      <c r="K432" s="10">
        <f t="shared" si="77"/>
        <v>0</v>
      </c>
      <c r="L432" s="10" cm="1">
        <f t="array" ref="L432">ROUND(1/12*MAX(MTSum-R432-K432,MRSum)*Act_qx(x+C432,Geschlecht,getParm(Tarifart,"Tafel"),YEAR(GebDat),x+Dauer,1),2)</f>
        <v>106.39</v>
      </c>
      <c r="M432" s="10" cm="1">
        <f t="array" ref="M432">ROUND(L432*get_Üb(YEAR(A432),$M$8),2)</f>
        <v>5.32</v>
      </c>
      <c r="N432" s="10" cm="1">
        <f t="array" ref="N432">ROUND(R432*getParm(Tarifart,IF(C432&lt;BZDauer,"gamma1","gamma2")),2)</f>
        <v>0</v>
      </c>
      <c r="O432" s="10" cm="1">
        <f t="array" ref="O432">ROUND(R432*get_Üb(YEAR(A432),$O$8),2)</f>
        <v>0</v>
      </c>
      <c r="P432" s="19">
        <f t="shared" si="78"/>
        <v>0</v>
      </c>
      <c r="Q432" s="19" cm="1">
        <f t="array" ref="Q432">ROUND(P432+1/getKurs(EDATE(A432,-1))*(K432-L432-N432-getParm(Tarifart,"StK")+M432+O432),10)*(C432&lt;Dauer)</f>
        <v>0</v>
      </c>
      <c r="R432" s="10" cm="1">
        <f t="array" ref="R432">ROUND(P432*getKurs($A432),2)</f>
        <v>0</v>
      </c>
      <c r="S432" s="10" cm="1">
        <f t="array" ref="S432">ROUND(Q432*getKurs($A432),2)</f>
        <v>0</v>
      </c>
      <c r="T432" s="10">
        <f t="shared" si="74"/>
        <v>43200</v>
      </c>
      <c r="U432" s="10" cm="1">
        <f t="array" ref="U432">getParm(Tarifart,"StoSatz")*(Dauer-C432)*Beitrag*Zahlweise*(C432&lt;BZDauer)</f>
        <v>0</v>
      </c>
      <c r="V432" s="10">
        <f t="shared" si="79"/>
        <v>0</v>
      </c>
    </row>
    <row r="433" spans="1:22" x14ac:dyDescent="0.45">
      <c r="A433" s="15">
        <f t="shared" si="80"/>
        <v>49430</v>
      </c>
      <c r="B433">
        <f t="shared" si="70"/>
        <v>424</v>
      </c>
      <c r="C433">
        <f t="shared" si="75"/>
        <v>35</v>
      </c>
      <c r="D433">
        <f t="shared" si="71"/>
        <v>4</v>
      </c>
      <c r="E433">
        <f t="shared" si="72"/>
        <v>1</v>
      </c>
      <c r="F433" s="10">
        <f t="shared" si="73"/>
        <v>0</v>
      </c>
      <c r="G433" s="10" cm="1">
        <f t="array" ref="G433">ROUND(getParm(Tarifart,"alpha")/(2*Zahlweise)*BeiSum*(C433&lt;2)*E433,2)</f>
        <v>0</v>
      </c>
      <c r="H433" s="10" cm="1">
        <f t="array" ref="H433">ROUND(F433*getParm(Tarifart,"beta")*E433,2)</f>
        <v>0</v>
      </c>
      <c r="I433" s="10" cm="1">
        <f t="array" ref="I433">ROUND(F433*get_Üb(YEAR(A433),$I$8)*E433,2)</f>
        <v>0</v>
      </c>
      <c r="J433" s="10">
        <f t="shared" si="76"/>
        <v>0</v>
      </c>
      <c r="K433" s="10">
        <f t="shared" si="77"/>
        <v>0</v>
      </c>
      <c r="L433" s="10" cm="1">
        <f t="array" ref="L433">ROUND(1/12*MAX(MTSum-R433-K433,MRSum)*Act_qx(x+C433,Geschlecht,getParm(Tarifart,"Tafel"),YEAR(GebDat),x+Dauer,1),2)</f>
        <v>106.39</v>
      </c>
      <c r="M433" s="10" cm="1">
        <f t="array" ref="M433">ROUND(L433*get_Üb(YEAR(A433),$M$8),2)</f>
        <v>5.32</v>
      </c>
      <c r="N433" s="10" cm="1">
        <f t="array" ref="N433">ROUND(R433*getParm(Tarifart,IF(C433&lt;BZDauer,"gamma1","gamma2")),2)</f>
        <v>0</v>
      </c>
      <c r="O433" s="10" cm="1">
        <f t="array" ref="O433">ROUND(R433*get_Üb(YEAR(A433),$O$8),2)</f>
        <v>0</v>
      </c>
      <c r="P433" s="19">
        <f t="shared" si="78"/>
        <v>0</v>
      </c>
      <c r="Q433" s="19" cm="1">
        <f t="array" ref="Q433">ROUND(P433+1/getKurs(EDATE(A433,-1))*(K433-L433-N433-getParm(Tarifart,"StK")+M433+O433),10)*(C433&lt;Dauer)</f>
        <v>0</v>
      </c>
      <c r="R433" s="10" cm="1">
        <f t="array" ref="R433">ROUND(P433*getKurs($A433),2)</f>
        <v>0</v>
      </c>
      <c r="S433" s="10" cm="1">
        <f t="array" ref="S433">ROUND(Q433*getKurs($A433),2)</f>
        <v>0</v>
      </c>
      <c r="T433" s="10">
        <f t="shared" si="74"/>
        <v>43200</v>
      </c>
      <c r="U433" s="10" cm="1">
        <f t="array" ref="U433">getParm(Tarifart,"StoSatz")*(Dauer-C433)*Beitrag*Zahlweise*(C433&lt;BZDauer)</f>
        <v>0</v>
      </c>
      <c r="V433" s="10">
        <f t="shared" si="79"/>
        <v>0</v>
      </c>
    </row>
    <row r="434" spans="1:22" x14ac:dyDescent="0.45">
      <c r="A434" s="15">
        <f t="shared" si="80"/>
        <v>49461</v>
      </c>
      <c r="B434">
        <f t="shared" si="70"/>
        <v>425</v>
      </c>
      <c r="C434">
        <f t="shared" si="75"/>
        <v>35</v>
      </c>
      <c r="D434">
        <f t="shared" si="71"/>
        <v>5</v>
      </c>
      <c r="E434">
        <f t="shared" si="72"/>
        <v>1</v>
      </c>
      <c r="F434" s="10">
        <f t="shared" si="73"/>
        <v>0</v>
      </c>
      <c r="G434" s="10" cm="1">
        <f t="array" ref="G434">ROUND(getParm(Tarifart,"alpha")/(2*Zahlweise)*BeiSum*(C434&lt;2)*E434,2)</f>
        <v>0</v>
      </c>
      <c r="H434" s="10" cm="1">
        <f t="array" ref="H434">ROUND(F434*getParm(Tarifart,"beta")*E434,2)</f>
        <v>0</v>
      </c>
      <c r="I434" s="10" cm="1">
        <f t="array" ref="I434">ROUND(F434*get_Üb(YEAR(A434),$I$8)*E434,2)</f>
        <v>0</v>
      </c>
      <c r="J434" s="10">
        <f t="shared" si="76"/>
        <v>0</v>
      </c>
      <c r="K434" s="10">
        <f t="shared" si="77"/>
        <v>0</v>
      </c>
      <c r="L434" s="10" cm="1">
        <f t="array" ref="L434">ROUND(1/12*MAX(MTSum-R434-K434,MRSum)*Act_qx(x+C434,Geschlecht,getParm(Tarifart,"Tafel"),YEAR(GebDat),x+Dauer,1),2)</f>
        <v>106.39</v>
      </c>
      <c r="M434" s="10" cm="1">
        <f t="array" ref="M434">ROUND(L434*get_Üb(YEAR(A434),$M$8),2)</f>
        <v>5.32</v>
      </c>
      <c r="N434" s="10" cm="1">
        <f t="array" ref="N434">ROUND(R434*getParm(Tarifart,IF(C434&lt;BZDauer,"gamma1","gamma2")),2)</f>
        <v>0</v>
      </c>
      <c r="O434" s="10" cm="1">
        <f t="array" ref="O434">ROUND(R434*get_Üb(YEAR(A434),$O$8),2)</f>
        <v>0</v>
      </c>
      <c r="P434" s="19">
        <f t="shared" si="78"/>
        <v>0</v>
      </c>
      <c r="Q434" s="19" cm="1">
        <f t="array" ref="Q434">ROUND(P434+1/getKurs(EDATE(A434,-1))*(K434-L434-N434-getParm(Tarifart,"StK")+M434+O434),10)*(C434&lt;Dauer)</f>
        <v>0</v>
      </c>
      <c r="R434" s="10" cm="1">
        <f t="array" ref="R434">ROUND(P434*getKurs($A434),2)</f>
        <v>0</v>
      </c>
      <c r="S434" s="10" cm="1">
        <f t="array" ref="S434">ROUND(Q434*getKurs($A434),2)</f>
        <v>0</v>
      </c>
      <c r="T434" s="10">
        <f t="shared" si="74"/>
        <v>43200</v>
      </c>
      <c r="U434" s="10" cm="1">
        <f t="array" ref="U434">getParm(Tarifart,"StoSatz")*(Dauer-C434)*Beitrag*Zahlweise*(C434&lt;BZDauer)</f>
        <v>0</v>
      </c>
      <c r="V434" s="10">
        <f t="shared" si="79"/>
        <v>0</v>
      </c>
    </row>
    <row r="435" spans="1:22" x14ac:dyDescent="0.45">
      <c r="A435" s="15">
        <f t="shared" si="80"/>
        <v>49491</v>
      </c>
      <c r="B435">
        <f t="shared" si="70"/>
        <v>426</v>
      </c>
      <c r="C435">
        <f t="shared" si="75"/>
        <v>35</v>
      </c>
      <c r="D435">
        <f t="shared" si="71"/>
        <v>6</v>
      </c>
      <c r="E435">
        <f t="shared" si="72"/>
        <v>1</v>
      </c>
      <c r="F435" s="10">
        <f t="shared" si="73"/>
        <v>0</v>
      </c>
      <c r="G435" s="10" cm="1">
        <f t="array" ref="G435">ROUND(getParm(Tarifart,"alpha")/(2*Zahlweise)*BeiSum*(C435&lt;2)*E435,2)</f>
        <v>0</v>
      </c>
      <c r="H435" s="10" cm="1">
        <f t="array" ref="H435">ROUND(F435*getParm(Tarifart,"beta")*E435,2)</f>
        <v>0</v>
      </c>
      <c r="I435" s="10" cm="1">
        <f t="array" ref="I435">ROUND(F435*get_Üb(YEAR(A435),$I$8)*E435,2)</f>
        <v>0</v>
      </c>
      <c r="J435" s="10">
        <f t="shared" si="76"/>
        <v>0</v>
      </c>
      <c r="K435" s="10">
        <f t="shared" si="77"/>
        <v>0</v>
      </c>
      <c r="L435" s="10" cm="1">
        <f t="array" ref="L435">ROUND(1/12*MAX(MTSum-R435-K435,MRSum)*Act_qx(x+C435,Geschlecht,getParm(Tarifart,"Tafel"),YEAR(GebDat),x+Dauer,1),2)</f>
        <v>106.39</v>
      </c>
      <c r="M435" s="10" cm="1">
        <f t="array" ref="M435">ROUND(L435*get_Üb(YEAR(A435),$M$8),2)</f>
        <v>5.32</v>
      </c>
      <c r="N435" s="10" cm="1">
        <f t="array" ref="N435">ROUND(R435*getParm(Tarifart,IF(C435&lt;BZDauer,"gamma1","gamma2")),2)</f>
        <v>0</v>
      </c>
      <c r="O435" s="10" cm="1">
        <f t="array" ref="O435">ROUND(R435*get_Üb(YEAR(A435),$O$8),2)</f>
        <v>0</v>
      </c>
      <c r="P435" s="19">
        <f t="shared" si="78"/>
        <v>0</v>
      </c>
      <c r="Q435" s="19" cm="1">
        <f t="array" ref="Q435">ROUND(P435+1/getKurs(EDATE(A435,-1))*(K435-L435-N435-getParm(Tarifart,"StK")+M435+O435),10)*(C435&lt;Dauer)</f>
        <v>0</v>
      </c>
      <c r="R435" s="10" cm="1">
        <f t="array" ref="R435">ROUND(P435*getKurs($A435),2)</f>
        <v>0</v>
      </c>
      <c r="S435" s="10" cm="1">
        <f t="array" ref="S435">ROUND(Q435*getKurs($A435),2)</f>
        <v>0</v>
      </c>
      <c r="T435" s="10">
        <f t="shared" si="74"/>
        <v>43200</v>
      </c>
      <c r="U435" s="10" cm="1">
        <f t="array" ref="U435">getParm(Tarifart,"StoSatz")*(Dauer-C435)*Beitrag*Zahlweise*(C435&lt;BZDauer)</f>
        <v>0</v>
      </c>
      <c r="V435" s="10">
        <f t="shared" si="79"/>
        <v>0</v>
      </c>
    </row>
    <row r="436" spans="1:22" x14ac:dyDescent="0.45">
      <c r="A436" s="15">
        <f t="shared" si="80"/>
        <v>49522</v>
      </c>
      <c r="B436">
        <f t="shared" si="70"/>
        <v>427</v>
      </c>
      <c r="C436">
        <f t="shared" si="75"/>
        <v>35</v>
      </c>
      <c r="D436">
        <f t="shared" si="71"/>
        <v>7</v>
      </c>
      <c r="E436">
        <f t="shared" si="72"/>
        <v>1</v>
      </c>
      <c r="F436" s="10">
        <f t="shared" si="73"/>
        <v>0</v>
      </c>
      <c r="G436" s="10" cm="1">
        <f t="array" ref="G436">ROUND(getParm(Tarifart,"alpha")/(2*Zahlweise)*BeiSum*(C436&lt;2)*E436,2)</f>
        <v>0</v>
      </c>
      <c r="H436" s="10" cm="1">
        <f t="array" ref="H436">ROUND(F436*getParm(Tarifart,"beta")*E436,2)</f>
        <v>0</v>
      </c>
      <c r="I436" s="10" cm="1">
        <f t="array" ref="I436">ROUND(F436*get_Üb(YEAR(A436),$I$8)*E436,2)</f>
        <v>0</v>
      </c>
      <c r="J436" s="10">
        <f t="shared" si="76"/>
        <v>0</v>
      </c>
      <c r="K436" s="10">
        <f t="shared" si="77"/>
        <v>0</v>
      </c>
      <c r="L436" s="10" cm="1">
        <f t="array" ref="L436">ROUND(1/12*MAX(MTSum-R436-K436,MRSum)*Act_qx(x+C436,Geschlecht,getParm(Tarifart,"Tafel"),YEAR(GebDat),x+Dauer,1),2)</f>
        <v>106.39</v>
      </c>
      <c r="M436" s="10" cm="1">
        <f t="array" ref="M436">ROUND(L436*get_Üb(YEAR(A436),$M$8),2)</f>
        <v>5.32</v>
      </c>
      <c r="N436" s="10" cm="1">
        <f t="array" ref="N436">ROUND(R436*getParm(Tarifart,IF(C436&lt;BZDauer,"gamma1","gamma2")),2)</f>
        <v>0</v>
      </c>
      <c r="O436" s="10" cm="1">
        <f t="array" ref="O436">ROUND(R436*get_Üb(YEAR(A436),$O$8),2)</f>
        <v>0</v>
      </c>
      <c r="P436" s="19">
        <f t="shared" si="78"/>
        <v>0</v>
      </c>
      <c r="Q436" s="19" cm="1">
        <f t="array" ref="Q436">ROUND(P436+1/getKurs(EDATE(A436,-1))*(K436-L436-N436-getParm(Tarifart,"StK")+M436+O436),10)*(C436&lt;Dauer)</f>
        <v>0</v>
      </c>
      <c r="R436" s="10" cm="1">
        <f t="array" ref="R436">ROUND(P436*getKurs($A436),2)</f>
        <v>0</v>
      </c>
      <c r="S436" s="10" cm="1">
        <f t="array" ref="S436">ROUND(Q436*getKurs($A436),2)</f>
        <v>0</v>
      </c>
      <c r="T436" s="10">
        <f t="shared" si="74"/>
        <v>43200</v>
      </c>
      <c r="U436" s="10" cm="1">
        <f t="array" ref="U436">getParm(Tarifart,"StoSatz")*(Dauer-C436)*Beitrag*Zahlweise*(C436&lt;BZDauer)</f>
        <v>0</v>
      </c>
      <c r="V436" s="10">
        <f t="shared" si="79"/>
        <v>0</v>
      </c>
    </row>
    <row r="437" spans="1:22" x14ac:dyDescent="0.45">
      <c r="A437" s="15">
        <f t="shared" si="80"/>
        <v>49553</v>
      </c>
      <c r="B437">
        <f t="shared" si="70"/>
        <v>428</v>
      </c>
      <c r="C437">
        <f t="shared" si="75"/>
        <v>35</v>
      </c>
      <c r="D437">
        <f t="shared" si="71"/>
        <v>8</v>
      </c>
      <c r="E437">
        <f t="shared" si="72"/>
        <v>1</v>
      </c>
      <c r="F437" s="10">
        <f t="shared" si="73"/>
        <v>0</v>
      </c>
      <c r="G437" s="10" cm="1">
        <f t="array" ref="G437">ROUND(getParm(Tarifart,"alpha")/(2*Zahlweise)*BeiSum*(C437&lt;2)*E437,2)</f>
        <v>0</v>
      </c>
      <c r="H437" s="10" cm="1">
        <f t="array" ref="H437">ROUND(F437*getParm(Tarifart,"beta")*E437,2)</f>
        <v>0</v>
      </c>
      <c r="I437" s="10" cm="1">
        <f t="array" ref="I437">ROUND(F437*get_Üb(YEAR(A437),$I$8)*E437,2)</f>
        <v>0</v>
      </c>
      <c r="J437" s="10">
        <f t="shared" si="76"/>
        <v>0</v>
      </c>
      <c r="K437" s="10">
        <f t="shared" si="77"/>
        <v>0</v>
      </c>
      <c r="L437" s="10" cm="1">
        <f t="array" ref="L437">ROUND(1/12*MAX(MTSum-R437-K437,MRSum)*Act_qx(x+C437,Geschlecht,getParm(Tarifart,"Tafel"),YEAR(GebDat),x+Dauer,1),2)</f>
        <v>106.39</v>
      </c>
      <c r="M437" s="10" cm="1">
        <f t="array" ref="M437">ROUND(L437*get_Üb(YEAR(A437),$M$8),2)</f>
        <v>5.32</v>
      </c>
      <c r="N437" s="10" cm="1">
        <f t="array" ref="N437">ROUND(R437*getParm(Tarifart,IF(C437&lt;BZDauer,"gamma1","gamma2")),2)</f>
        <v>0</v>
      </c>
      <c r="O437" s="10" cm="1">
        <f t="array" ref="O437">ROUND(R437*get_Üb(YEAR(A437),$O$8),2)</f>
        <v>0</v>
      </c>
      <c r="P437" s="19">
        <f t="shared" si="78"/>
        <v>0</v>
      </c>
      <c r="Q437" s="19" cm="1">
        <f t="array" ref="Q437">ROUND(P437+1/getKurs(EDATE(A437,-1))*(K437-L437-N437-getParm(Tarifart,"StK")+M437+O437),10)*(C437&lt;Dauer)</f>
        <v>0</v>
      </c>
      <c r="R437" s="10" cm="1">
        <f t="array" ref="R437">ROUND(P437*getKurs($A437),2)</f>
        <v>0</v>
      </c>
      <c r="S437" s="10" cm="1">
        <f t="array" ref="S437">ROUND(Q437*getKurs($A437),2)</f>
        <v>0</v>
      </c>
      <c r="T437" s="10">
        <f t="shared" si="74"/>
        <v>43200</v>
      </c>
      <c r="U437" s="10" cm="1">
        <f t="array" ref="U437">getParm(Tarifart,"StoSatz")*(Dauer-C437)*Beitrag*Zahlweise*(C437&lt;BZDauer)</f>
        <v>0</v>
      </c>
      <c r="V437" s="10">
        <f t="shared" si="79"/>
        <v>0</v>
      </c>
    </row>
    <row r="438" spans="1:22" x14ac:dyDescent="0.45">
      <c r="A438" s="15">
        <f t="shared" si="80"/>
        <v>49583</v>
      </c>
      <c r="B438">
        <f t="shared" si="70"/>
        <v>429</v>
      </c>
      <c r="C438">
        <f t="shared" si="75"/>
        <v>35</v>
      </c>
      <c r="D438">
        <f t="shared" si="71"/>
        <v>9</v>
      </c>
      <c r="E438">
        <f t="shared" si="72"/>
        <v>1</v>
      </c>
      <c r="F438" s="10">
        <f t="shared" si="73"/>
        <v>0</v>
      </c>
      <c r="G438" s="10" cm="1">
        <f t="array" ref="G438">ROUND(getParm(Tarifart,"alpha")/(2*Zahlweise)*BeiSum*(C438&lt;2)*E438,2)</f>
        <v>0</v>
      </c>
      <c r="H438" s="10" cm="1">
        <f t="array" ref="H438">ROUND(F438*getParm(Tarifart,"beta")*E438,2)</f>
        <v>0</v>
      </c>
      <c r="I438" s="10" cm="1">
        <f t="array" ref="I438">ROUND(F438*get_Üb(YEAR(A438),$I$8)*E438,2)</f>
        <v>0</v>
      </c>
      <c r="J438" s="10">
        <f t="shared" si="76"/>
        <v>0</v>
      </c>
      <c r="K438" s="10">
        <f t="shared" si="77"/>
        <v>0</v>
      </c>
      <c r="L438" s="10" cm="1">
        <f t="array" ref="L438">ROUND(1/12*MAX(MTSum-R438-K438,MRSum)*Act_qx(x+C438,Geschlecht,getParm(Tarifart,"Tafel"),YEAR(GebDat),x+Dauer,1),2)</f>
        <v>106.39</v>
      </c>
      <c r="M438" s="10" cm="1">
        <f t="array" ref="M438">ROUND(L438*get_Üb(YEAR(A438),$M$8),2)</f>
        <v>5.32</v>
      </c>
      <c r="N438" s="10" cm="1">
        <f t="array" ref="N438">ROUND(R438*getParm(Tarifart,IF(C438&lt;BZDauer,"gamma1","gamma2")),2)</f>
        <v>0</v>
      </c>
      <c r="O438" s="10" cm="1">
        <f t="array" ref="O438">ROUND(R438*get_Üb(YEAR(A438),$O$8),2)</f>
        <v>0</v>
      </c>
      <c r="P438" s="19">
        <f t="shared" si="78"/>
        <v>0</v>
      </c>
      <c r="Q438" s="19" cm="1">
        <f t="array" ref="Q438">ROUND(P438+1/getKurs(EDATE(A438,-1))*(K438-L438-N438-getParm(Tarifart,"StK")+M438+O438),10)*(C438&lt;Dauer)</f>
        <v>0</v>
      </c>
      <c r="R438" s="10" cm="1">
        <f t="array" ref="R438">ROUND(P438*getKurs($A438),2)</f>
        <v>0</v>
      </c>
      <c r="S438" s="10" cm="1">
        <f t="array" ref="S438">ROUND(Q438*getKurs($A438),2)</f>
        <v>0</v>
      </c>
      <c r="T438" s="10">
        <f t="shared" si="74"/>
        <v>43200</v>
      </c>
      <c r="U438" s="10" cm="1">
        <f t="array" ref="U438">getParm(Tarifart,"StoSatz")*(Dauer-C438)*Beitrag*Zahlweise*(C438&lt;BZDauer)</f>
        <v>0</v>
      </c>
      <c r="V438" s="10">
        <f t="shared" si="79"/>
        <v>0</v>
      </c>
    </row>
    <row r="439" spans="1:22" x14ac:dyDescent="0.45">
      <c r="A439" s="15">
        <f t="shared" si="80"/>
        <v>49614</v>
      </c>
      <c r="B439">
        <f t="shared" si="70"/>
        <v>430</v>
      </c>
      <c r="C439">
        <f t="shared" si="75"/>
        <v>35</v>
      </c>
      <c r="D439">
        <f t="shared" si="71"/>
        <v>10</v>
      </c>
      <c r="E439">
        <f t="shared" si="72"/>
        <v>1</v>
      </c>
      <c r="F439" s="10">
        <f t="shared" si="73"/>
        <v>0</v>
      </c>
      <c r="G439" s="10" cm="1">
        <f t="array" ref="G439">ROUND(getParm(Tarifart,"alpha")/(2*Zahlweise)*BeiSum*(C439&lt;2)*E439,2)</f>
        <v>0</v>
      </c>
      <c r="H439" s="10" cm="1">
        <f t="array" ref="H439">ROUND(F439*getParm(Tarifart,"beta")*E439,2)</f>
        <v>0</v>
      </c>
      <c r="I439" s="10" cm="1">
        <f t="array" ref="I439">ROUND(F439*get_Üb(YEAR(A439),$I$8)*E439,2)</f>
        <v>0</v>
      </c>
      <c r="J439" s="10">
        <f t="shared" si="76"/>
        <v>0</v>
      </c>
      <c r="K439" s="10">
        <f t="shared" si="77"/>
        <v>0</v>
      </c>
      <c r="L439" s="10" cm="1">
        <f t="array" ref="L439">ROUND(1/12*MAX(MTSum-R439-K439,MRSum)*Act_qx(x+C439,Geschlecht,getParm(Tarifart,"Tafel"),YEAR(GebDat),x+Dauer,1),2)</f>
        <v>106.39</v>
      </c>
      <c r="M439" s="10" cm="1">
        <f t="array" ref="M439">ROUND(L439*get_Üb(YEAR(A439),$M$8),2)</f>
        <v>5.32</v>
      </c>
      <c r="N439" s="10" cm="1">
        <f t="array" ref="N439">ROUND(R439*getParm(Tarifart,IF(C439&lt;BZDauer,"gamma1","gamma2")),2)</f>
        <v>0</v>
      </c>
      <c r="O439" s="10" cm="1">
        <f t="array" ref="O439">ROUND(R439*get_Üb(YEAR(A439),$O$8),2)</f>
        <v>0</v>
      </c>
      <c r="P439" s="19">
        <f t="shared" si="78"/>
        <v>0</v>
      </c>
      <c r="Q439" s="19" cm="1">
        <f t="array" ref="Q439">ROUND(P439+1/getKurs(EDATE(A439,-1))*(K439-L439-N439-getParm(Tarifart,"StK")+M439+O439),10)*(C439&lt;Dauer)</f>
        <v>0</v>
      </c>
      <c r="R439" s="10" cm="1">
        <f t="array" ref="R439">ROUND(P439*getKurs($A439),2)</f>
        <v>0</v>
      </c>
      <c r="S439" s="10" cm="1">
        <f t="array" ref="S439">ROUND(Q439*getKurs($A439),2)</f>
        <v>0</v>
      </c>
      <c r="T439" s="10">
        <f t="shared" si="74"/>
        <v>43200</v>
      </c>
      <c r="U439" s="10" cm="1">
        <f t="array" ref="U439">getParm(Tarifart,"StoSatz")*(Dauer-C439)*Beitrag*Zahlweise*(C439&lt;BZDauer)</f>
        <v>0</v>
      </c>
      <c r="V439" s="10">
        <f t="shared" si="79"/>
        <v>0</v>
      </c>
    </row>
    <row r="440" spans="1:22" x14ac:dyDescent="0.45">
      <c r="A440" s="15">
        <f t="shared" si="80"/>
        <v>49644</v>
      </c>
      <c r="B440">
        <f t="shared" si="70"/>
        <v>431</v>
      </c>
      <c r="C440">
        <f t="shared" si="75"/>
        <v>35</v>
      </c>
      <c r="D440">
        <f t="shared" si="71"/>
        <v>11</v>
      </c>
      <c r="E440">
        <f t="shared" si="72"/>
        <v>1</v>
      </c>
      <c r="F440" s="10">
        <f t="shared" si="73"/>
        <v>0</v>
      </c>
      <c r="G440" s="10" cm="1">
        <f t="array" ref="G440">ROUND(getParm(Tarifart,"alpha")/(2*Zahlweise)*BeiSum*(C440&lt;2)*E440,2)</f>
        <v>0</v>
      </c>
      <c r="H440" s="10" cm="1">
        <f t="array" ref="H440">ROUND(F440*getParm(Tarifart,"beta")*E440,2)</f>
        <v>0</v>
      </c>
      <c r="I440" s="10" cm="1">
        <f t="array" ref="I440">ROUND(F440*get_Üb(YEAR(A440),$I$8)*E440,2)</f>
        <v>0</v>
      </c>
      <c r="J440" s="10">
        <f t="shared" si="76"/>
        <v>0</v>
      </c>
      <c r="K440" s="10">
        <f t="shared" si="77"/>
        <v>0</v>
      </c>
      <c r="L440" s="10" cm="1">
        <f t="array" ref="L440">ROUND(1/12*MAX(MTSum-R440-K440,MRSum)*Act_qx(x+C440,Geschlecht,getParm(Tarifart,"Tafel"),YEAR(GebDat),x+Dauer,1),2)</f>
        <v>106.39</v>
      </c>
      <c r="M440" s="10" cm="1">
        <f t="array" ref="M440">ROUND(L440*get_Üb(YEAR(A440),$M$8),2)</f>
        <v>5.32</v>
      </c>
      <c r="N440" s="10" cm="1">
        <f t="array" ref="N440">ROUND(R440*getParm(Tarifart,IF(C440&lt;BZDauer,"gamma1","gamma2")),2)</f>
        <v>0</v>
      </c>
      <c r="O440" s="10" cm="1">
        <f t="array" ref="O440">ROUND(R440*get_Üb(YEAR(A440),$O$8),2)</f>
        <v>0</v>
      </c>
      <c r="P440" s="19">
        <f t="shared" si="78"/>
        <v>0</v>
      </c>
      <c r="Q440" s="19" cm="1">
        <f t="array" ref="Q440">ROUND(P440+1/getKurs(EDATE(A440,-1))*(K440-L440-N440-getParm(Tarifart,"StK")+M440+O440),10)*(C440&lt;Dauer)</f>
        <v>0</v>
      </c>
      <c r="R440" s="10" cm="1">
        <f t="array" ref="R440">ROUND(P440*getKurs($A440),2)</f>
        <v>0</v>
      </c>
      <c r="S440" s="10" cm="1">
        <f t="array" ref="S440">ROUND(Q440*getKurs($A440),2)</f>
        <v>0</v>
      </c>
      <c r="T440" s="10">
        <f t="shared" si="74"/>
        <v>43200</v>
      </c>
      <c r="U440" s="10" cm="1">
        <f t="array" ref="U440">getParm(Tarifart,"StoSatz")*(Dauer-C440)*Beitrag*Zahlweise*(C440&lt;BZDauer)</f>
        <v>0</v>
      </c>
      <c r="V440" s="10">
        <f t="shared" si="79"/>
        <v>0</v>
      </c>
    </row>
    <row r="441" spans="1:22" x14ac:dyDescent="0.45">
      <c r="A441" s="15">
        <f t="shared" si="80"/>
        <v>49675</v>
      </c>
      <c r="B441">
        <f t="shared" si="70"/>
        <v>432</v>
      </c>
      <c r="C441">
        <f t="shared" si="75"/>
        <v>36</v>
      </c>
      <c r="D441">
        <f t="shared" si="71"/>
        <v>0</v>
      </c>
      <c r="E441">
        <f t="shared" si="72"/>
        <v>1</v>
      </c>
      <c r="F441" s="10">
        <f t="shared" si="73"/>
        <v>0</v>
      </c>
      <c r="G441" s="10" cm="1">
        <f t="array" ref="G441">ROUND(getParm(Tarifart,"alpha")/(2*Zahlweise)*BeiSum*(C441&lt;2)*E441,2)</f>
        <v>0</v>
      </c>
      <c r="H441" s="10" cm="1">
        <f t="array" ref="H441">ROUND(F441*getParm(Tarifart,"beta")*E441,2)</f>
        <v>0</v>
      </c>
      <c r="I441" s="10" cm="1">
        <f t="array" ref="I441">ROUND(F441*get_Üb(YEAR(A441),$I$8)*E441,2)</f>
        <v>0</v>
      </c>
      <c r="J441" s="10">
        <f t="shared" si="76"/>
        <v>0</v>
      </c>
      <c r="K441" s="10">
        <f t="shared" si="77"/>
        <v>0</v>
      </c>
      <c r="L441" s="10" cm="1">
        <f t="array" ref="L441">ROUND(1/12*MAX(MTSum-R441-K441,MRSum)*Act_qx(x+C441,Geschlecht,getParm(Tarifart,"Tafel"),YEAR(GebDat),x+Dauer,1),2)</f>
        <v>116.46</v>
      </c>
      <c r="M441" s="10" cm="1">
        <f t="array" ref="M441">ROUND(L441*get_Üb(YEAR(A441),$M$8),2)</f>
        <v>5.82</v>
      </c>
      <c r="N441" s="10" cm="1">
        <f t="array" ref="N441">ROUND(R441*getParm(Tarifart,IF(C441&lt;BZDauer,"gamma1","gamma2")),2)</f>
        <v>0</v>
      </c>
      <c r="O441" s="10" cm="1">
        <f t="array" ref="O441">ROUND(R441*get_Üb(YEAR(A441),$O$8),2)</f>
        <v>0</v>
      </c>
      <c r="P441" s="19">
        <f t="shared" si="78"/>
        <v>0</v>
      </c>
      <c r="Q441" s="19" cm="1">
        <f t="array" ref="Q441">ROUND(P441+1/getKurs(EDATE(A441,-1))*(K441-L441-N441-getParm(Tarifart,"StK")+M441+O441),10)*(C441&lt;Dauer)</f>
        <v>0</v>
      </c>
      <c r="R441" s="10" cm="1">
        <f t="array" ref="R441">ROUND(P441*getKurs($A441),2)</f>
        <v>0</v>
      </c>
      <c r="S441" s="10" cm="1">
        <f t="array" ref="S441">ROUND(Q441*getKurs($A441),2)</f>
        <v>0</v>
      </c>
      <c r="T441" s="10">
        <f t="shared" si="74"/>
        <v>43200</v>
      </c>
      <c r="U441" s="10" cm="1">
        <f t="array" ref="U441">getParm(Tarifart,"StoSatz")*(Dauer-C441)*Beitrag*Zahlweise*(C441&lt;BZDauer)</f>
        <v>0</v>
      </c>
      <c r="V441" s="10">
        <f t="shared" si="79"/>
        <v>0</v>
      </c>
    </row>
    <row r="442" spans="1:22" x14ac:dyDescent="0.45">
      <c r="A442" s="15">
        <f t="shared" si="80"/>
        <v>49706</v>
      </c>
      <c r="B442">
        <f t="shared" ref="B442:B500" si="81">B441+1</f>
        <v>433</v>
      </c>
      <c r="C442">
        <f t="shared" si="75"/>
        <v>36</v>
      </c>
      <c r="D442">
        <f t="shared" ref="D442:D500" si="82">MOD(B442,12)</f>
        <v>1</v>
      </c>
      <c r="E442">
        <f t="shared" si="72"/>
        <v>1</v>
      </c>
      <c r="F442" s="10">
        <f t="shared" si="73"/>
        <v>0</v>
      </c>
      <c r="G442" s="10" cm="1">
        <f t="array" ref="G442">ROUND(getParm(Tarifart,"alpha")/(2*Zahlweise)*BeiSum*(C442&lt;2)*E442,2)</f>
        <v>0</v>
      </c>
      <c r="H442" s="10" cm="1">
        <f t="array" ref="H442">ROUND(F442*getParm(Tarifart,"beta")*E442,2)</f>
        <v>0</v>
      </c>
      <c r="I442" s="10" cm="1">
        <f t="array" ref="I442">ROUND(F442*get_Üb(YEAR(A442),$I$8)*E442,2)</f>
        <v>0</v>
      </c>
      <c r="J442" s="10">
        <f t="shared" si="76"/>
        <v>0</v>
      </c>
      <c r="K442" s="10">
        <f t="shared" si="77"/>
        <v>0</v>
      </c>
      <c r="L442" s="10" cm="1">
        <f t="array" ref="L442">ROUND(1/12*MAX(MTSum-R442-K442,MRSum)*Act_qx(x+C442,Geschlecht,getParm(Tarifart,"Tafel"),YEAR(GebDat),x+Dauer,1),2)</f>
        <v>116.46</v>
      </c>
      <c r="M442" s="10" cm="1">
        <f t="array" ref="M442">ROUND(L442*get_Üb(YEAR(A442),$M$8),2)</f>
        <v>5.82</v>
      </c>
      <c r="N442" s="10" cm="1">
        <f t="array" ref="N442">ROUND(R442*getParm(Tarifart,IF(C442&lt;BZDauer,"gamma1","gamma2")),2)</f>
        <v>0</v>
      </c>
      <c r="O442" s="10" cm="1">
        <f t="array" ref="O442">ROUND(R442*get_Üb(YEAR(A442),$O$8),2)</f>
        <v>0</v>
      </c>
      <c r="P442" s="19">
        <f t="shared" si="78"/>
        <v>0</v>
      </c>
      <c r="Q442" s="19" cm="1">
        <f t="array" ref="Q442">ROUND(P442+1/getKurs(EDATE(A442,-1))*(K442-L442-N442-getParm(Tarifart,"StK")+M442+O442),10)*(C442&lt;Dauer)</f>
        <v>0</v>
      </c>
      <c r="R442" s="10" cm="1">
        <f t="array" ref="R442">ROUND(P442*getKurs($A442),2)</f>
        <v>0</v>
      </c>
      <c r="S442" s="10" cm="1">
        <f t="array" ref="S442">ROUND(Q442*getKurs($A442),2)</f>
        <v>0</v>
      </c>
      <c r="T442" s="10">
        <f t="shared" si="74"/>
        <v>43200</v>
      </c>
      <c r="U442" s="10" cm="1">
        <f t="array" ref="U442">getParm(Tarifart,"StoSatz")*(Dauer-C442)*Beitrag*Zahlweise*(C442&lt;BZDauer)</f>
        <v>0</v>
      </c>
      <c r="V442" s="10">
        <f t="shared" si="79"/>
        <v>0</v>
      </c>
    </row>
    <row r="443" spans="1:22" x14ac:dyDescent="0.45">
      <c r="A443" s="15">
        <f t="shared" si="80"/>
        <v>49735</v>
      </c>
      <c r="B443">
        <f t="shared" si="81"/>
        <v>434</v>
      </c>
      <c r="C443">
        <f t="shared" si="75"/>
        <v>36</v>
      </c>
      <c r="D443">
        <f t="shared" si="82"/>
        <v>2</v>
      </c>
      <c r="E443">
        <f t="shared" si="72"/>
        <v>1</v>
      </c>
      <c r="F443" s="10">
        <f t="shared" si="73"/>
        <v>0</v>
      </c>
      <c r="G443" s="10" cm="1">
        <f t="array" ref="G443">ROUND(getParm(Tarifart,"alpha")/(2*Zahlweise)*BeiSum*(C443&lt;2)*E443,2)</f>
        <v>0</v>
      </c>
      <c r="H443" s="10" cm="1">
        <f t="array" ref="H443">ROUND(F443*getParm(Tarifart,"beta")*E443,2)</f>
        <v>0</v>
      </c>
      <c r="I443" s="10" cm="1">
        <f t="array" ref="I443">ROUND(F443*get_Üb(YEAR(A443),$I$8)*E443,2)</f>
        <v>0</v>
      </c>
      <c r="J443" s="10">
        <f t="shared" si="76"/>
        <v>0</v>
      </c>
      <c r="K443" s="10">
        <f t="shared" si="77"/>
        <v>0</v>
      </c>
      <c r="L443" s="10" cm="1">
        <f t="array" ref="L443">ROUND(1/12*MAX(MTSum-R443-K443,MRSum)*Act_qx(x+C443,Geschlecht,getParm(Tarifart,"Tafel"),YEAR(GebDat),x+Dauer,1),2)</f>
        <v>116.46</v>
      </c>
      <c r="M443" s="10" cm="1">
        <f t="array" ref="M443">ROUND(L443*get_Üb(YEAR(A443),$M$8),2)</f>
        <v>5.82</v>
      </c>
      <c r="N443" s="10" cm="1">
        <f t="array" ref="N443">ROUND(R443*getParm(Tarifart,IF(C443&lt;BZDauer,"gamma1","gamma2")),2)</f>
        <v>0</v>
      </c>
      <c r="O443" s="10" cm="1">
        <f t="array" ref="O443">ROUND(R443*get_Üb(YEAR(A443),$O$8),2)</f>
        <v>0</v>
      </c>
      <c r="P443" s="19">
        <f t="shared" si="78"/>
        <v>0</v>
      </c>
      <c r="Q443" s="19" cm="1">
        <f t="array" ref="Q443">ROUND(P443+1/getKurs(EDATE(A443,-1))*(K443-L443-N443-getParm(Tarifart,"StK")+M443+O443),10)*(C443&lt;Dauer)</f>
        <v>0</v>
      </c>
      <c r="R443" s="10" cm="1">
        <f t="array" ref="R443">ROUND(P443*getKurs($A443),2)</f>
        <v>0</v>
      </c>
      <c r="S443" s="10" cm="1">
        <f t="array" ref="S443">ROUND(Q443*getKurs($A443),2)</f>
        <v>0</v>
      </c>
      <c r="T443" s="10">
        <f t="shared" si="74"/>
        <v>43200</v>
      </c>
      <c r="U443" s="10" cm="1">
        <f t="array" ref="U443">getParm(Tarifart,"StoSatz")*(Dauer-C443)*Beitrag*Zahlweise*(C443&lt;BZDauer)</f>
        <v>0</v>
      </c>
      <c r="V443" s="10">
        <f t="shared" si="79"/>
        <v>0</v>
      </c>
    </row>
    <row r="444" spans="1:22" x14ac:dyDescent="0.45">
      <c r="A444" s="15">
        <f t="shared" si="80"/>
        <v>49766</v>
      </c>
      <c r="B444">
        <f t="shared" si="81"/>
        <v>435</v>
      </c>
      <c r="C444">
        <f t="shared" si="75"/>
        <v>36</v>
      </c>
      <c r="D444">
        <f t="shared" si="82"/>
        <v>3</v>
      </c>
      <c r="E444">
        <f t="shared" si="72"/>
        <v>1</v>
      </c>
      <c r="F444" s="10">
        <f t="shared" si="73"/>
        <v>0</v>
      </c>
      <c r="G444" s="10" cm="1">
        <f t="array" ref="G444">ROUND(getParm(Tarifart,"alpha")/(2*Zahlweise)*BeiSum*(C444&lt;2)*E444,2)</f>
        <v>0</v>
      </c>
      <c r="H444" s="10" cm="1">
        <f t="array" ref="H444">ROUND(F444*getParm(Tarifart,"beta")*E444,2)</f>
        <v>0</v>
      </c>
      <c r="I444" s="10" cm="1">
        <f t="array" ref="I444">ROUND(F444*get_Üb(YEAR(A444),$I$8)*E444,2)</f>
        <v>0</v>
      </c>
      <c r="J444" s="10">
        <f t="shared" si="76"/>
        <v>0</v>
      </c>
      <c r="K444" s="10">
        <f t="shared" si="77"/>
        <v>0</v>
      </c>
      <c r="L444" s="10" cm="1">
        <f t="array" ref="L444">ROUND(1/12*MAX(MTSum-R444-K444,MRSum)*Act_qx(x+C444,Geschlecht,getParm(Tarifart,"Tafel"),YEAR(GebDat),x+Dauer,1),2)</f>
        <v>116.46</v>
      </c>
      <c r="M444" s="10" cm="1">
        <f t="array" ref="M444">ROUND(L444*get_Üb(YEAR(A444),$M$8),2)</f>
        <v>5.82</v>
      </c>
      <c r="N444" s="10" cm="1">
        <f t="array" ref="N444">ROUND(R444*getParm(Tarifart,IF(C444&lt;BZDauer,"gamma1","gamma2")),2)</f>
        <v>0</v>
      </c>
      <c r="O444" s="10" cm="1">
        <f t="array" ref="O444">ROUND(R444*get_Üb(YEAR(A444),$O$8),2)</f>
        <v>0</v>
      </c>
      <c r="P444" s="19">
        <f t="shared" si="78"/>
        <v>0</v>
      </c>
      <c r="Q444" s="19" cm="1">
        <f t="array" ref="Q444">ROUND(P444+1/getKurs(EDATE(A444,-1))*(K444-L444-N444-getParm(Tarifart,"StK")+M444+O444),10)*(C444&lt;Dauer)</f>
        <v>0</v>
      </c>
      <c r="R444" s="10" cm="1">
        <f t="array" ref="R444">ROUND(P444*getKurs($A444),2)</f>
        <v>0</v>
      </c>
      <c r="S444" s="10" cm="1">
        <f t="array" ref="S444">ROUND(Q444*getKurs($A444),2)</f>
        <v>0</v>
      </c>
      <c r="T444" s="10">
        <f t="shared" si="74"/>
        <v>43200</v>
      </c>
      <c r="U444" s="10" cm="1">
        <f t="array" ref="U444">getParm(Tarifart,"StoSatz")*(Dauer-C444)*Beitrag*Zahlweise*(C444&lt;BZDauer)</f>
        <v>0</v>
      </c>
      <c r="V444" s="10">
        <f t="shared" si="79"/>
        <v>0</v>
      </c>
    </row>
    <row r="445" spans="1:22" x14ac:dyDescent="0.45">
      <c r="A445" s="15">
        <f t="shared" si="80"/>
        <v>49796</v>
      </c>
      <c r="B445">
        <f t="shared" si="81"/>
        <v>436</v>
      </c>
      <c r="C445">
        <f t="shared" si="75"/>
        <v>36</v>
      </c>
      <c r="D445">
        <f t="shared" si="82"/>
        <v>4</v>
      </c>
      <c r="E445">
        <f t="shared" si="72"/>
        <v>1</v>
      </c>
      <c r="F445" s="10">
        <f t="shared" si="73"/>
        <v>0</v>
      </c>
      <c r="G445" s="10" cm="1">
        <f t="array" ref="G445">ROUND(getParm(Tarifart,"alpha")/(2*Zahlweise)*BeiSum*(C445&lt;2)*E445,2)</f>
        <v>0</v>
      </c>
      <c r="H445" s="10" cm="1">
        <f t="array" ref="H445">ROUND(F445*getParm(Tarifart,"beta")*E445,2)</f>
        <v>0</v>
      </c>
      <c r="I445" s="10" cm="1">
        <f t="array" ref="I445">ROUND(F445*get_Üb(YEAR(A445),$I$8)*E445,2)</f>
        <v>0</v>
      </c>
      <c r="J445" s="10">
        <f t="shared" si="76"/>
        <v>0</v>
      </c>
      <c r="K445" s="10">
        <f t="shared" si="77"/>
        <v>0</v>
      </c>
      <c r="L445" s="10" cm="1">
        <f t="array" ref="L445">ROUND(1/12*MAX(MTSum-R445-K445,MRSum)*Act_qx(x+C445,Geschlecht,getParm(Tarifart,"Tafel"),YEAR(GebDat),x+Dauer,1),2)</f>
        <v>116.46</v>
      </c>
      <c r="M445" s="10" cm="1">
        <f t="array" ref="M445">ROUND(L445*get_Üb(YEAR(A445),$M$8),2)</f>
        <v>5.82</v>
      </c>
      <c r="N445" s="10" cm="1">
        <f t="array" ref="N445">ROUND(R445*getParm(Tarifart,IF(C445&lt;BZDauer,"gamma1","gamma2")),2)</f>
        <v>0</v>
      </c>
      <c r="O445" s="10" cm="1">
        <f t="array" ref="O445">ROUND(R445*get_Üb(YEAR(A445),$O$8),2)</f>
        <v>0</v>
      </c>
      <c r="P445" s="19">
        <f t="shared" si="78"/>
        <v>0</v>
      </c>
      <c r="Q445" s="19" cm="1">
        <f t="array" ref="Q445">ROUND(P445+1/getKurs(EDATE(A445,-1))*(K445-L445-N445-getParm(Tarifart,"StK")+M445+O445),10)*(C445&lt;Dauer)</f>
        <v>0</v>
      </c>
      <c r="R445" s="10" cm="1">
        <f t="array" ref="R445">ROUND(P445*getKurs($A445),2)</f>
        <v>0</v>
      </c>
      <c r="S445" s="10" cm="1">
        <f t="array" ref="S445">ROUND(Q445*getKurs($A445),2)</f>
        <v>0</v>
      </c>
      <c r="T445" s="10">
        <f t="shared" si="74"/>
        <v>43200</v>
      </c>
      <c r="U445" s="10" cm="1">
        <f t="array" ref="U445">getParm(Tarifart,"StoSatz")*(Dauer-C445)*Beitrag*Zahlweise*(C445&lt;BZDauer)</f>
        <v>0</v>
      </c>
      <c r="V445" s="10">
        <f t="shared" si="79"/>
        <v>0</v>
      </c>
    </row>
    <row r="446" spans="1:22" x14ac:dyDescent="0.45">
      <c r="A446" s="15">
        <f t="shared" si="80"/>
        <v>49827</v>
      </c>
      <c r="B446">
        <f t="shared" si="81"/>
        <v>437</v>
      </c>
      <c r="C446">
        <f t="shared" si="75"/>
        <v>36</v>
      </c>
      <c r="D446">
        <f t="shared" si="82"/>
        <v>5</v>
      </c>
      <c r="E446">
        <f t="shared" si="72"/>
        <v>1</v>
      </c>
      <c r="F446" s="10">
        <f t="shared" si="73"/>
        <v>0</v>
      </c>
      <c r="G446" s="10" cm="1">
        <f t="array" ref="G446">ROUND(getParm(Tarifart,"alpha")/(2*Zahlweise)*BeiSum*(C446&lt;2)*E446,2)</f>
        <v>0</v>
      </c>
      <c r="H446" s="10" cm="1">
        <f t="array" ref="H446">ROUND(F446*getParm(Tarifart,"beta")*E446,2)</f>
        <v>0</v>
      </c>
      <c r="I446" s="10" cm="1">
        <f t="array" ref="I446">ROUND(F446*get_Üb(YEAR(A446),$I$8)*E446,2)</f>
        <v>0</v>
      </c>
      <c r="J446" s="10">
        <f t="shared" si="76"/>
        <v>0</v>
      </c>
      <c r="K446" s="10">
        <f t="shared" si="77"/>
        <v>0</v>
      </c>
      <c r="L446" s="10" cm="1">
        <f t="array" ref="L446">ROUND(1/12*MAX(MTSum-R446-K446,MRSum)*Act_qx(x+C446,Geschlecht,getParm(Tarifart,"Tafel"),YEAR(GebDat),x+Dauer,1),2)</f>
        <v>116.46</v>
      </c>
      <c r="M446" s="10" cm="1">
        <f t="array" ref="M446">ROUND(L446*get_Üb(YEAR(A446),$M$8),2)</f>
        <v>5.82</v>
      </c>
      <c r="N446" s="10" cm="1">
        <f t="array" ref="N446">ROUND(R446*getParm(Tarifart,IF(C446&lt;BZDauer,"gamma1","gamma2")),2)</f>
        <v>0</v>
      </c>
      <c r="O446" s="10" cm="1">
        <f t="array" ref="O446">ROUND(R446*get_Üb(YEAR(A446),$O$8),2)</f>
        <v>0</v>
      </c>
      <c r="P446" s="19">
        <f t="shared" si="78"/>
        <v>0</v>
      </c>
      <c r="Q446" s="19" cm="1">
        <f t="array" ref="Q446">ROUND(P446+1/getKurs(EDATE(A446,-1))*(K446-L446-N446-getParm(Tarifart,"StK")+M446+O446),10)*(C446&lt;Dauer)</f>
        <v>0</v>
      </c>
      <c r="R446" s="10" cm="1">
        <f t="array" ref="R446">ROUND(P446*getKurs($A446),2)</f>
        <v>0</v>
      </c>
      <c r="S446" s="10" cm="1">
        <f t="array" ref="S446">ROUND(Q446*getKurs($A446),2)</f>
        <v>0</v>
      </c>
      <c r="T446" s="10">
        <f t="shared" si="74"/>
        <v>43200</v>
      </c>
      <c r="U446" s="10" cm="1">
        <f t="array" ref="U446">getParm(Tarifart,"StoSatz")*(Dauer-C446)*Beitrag*Zahlweise*(C446&lt;BZDauer)</f>
        <v>0</v>
      </c>
      <c r="V446" s="10">
        <f t="shared" si="79"/>
        <v>0</v>
      </c>
    </row>
    <row r="447" spans="1:22" x14ac:dyDescent="0.45">
      <c r="A447" s="15">
        <f t="shared" si="80"/>
        <v>49857</v>
      </c>
      <c r="B447">
        <f t="shared" si="81"/>
        <v>438</v>
      </c>
      <c r="C447">
        <f t="shared" si="75"/>
        <v>36</v>
      </c>
      <c r="D447">
        <f t="shared" si="82"/>
        <v>6</v>
      </c>
      <c r="E447">
        <f t="shared" si="72"/>
        <v>1</v>
      </c>
      <c r="F447" s="10">
        <f t="shared" si="73"/>
        <v>0</v>
      </c>
      <c r="G447" s="10" cm="1">
        <f t="array" ref="G447">ROUND(getParm(Tarifart,"alpha")/(2*Zahlweise)*BeiSum*(C447&lt;2)*E447,2)</f>
        <v>0</v>
      </c>
      <c r="H447" s="10" cm="1">
        <f t="array" ref="H447">ROUND(F447*getParm(Tarifart,"beta")*E447,2)</f>
        <v>0</v>
      </c>
      <c r="I447" s="10" cm="1">
        <f t="array" ref="I447">ROUND(F447*get_Üb(YEAR(A447),$I$8)*E447,2)</f>
        <v>0</v>
      </c>
      <c r="J447" s="10">
        <f t="shared" si="76"/>
        <v>0</v>
      </c>
      <c r="K447" s="10">
        <f t="shared" si="77"/>
        <v>0</v>
      </c>
      <c r="L447" s="10" cm="1">
        <f t="array" ref="L447">ROUND(1/12*MAX(MTSum-R447-K447,MRSum)*Act_qx(x+C447,Geschlecht,getParm(Tarifart,"Tafel"),YEAR(GebDat),x+Dauer,1),2)</f>
        <v>116.46</v>
      </c>
      <c r="M447" s="10" cm="1">
        <f t="array" ref="M447">ROUND(L447*get_Üb(YEAR(A447),$M$8),2)</f>
        <v>5.82</v>
      </c>
      <c r="N447" s="10" cm="1">
        <f t="array" ref="N447">ROUND(R447*getParm(Tarifart,IF(C447&lt;BZDauer,"gamma1","gamma2")),2)</f>
        <v>0</v>
      </c>
      <c r="O447" s="10" cm="1">
        <f t="array" ref="O447">ROUND(R447*get_Üb(YEAR(A447),$O$8),2)</f>
        <v>0</v>
      </c>
      <c r="P447" s="19">
        <f t="shared" si="78"/>
        <v>0</v>
      </c>
      <c r="Q447" s="19" cm="1">
        <f t="array" ref="Q447">ROUND(P447+1/getKurs(EDATE(A447,-1))*(K447-L447-N447-getParm(Tarifart,"StK")+M447+O447),10)*(C447&lt;Dauer)</f>
        <v>0</v>
      </c>
      <c r="R447" s="10" cm="1">
        <f t="array" ref="R447">ROUND(P447*getKurs($A447),2)</f>
        <v>0</v>
      </c>
      <c r="S447" s="10" cm="1">
        <f t="array" ref="S447">ROUND(Q447*getKurs($A447),2)</f>
        <v>0</v>
      </c>
      <c r="T447" s="10">
        <f t="shared" si="74"/>
        <v>43200</v>
      </c>
      <c r="U447" s="10" cm="1">
        <f t="array" ref="U447">getParm(Tarifart,"StoSatz")*(Dauer-C447)*Beitrag*Zahlweise*(C447&lt;BZDauer)</f>
        <v>0</v>
      </c>
      <c r="V447" s="10">
        <f t="shared" si="79"/>
        <v>0</v>
      </c>
    </row>
    <row r="448" spans="1:22" x14ac:dyDescent="0.45">
      <c r="A448" s="15">
        <f t="shared" si="80"/>
        <v>49888</v>
      </c>
      <c r="B448">
        <f t="shared" si="81"/>
        <v>439</v>
      </c>
      <c r="C448">
        <f t="shared" si="75"/>
        <v>36</v>
      </c>
      <c r="D448">
        <f t="shared" si="82"/>
        <v>7</v>
      </c>
      <c r="E448">
        <f t="shared" si="72"/>
        <v>1</v>
      </c>
      <c r="F448" s="10">
        <f t="shared" si="73"/>
        <v>0</v>
      </c>
      <c r="G448" s="10" cm="1">
        <f t="array" ref="G448">ROUND(getParm(Tarifart,"alpha")/(2*Zahlweise)*BeiSum*(C448&lt;2)*E448,2)</f>
        <v>0</v>
      </c>
      <c r="H448" s="10" cm="1">
        <f t="array" ref="H448">ROUND(F448*getParm(Tarifart,"beta")*E448,2)</f>
        <v>0</v>
      </c>
      <c r="I448" s="10" cm="1">
        <f t="array" ref="I448">ROUND(F448*get_Üb(YEAR(A448),$I$8)*E448,2)</f>
        <v>0</v>
      </c>
      <c r="J448" s="10">
        <f t="shared" si="76"/>
        <v>0</v>
      </c>
      <c r="K448" s="10">
        <f t="shared" si="77"/>
        <v>0</v>
      </c>
      <c r="L448" s="10" cm="1">
        <f t="array" ref="L448">ROUND(1/12*MAX(MTSum-R448-K448,MRSum)*Act_qx(x+C448,Geschlecht,getParm(Tarifart,"Tafel"),YEAR(GebDat),x+Dauer,1),2)</f>
        <v>116.46</v>
      </c>
      <c r="M448" s="10" cm="1">
        <f t="array" ref="M448">ROUND(L448*get_Üb(YEAR(A448),$M$8),2)</f>
        <v>5.82</v>
      </c>
      <c r="N448" s="10" cm="1">
        <f t="array" ref="N448">ROUND(R448*getParm(Tarifart,IF(C448&lt;BZDauer,"gamma1","gamma2")),2)</f>
        <v>0</v>
      </c>
      <c r="O448" s="10" cm="1">
        <f t="array" ref="O448">ROUND(R448*get_Üb(YEAR(A448),$O$8),2)</f>
        <v>0</v>
      </c>
      <c r="P448" s="19">
        <f t="shared" si="78"/>
        <v>0</v>
      </c>
      <c r="Q448" s="19" cm="1">
        <f t="array" ref="Q448">ROUND(P448+1/getKurs(EDATE(A448,-1))*(K448-L448-N448-getParm(Tarifart,"StK")+M448+O448),10)*(C448&lt;Dauer)</f>
        <v>0</v>
      </c>
      <c r="R448" s="10" cm="1">
        <f t="array" ref="R448">ROUND(P448*getKurs($A448),2)</f>
        <v>0</v>
      </c>
      <c r="S448" s="10" cm="1">
        <f t="array" ref="S448">ROUND(Q448*getKurs($A448),2)</f>
        <v>0</v>
      </c>
      <c r="T448" s="10">
        <f t="shared" si="74"/>
        <v>43200</v>
      </c>
      <c r="U448" s="10" cm="1">
        <f t="array" ref="U448">getParm(Tarifart,"StoSatz")*(Dauer-C448)*Beitrag*Zahlweise*(C448&lt;BZDauer)</f>
        <v>0</v>
      </c>
      <c r="V448" s="10">
        <f t="shared" si="79"/>
        <v>0</v>
      </c>
    </row>
    <row r="449" spans="1:22" x14ac:dyDescent="0.45">
      <c r="A449" s="15">
        <f t="shared" si="80"/>
        <v>49919</v>
      </c>
      <c r="B449">
        <f t="shared" si="81"/>
        <v>440</v>
      </c>
      <c r="C449">
        <f t="shared" si="75"/>
        <v>36</v>
      </c>
      <c r="D449">
        <f t="shared" si="82"/>
        <v>8</v>
      </c>
      <c r="E449">
        <f t="shared" si="72"/>
        <v>1</v>
      </c>
      <c r="F449" s="10">
        <f t="shared" si="73"/>
        <v>0</v>
      </c>
      <c r="G449" s="10" cm="1">
        <f t="array" ref="G449">ROUND(getParm(Tarifart,"alpha")/(2*Zahlweise)*BeiSum*(C449&lt;2)*E449,2)</f>
        <v>0</v>
      </c>
      <c r="H449" s="10" cm="1">
        <f t="array" ref="H449">ROUND(F449*getParm(Tarifart,"beta")*E449,2)</f>
        <v>0</v>
      </c>
      <c r="I449" s="10" cm="1">
        <f t="array" ref="I449">ROUND(F449*get_Üb(YEAR(A449),$I$8)*E449,2)</f>
        <v>0</v>
      </c>
      <c r="J449" s="10">
        <f t="shared" si="76"/>
        <v>0</v>
      </c>
      <c r="K449" s="10">
        <f t="shared" si="77"/>
        <v>0</v>
      </c>
      <c r="L449" s="10" cm="1">
        <f t="array" ref="L449">ROUND(1/12*MAX(MTSum-R449-K449,MRSum)*Act_qx(x+C449,Geschlecht,getParm(Tarifart,"Tafel"),YEAR(GebDat),x+Dauer,1),2)</f>
        <v>116.46</v>
      </c>
      <c r="M449" s="10" cm="1">
        <f t="array" ref="M449">ROUND(L449*get_Üb(YEAR(A449),$M$8),2)</f>
        <v>5.82</v>
      </c>
      <c r="N449" s="10" cm="1">
        <f t="array" ref="N449">ROUND(R449*getParm(Tarifart,IF(C449&lt;BZDauer,"gamma1","gamma2")),2)</f>
        <v>0</v>
      </c>
      <c r="O449" s="10" cm="1">
        <f t="array" ref="O449">ROUND(R449*get_Üb(YEAR(A449),$O$8),2)</f>
        <v>0</v>
      </c>
      <c r="P449" s="19">
        <f t="shared" si="78"/>
        <v>0</v>
      </c>
      <c r="Q449" s="19" cm="1">
        <f t="array" ref="Q449">ROUND(P449+1/getKurs(EDATE(A449,-1))*(K449-L449-N449-getParm(Tarifart,"StK")+M449+O449),10)*(C449&lt;Dauer)</f>
        <v>0</v>
      </c>
      <c r="R449" s="10" cm="1">
        <f t="array" ref="R449">ROUND(P449*getKurs($A449),2)</f>
        <v>0</v>
      </c>
      <c r="S449" s="10" cm="1">
        <f t="array" ref="S449">ROUND(Q449*getKurs($A449),2)</f>
        <v>0</v>
      </c>
      <c r="T449" s="10">
        <f t="shared" si="74"/>
        <v>43200</v>
      </c>
      <c r="U449" s="10" cm="1">
        <f t="array" ref="U449">getParm(Tarifart,"StoSatz")*(Dauer-C449)*Beitrag*Zahlweise*(C449&lt;BZDauer)</f>
        <v>0</v>
      </c>
      <c r="V449" s="10">
        <f t="shared" si="79"/>
        <v>0</v>
      </c>
    </row>
    <row r="450" spans="1:22" x14ac:dyDescent="0.45">
      <c r="A450" s="15">
        <f t="shared" si="80"/>
        <v>49949</v>
      </c>
      <c r="B450">
        <f t="shared" si="81"/>
        <v>441</v>
      </c>
      <c r="C450">
        <f t="shared" si="75"/>
        <v>36</v>
      </c>
      <c r="D450">
        <f t="shared" si="82"/>
        <v>9</v>
      </c>
      <c r="E450">
        <f t="shared" si="72"/>
        <v>1</v>
      </c>
      <c r="F450" s="10">
        <f t="shared" si="73"/>
        <v>0</v>
      </c>
      <c r="G450" s="10" cm="1">
        <f t="array" ref="G450">ROUND(getParm(Tarifart,"alpha")/(2*Zahlweise)*BeiSum*(C450&lt;2)*E450,2)</f>
        <v>0</v>
      </c>
      <c r="H450" s="10" cm="1">
        <f t="array" ref="H450">ROUND(F450*getParm(Tarifart,"beta")*E450,2)</f>
        <v>0</v>
      </c>
      <c r="I450" s="10" cm="1">
        <f t="array" ref="I450">ROUND(F450*get_Üb(YEAR(A450),$I$8)*E450,2)</f>
        <v>0</v>
      </c>
      <c r="J450" s="10">
        <f t="shared" si="76"/>
        <v>0</v>
      </c>
      <c r="K450" s="10">
        <f t="shared" si="77"/>
        <v>0</v>
      </c>
      <c r="L450" s="10" cm="1">
        <f t="array" ref="L450">ROUND(1/12*MAX(MTSum-R450-K450,MRSum)*Act_qx(x+C450,Geschlecht,getParm(Tarifart,"Tafel"),YEAR(GebDat),x+Dauer,1),2)</f>
        <v>116.46</v>
      </c>
      <c r="M450" s="10" cm="1">
        <f t="array" ref="M450">ROUND(L450*get_Üb(YEAR(A450),$M$8),2)</f>
        <v>5.82</v>
      </c>
      <c r="N450" s="10" cm="1">
        <f t="array" ref="N450">ROUND(R450*getParm(Tarifart,IF(C450&lt;BZDauer,"gamma1","gamma2")),2)</f>
        <v>0</v>
      </c>
      <c r="O450" s="10" cm="1">
        <f t="array" ref="O450">ROUND(R450*get_Üb(YEAR(A450),$O$8),2)</f>
        <v>0</v>
      </c>
      <c r="P450" s="19">
        <f t="shared" si="78"/>
        <v>0</v>
      </c>
      <c r="Q450" s="19" cm="1">
        <f t="array" ref="Q450">ROUND(P450+1/getKurs(EDATE(A450,-1))*(K450-L450-N450-getParm(Tarifart,"StK")+M450+O450),10)*(C450&lt;Dauer)</f>
        <v>0</v>
      </c>
      <c r="R450" s="10" cm="1">
        <f t="array" ref="R450">ROUND(P450*getKurs($A450),2)</f>
        <v>0</v>
      </c>
      <c r="S450" s="10" cm="1">
        <f t="array" ref="S450">ROUND(Q450*getKurs($A450),2)</f>
        <v>0</v>
      </c>
      <c r="T450" s="10">
        <f t="shared" si="74"/>
        <v>43200</v>
      </c>
      <c r="U450" s="10" cm="1">
        <f t="array" ref="U450">getParm(Tarifart,"StoSatz")*(Dauer-C450)*Beitrag*Zahlweise*(C450&lt;BZDauer)</f>
        <v>0</v>
      </c>
      <c r="V450" s="10">
        <f t="shared" si="79"/>
        <v>0</v>
      </c>
    </row>
    <row r="451" spans="1:22" x14ac:dyDescent="0.45">
      <c r="A451" s="15">
        <f t="shared" si="80"/>
        <v>49980</v>
      </c>
      <c r="B451">
        <f t="shared" si="81"/>
        <v>442</v>
      </c>
      <c r="C451">
        <f t="shared" si="75"/>
        <v>36</v>
      </c>
      <c r="D451">
        <f t="shared" si="82"/>
        <v>10</v>
      </c>
      <c r="E451">
        <f t="shared" si="72"/>
        <v>1</v>
      </c>
      <c r="F451" s="10">
        <f t="shared" si="73"/>
        <v>0</v>
      </c>
      <c r="G451" s="10" cm="1">
        <f t="array" ref="G451">ROUND(getParm(Tarifart,"alpha")/(2*Zahlweise)*BeiSum*(C451&lt;2)*E451,2)</f>
        <v>0</v>
      </c>
      <c r="H451" s="10" cm="1">
        <f t="array" ref="H451">ROUND(F451*getParm(Tarifart,"beta")*E451,2)</f>
        <v>0</v>
      </c>
      <c r="I451" s="10" cm="1">
        <f t="array" ref="I451">ROUND(F451*get_Üb(YEAR(A451),$I$8)*E451,2)</f>
        <v>0</v>
      </c>
      <c r="J451" s="10">
        <f t="shared" si="76"/>
        <v>0</v>
      </c>
      <c r="K451" s="10">
        <f t="shared" si="77"/>
        <v>0</v>
      </c>
      <c r="L451" s="10" cm="1">
        <f t="array" ref="L451">ROUND(1/12*MAX(MTSum-R451-K451,MRSum)*Act_qx(x+C451,Geschlecht,getParm(Tarifart,"Tafel"),YEAR(GebDat),x+Dauer,1),2)</f>
        <v>116.46</v>
      </c>
      <c r="M451" s="10" cm="1">
        <f t="array" ref="M451">ROUND(L451*get_Üb(YEAR(A451),$M$8),2)</f>
        <v>5.82</v>
      </c>
      <c r="N451" s="10" cm="1">
        <f t="array" ref="N451">ROUND(R451*getParm(Tarifart,IF(C451&lt;BZDauer,"gamma1","gamma2")),2)</f>
        <v>0</v>
      </c>
      <c r="O451" s="10" cm="1">
        <f t="array" ref="O451">ROUND(R451*get_Üb(YEAR(A451),$O$8),2)</f>
        <v>0</v>
      </c>
      <c r="P451" s="19">
        <f t="shared" si="78"/>
        <v>0</v>
      </c>
      <c r="Q451" s="19" cm="1">
        <f t="array" ref="Q451">ROUND(P451+1/getKurs(EDATE(A451,-1))*(K451-L451-N451-getParm(Tarifart,"StK")+M451+O451),10)*(C451&lt;Dauer)</f>
        <v>0</v>
      </c>
      <c r="R451" s="10" cm="1">
        <f t="array" ref="R451">ROUND(P451*getKurs($A451),2)</f>
        <v>0</v>
      </c>
      <c r="S451" s="10" cm="1">
        <f t="array" ref="S451">ROUND(Q451*getKurs($A451),2)</f>
        <v>0</v>
      </c>
      <c r="T451" s="10">
        <f t="shared" si="74"/>
        <v>43200</v>
      </c>
      <c r="U451" s="10" cm="1">
        <f t="array" ref="U451">getParm(Tarifart,"StoSatz")*(Dauer-C451)*Beitrag*Zahlweise*(C451&lt;BZDauer)</f>
        <v>0</v>
      </c>
      <c r="V451" s="10">
        <f t="shared" si="79"/>
        <v>0</v>
      </c>
    </row>
    <row r="452" spans="1:22" x14ac:dyDescent="0.45">
      <c r="A452" s="15">
        <f t="shared" si="80"/>
        <v>50010</v>
      </c>
      <c r="B452">
        <f t="shared" si="81"/>
        <v>443</v>
      </c>
      <c r="C452">
        <f t="shared" si="75"/>
        <v>36</v>
      </c>
      <c r="D452">
        <f t="shared" si="82"/>
        <v>11</v>
      </c>
      <c r="E452">
        <f t="shared" si="72"/>
        <v>1</v>
      </c>
      <c r="F452" s="10">
        <f t="shared" si="73"/>
        <v>0</v>
      </c>
      <c r="G452" s="10" cm="1">
        <f t="array" ref="G452">ROUND(getParm(Tarifart,"alpha")/(2*Zahlweise)*BeiSum*(C452&lt;2)*E452,2)</f>
        <v>0</v>
      </c>
      <c r="H452" s="10" cm="1">
        <f t="array" ref="H452">ROUND(F452*getParm(Tarifart,"beta")*E452,2)</f>
        <v>0</v>
      </c>
      <c r="I452" s="10" cm="1">
        <f t="array" ref="I452">ROUND(F452*get_Üb(YEAR(A452),$I$8)*E452,2)</f>
        <v>0</v>
      </c>
      <c r="J452" s="10">
        <f t="shared" si="76"/>
        <v>0</v>
      </c>
      <c r="K452" s="10">
        <f t="shared" si="77"/>
        <v>0</v>
      </c>
      <c r="L452" s="10" cm="1">
        <f t="array" ref="L452">ROUND(1/12*MAX(MTSum-R452-K452,MRSum)*Act_qx(x+C452,Geschlecht,getParm(Tarifart,"Tafel"),YEAR(GebDat),x+Dauer,1),2)</f>
        <v>116.46</v>
      </c>
      <c r="M452" s="10" cm="1">
        <f t="array" ref="M452">ROUND(L452*get_Üb(YEAR(A452),$M$8),2)</f>
        <v>5.82</v>
      </c>
      <c r="N452" s="10" cm="1">
        <f t="array" ref="N452">ROUND(R452*getParm(Tarifart,IF(C452&lt;BZDauer,"gamma1","gamma2")),2)</f>
        <v>0</v>
      </c>
      <c r="O452" s="10" cm="1">
        <f t="array" ref="O452">ROUND(R452*get_Üb(YEAR(A452),$O$8),2)</f>
        <v>0</v>
      </c>
      <c r="P452" s="19">
        <f t="shared" si="78"/>
        <v>0</v>
      </c>
      <c r="Q452" s="19" cm="1">
        <f t="array" ref="Q452">ROUND(P452+1/getKurs(EDATE(A452,-1))*(K452-L452-N452-getParm(Tarifart,"StK")+M452+O452),10)*(C452&lt;Dauer)</f>
        <v>0</v>
      </c>
      <c r="R452" s="10" cm="1">
        <f t="array" ref="R452">ROUND(P452*getKurs($A452),2)</f>
        <v>0</v>
      </c>
      <c r="S452" s="10" cm="1">
        <f t="array" ref="S452">ROUND(Q452*getKurs($A452),2)</f>
        <v>0</v>
      </c>
      <c r="T452" s="10">
        <f t="shared" si="74"/>
        <v>43200</v>
      </c>
      <c r="U452" s="10" cm="1">
        <f t="array" ref="U452">getParm(Tarifart,"StoSatz")*(Dauer-C452)*Beitrag*Zahlweise*(C452&lt;BZDauer)</f>
        <v>0</v>
      </c>
      <c r="V452" s="10">
        <f t="shared" si="79"/>
        <v>0</v>
      </c>
    </row>
    <row r="453" spans="1:22" x14ac:dyDescent="0.45">
      <c r="A453" s="15">
        <f t="shared" si="80"/>
        <v>50041</v>
      </c>
      <c r="B453">
        <f t="shared" si="81"/>
        <v>444</v>
      </c>
      <c r="C453">
        <f t="shared" si="75"/>
        <v>37</v>
      </c>
      <c r="D453">
        <f t="shared" si="82"/>
        <v>0</v>
      </c>
      <c r="E453">
        <f t="shared" si="72"/>
        <v>1</v>
      </c>
      <c r="F453" s="10">
        <f t="shared" si="73"/>
        <v>0</v>
      </c>
      <c r="G453" s="10" cm="1">
        <f t="array" ref="G453">ROUND(getParm(Tarifart,"alpha")/(2*Zahlweise)*BeiSum*(C453&lt;2)*E453,2)</f>
        <v>0</v>
      </c>
      <c r="H453" s="10" cm="1">
        <f t="array" ref="H453">ROUND(F453*getParm(Tarifart,"beta")*E453,2)</f>
        <v>0</v>
      </c>
      <c r="I453" s="10" cm="1">
        <f t="array" ref="I453">ROUND(F453*get_Üb(YEAR(A453),$I$8)*E453,2)</f>
        <v>0</v>
      </c>
      <c r="J453" s="10">
        <f t="shared" si="76"/>
        <v>0</v>
      </c>
      <c r="K453" s="10">
        <f t="shared" si="77"/>
        <v>0</v>
      </c>
      <c r="L453" s="10" cm="1">
        <f t="array" ref="L453">ROUND(1/12*MAX(MTSum-R453-K453,MRSum)*Act_qx(x+C453,Geschlecht,getParm(Tarifart,"Tafel"),YEAR(GebDat),x+Dauer,1),2)</f>
        <v>128.28</v>
      </c>
      <c r="M453" s="10" cm="1">
        <f t="array" ref="M453">ROUND(L453*get_Üb(YEAR(A453),$M$8),2)</f>
        <v>6.41</v>
      </c>
      <c r="N453" s="10" cm="1">
        <f t="array" ref="N453">ROUND(R453*getParm(Tarifart,IF(C453&lt;BZDauer,"gamma1","gamma2")),2)</f>
        <v>0</v>
      </c>
      <c r="O453" s="10" cm="1">
        <f t="array" ref="O453">ROUND(R453*get_Üb(YEAR(A453),$O$8),2)</f>
        <v>0</v>
      </c>
      <c r="P453" s="19">
        <f t="shared" si="78"/>
        <v>0</v>
      </c>
      <c r="Q453" s="19" cm="1">
        <f t="array" ref="Q453">ROUND(P453+1/getKurs(EDATE(A453,-1))*(K453-L453-N453-getParm(Tarifart,"StK")+M453+O453),10)*(C453&lt;Dauer)</f>
        <v>0</v>
      </c>
      <c r="R453" s="10" cm="1">
        <f t="array" ref="R453">ROUND(P453*getKurs($A453),2)</f>
        <v>0</v>
      </c>
      <c r="S453" s="10" cm="1">
        <f t="array" ref="S453">ROUND(Q453*getKurs($A453),2)</f>
        <v>0</v>
      </c>
      <c r="T453" s="10">
        <f t="shared" si="74"/>
        <v>43200</v>
      </c>
      <c r="U453" s="10" cm="1">
        <f t="array" ref="U453">getParm(Tarifart,"StoSatz")*(Dauer-C453)*Beitrag*Zahlweise*(C453&lt;BZDauer)</f>
        <v>0</v>
      </c>
      <c r="V453" s="10">
        <f t="shared" si="79"/>
        <v>0</v>
      </c>
    </row>
    <row r="454" spans="1:22" x14ac:dyDescent="0.45">
      <c r="A454" s="15">
        <f t="shared" si="80"/>
        <v>50072</v>
      </c>
      <c r="B454">
        <f t="shared" si="81"/>
        <v>445</v>
      </c>
      <c r="C454">
        <f t="shared" si="75"/>
        <v>37</v>
      </c>
      <c r="D454">
        <f t="shared" si="82"/>
        <v>1</v>
      </c>
      <c r="E454">
        <f t="shared" si="72"/>
        <v>1</v>
      </c>
      <c r="F454" s="10">
        <f t="shared" si="73"/>
        <v>0</v>
      </c>
      <c r="G454" s="10" cm="1">
        <f t="array" ref="G454">ROUND(getParm(Tarifart,"alpha")/(2*Zahlweise)*BeiSum*(C454&lt;2)*E454,2)</f>
        <v>0</v>
      </c>
      <c r="H454" s="10" cm="1">
        <f t="array" ref="H454">ROUND(F454*getParm(Tarifart,"beta")*E454,2)</f>
        <v>0</v>
      </c>
      <c r="I454" s="10" cm="1">
        <f t="array" ref="I454">ROUND(F454*get_Üb(YEAR(A454),$I$8)*E454,2)</f>
        <v>0</v>
      </c>
      <c r="J454" s="10">
        <f t="shared" si="76"/>
        <v>0</v>
      </c>
      <c r="K454" s="10">
        <f t="shared" si="77"/>
        <v>0</v>
      </c>
      <c r="L454" s="10" cm="1">
        <f t="array" ref="L454">ROUND(1/12*MAX(MTSum-R454-K454,MRSum)*Act_qx(x+C454,Geschlecht,getParm(Tarifart,"Tafel"),YEAR(GebDat),x+Dauer,1),2)</f>
        <v>128.28</v>
      </c>
      <c r="M454" s="10" cm="1">
        <f t="array" ref="M454">ROUND(L454*get_Üb(YEAR(A454),$M$8),2)</f>
        <v>6.41</v>
      </c>
      <c r="N454" s="10" cm="1">
        <f t="array" ref="N454">ROUND(R454*getParm(Tarifart,IF(C454&lt;BZDauer,"gamma1","gamma2")),2)</f>
        <v>0</v>
      </c>
      <c r="O454" s="10" cm="1">
        <f t="array" ref="O454">ROUND(R454*get_Üb(YEAR(A454),$O$8),2)</f>
        <v>0</v>
      </c>
      <c r="P454" s="19">
        <f t="shared" si="78"/>
        <v>0</v>
      </c>
      <c r="Q454" s="19" cm="1">
        <f t="array" ref="Q454">ROUND(P454+1/getKurs(EDATE(A454,-1))*(K454-L454-N454-getParm(Tarifart,"StK")+M454+O454),10)*(C454&lt;Dauer)</f>
        <v>0</v>
      </c>
      <c r="R454" s="10" cm="1">
        <f t="array" ref="R454">ROUND(P454*getKurs($A454),2)</f>
        <v>0</v>
      </c>
      <c r="S454" s="10" cm="1">
        <f t="array" ref="S454">ROUND(Q454*getKurs($A454),2)</f>
        <v>0</v>
      </c>
      <c r="T454" s="10">
        <f t="shared" si="74"/>
        <v>43200</v>
      </c>
      <c r="U454" s="10" cm="1">
        <f t="array" ref="U454">getParm(Tarifart,"StoSatz")*(Dauer-C454)*Beitrag*Zahlweise*(C454&lt;BZDauer)</f>
        <v>0</v>
      </c>
      <c r="V454" s="10">
        <f t="shared" si="79"/>
        <v>0</v>
      </c>
    </row>
    <row r="455" spans="1:22" x14ac:dyDescent="0.45">
      <c r="A455" s="15">
        <f t="shared" si="80"/>
        <v>50100</v>
      </c>
      <c r="B455">
        <f t="shared" si="81"/>
        <v>446</v>
      </c>
      <c r="C455">
        <f t="shared" si="75"/>
        <v>37</v>
      </c>
      <c r="D455">
        <f t="shared" si="82"/>
        <v>2</v>
      </c>
      <c r="E455">
        <f t="shared" si="72"/>
        <v>1</v>
      </c>
      <c r="F455" s="10">
        <f t="shared" si="73"/>
        <v>0</v>
      </c>
      <c r="G455" s="10" cm="1">
        <f t="array" ref="G455">ROUND(getParm(Tarifart,"alpha")/(2*Zahlweise)*BeiSum*(C455&lt;2)*E455,2)</f>
        <v>0</v>
      </c>
      <c r="H455" s="10" cm="1">
        <f t="array" ref="H455">ROUND(F455*getParm(Tarifart,"beta")*E455,2)</f>
        <v>0</v>
      </c>
      <c r="I455" s="10" cm="1">
        <f t="array" ref="I455">ROUND(F455*get_Üb(YEAR(A455),$I$8)*E455,2)</f>
        <v>0</v>
      </c>
      <c r="J455" s="10">
        <f t="shared" si="76"/>
        <v>0</v>
      </c>
      <c r="K455" s="10">
        <f t="shared" si="77"/>
        <v>0</v>
      </c>
      <c r="L455" s="10" cm="1">
        <f t="array" ref="L455">ROUND(1/12*MAX(MTSum-R455-K455,MRSum)*Act_qx(x+C455,Geschlecht,getParm(Tarifart,"Tafel"),YEAR(GebDat),x+Dauer,1),2)</f>
        <v>128.28</v>
      </c>
      <c r="M455" s="10" cm="1">
        <f t="array" ref="M455">ROUND(L455*get_Üb(YEAR(A455),$M$8),2)</f>
        <v>6.41</v>
      </c>
      <c r="N455" s="10" cm="1">
        <f t="array" ref="N455">ROUND(R455*getParm(Tarifart,IF(C455&lt;BZDauer,"gamma1","gamma2")),2)</f>
        <v>0</v>
      </c>
      <c r="O455" s="10" cm="1">
        <f t="array" ref="O455">ROUND(R455*get_Üb(YEAR(A455),$O$8),2)</f>
        <v>0</v>
      </c>
      <c r="P455" s="19">
        <f t="shared" si="78"/>
        <v>0</v>
      </c>
      <c r="Q455" s="19" cm="1">
        <f t="array" ref="Q455">ROUND(P455+1/getKurs(EDATE(A455,-1))*(K455-L455-N455-getParm(Tarifart,"StK")+M455+O455),10)*(C455&lt;Dauer)</f>
        <v>0</v>
      </c>
      <c r="R455" s="10" cm="1">
        <f t="array" ref="R455">ROUND(P455*getKurs($A455),2)</f>
        <v>0</v>
      </c>
      <c r="S455" s="10" cm="1">
        <f t="array" ref="S455">ROUND(Q455*getKurs($A455),2)</f>
        <v>0</v>
      </c>
      <c r="T455" s="10">
        <f t="shared" si="74"/>
        <v>43200</v>
      </c>
      <c r="U455" s="10" cm="1">
        <f t="array" ref="U455">getParm(Tarifart,"StoSatz")*(Dauer-C455)*Beitrag*Zahlweise*(C455&lt;BZDauer)</f>
        <v>0</v>
      </c>
      <c r="V455" s="10">
        <f t="shared" si="79"/>
        <v>0</v>
      </c>
    </row>
    <row r="456" spans="1:22" x14ac:dyDescent="0.45">
      <c r="A456" s="15">
        <f t="shared" si="80"/>
        <v>50131</v>
      </c>
      <c r="B456">
        <f t="shared" si="81"/>
        <v>447</v>
      </c>
      <c r="C456">
        <f t="shared" si="75"/>
        <v>37</v>
      </c>
      <c r="D456">
        <f t="shared" si="82"/>
        <v>3</v>
      </c>
      <c r="E456">
        <f t="shared" si="72"/>
        <v>1</v>
      </c>
      <c r="F456" s="10">
        <f t="shared" si="73"/>
        <v>0</v>
      </c>
      <c r="G456" s="10" cm="1">
        <f t="array" ref="G456">ROUND(getParm(Tarifart,"alpha")/(2*Zahlweise)*BeiSum*(C456&lt;2)*E456,2)</f>
        <v>0</v>
      </c>
      <c r="H456" s="10" cm="1">
        <f t="array" ref="H456">ROUND(F456*getParm(Tarifart,"beta")*E456,2)</f>
        <v>0</v>
      </c>
      <c r="I456" s="10" cm="1">
        <f t="array" ref="I456">ROUND(F456*get_Üb(YEAR(A456),$I$8)*E456,2)</f>
        <v>0</v>
      </c>
      <c r="J456" s="10">
        <f t="shared" si="76"/>
        <v>0</v>
      </c>
      <c r="K456" s="10">
        <f t="shared" si="77"/>
        <v>0</v>
      </c>
      <c r="L456" s="10" cm="1">
        <f t="array" ref="L456">ROUND(1/12*MAX(MTSum-R456-K456,MRSum)*Act_qx(x+C456,Geschlecht,getParm(Tarifart,"Tafel"),YEAR(GebDat),x+Dauer,1),2)</f>
        <v>128.28</v>
      </c>
      <c r="M456" s="10" cm="1">
        <f t="array" ref="M456">ROUND(L456*get_Üb(YEAR(A456),$M$8),2)</f>
        <v>6.41</v>
      </c>
      <c r="N456" s="10" cm="1">
        <f t="array" ref="N456">ROUND(R456*getParm(Tarifart,IF(C456&lt;BZDauer,"gamma1","gamma2")),2)</f>
        <v>0</v>
      </c>
      <c r="O456" s="10" cm="1">
        <f t="array" ref="O456">ROUND(R456*get_Üb(YEAR(A456),$O$8),2)</f>
        <v>0</v>
      </c>
      <c r="P456" s="19">
        <f t="shared" si="78"/>
        <v>0</v>
      </c>
      <c r="Q456" s="19" cm="1">
        <f t="array" ref="Q456">ROUND(P456+1/getKurs(EDATE(A456,-1))*(K456-L456-N456-getParm(Tarifart,"StK")+M456+O456),10)*(C456&lt;Dauer)</f>
        <v>0</v>
      </c>
      <c r="R456" s="10" cm="1">
        <f t="array" ref="R456">ROUND(P456*getKurs($A456),2)</f>
        <v>0</v>
      </c>
      <c r="S456" s="10" cm="1">
        <f t="array" ref="S456">ROUND(Q456*getKurs($A456),2)</f>
        <v>0</v>
      </c>
      <c r="T456" s="10">
        <f t="shared" si="74"/>
        <v>43200</v>
      </c>
      <c r="U456" s="10" cm="1">
        <f t="array" ref="U456">getParm(Tarifart,"StoSatz")*(Dauer-C456)*Beitrag*Zahlweise*(C456&lt;BZDauer)</f>
        <v>0</v>
      </c>
      <c r="V456" s="10">
        <f t="shared" si="79"/>
        <v>0</v>
      </c>
    </row>
    <row r="457" spans="1:22" x14ac:dyDescent="0.45">
      <c r="A457" s="15">
        <f t="shared" si="80"/>
        <v>50161</v>
      </c>
      <c r="B457">
        <f t="shared" si="81"/>
        <v>448</v>
      </c>
      <c r="C457">
        <f t="shared" si="75"/>
        <v>37</v>
      </c>
      <c r="D457">
        <f t="shared" si="82"/>
        <v>4</v>
      </c>
      <c r="E457">
        <f t="shared" ref="E457:E500" si="83">IF(MOD(B457,12/Zahlweise)=0,1,0)</f>
        <v>1</v>
      </c>
      <c r="F457" s="10">
        <f t="shared" ref="F457:F500" si="84">Beitrag*E457*(C457&lt;BZDauer)</f>
        <v>0</v>
      </c>
      <c r="G457" s="10" cm="1">
        <f t="array" ref="G457">ROUND(getParm(Tarifart,"alpha")/(2*Zahlweise)*BeiSum*(C457&lt;2)*E457,2)</f>
        <v>0</v>
      </c>
      <c r="H457" s="10" cm="1">
        <f t="array" ref="H457">ROUND(F457*getParm(Tarifart,"beta")*E457,2)</f>
        <v>0</v>
      </c>
      <c r="I457" s="10" cm="1">
        <f t="array" ref="I457">ROUND(F457*get_Üb(YEAR(A457),$I$8)*E457,2)</f>
        <v>0</v>
      </c>
      <c r="J457" s="10">
        <f t="shared" si="76"/>
        <v>0</v>
      </c>
      <c r="K457" s="10">
        <f t="shared" si="77"/>
        <v>0</v>
      </c>
      <c r="L457" s="10" cm="1">
        <f t="array" ref="L457">ROUND(1/12*MAX(MTSum-R457-K457,MRSum)*Act_qx(x+C457,Geschlecht,getParm(Tarifart,"Tafel"),YEAR(GebDat),x+Dauer,1),2)</f>
        <v>128.28</v>
      </c>
      <c r="M457" s="10" cm="1">
        <f t="array" ref="M457">ROUND(L457*get_Üb(YEAR(A457),$M$8),2)</f>
        <v>6.41</v>
      </c>
      <c r="N457" s="10" cm="1">
        <f t="array" ref="N457">ROUND(R457*getParm(Tarifart,IF(C457&lt;BZDauer,"gamma1","gamma2")),2)</f>
        <v>0</v>
      </c>
      <c r="O457" s="10" cm="1">
        <f t="array" ref="O457">ROUND(R457*get_Üb(YEAR(A457),$O$8),2)</f>
        <v>0</v>
      </c>
      <c r="P457" s="19">
        <f t="shared" si="78"/>
        <v>0</v>
      </c>
      <c r="Q457" s="19" cm="1">
        <f t="array" ref="Q457">ROUND(P457+1/getKurs(EDATE(A457,-1))*(K457-L457-N457-getParm(Tarifart,"StK")+M457+O457),10)*(C457&lt;Dauer)</f>
        <v>0</v>
      </c>
      <c r="R457" s="10" cm="1">
        <f t="array" ref="R457">ROUND(P457*getKurs($A457),2)</f>
        <v>0</v>
      </c>
      <c r="S457" s="10" cm="1">
        <f t="array" ref="S457">ROUND(Q457*getKurs($A457),2)</f>
        <v>0</v>
      </c>
      <c r="T457" s="10">
        <f t="shared" ref="T457:T500" si="85">ROUND(MAX(MTSum,R457+MRSum),2)</f>
        <v>43200</v>
      </c>
      <c r="U457" s="10" cm="1">
        <f t="array" ref="U457">getParm(Tarifart,"StoSatz")*(Dauer-C457)*Beitrag*Zahlweise*(C457&lt;BZDauer)</f>
        <v>0</v>
      </c>
      <c r="V457" s="10">
        <f t="shared" si="79"/>
        <v>0</v>
      </c>
    </row>
    <row r="458" spans="1:22" x14ac:dyDescent="0.45">
      <c r="A458" s="15">
        <f t="shared" si="80"/>
        <v>50192</v>
      </c>
      <c r="B458">
        <f t="shared" si="81"/>
        <v>449</v>
      </c>
      <c r="C458">
        <f t="shared" ref="C458:C500" si="86">QUOTIENT(B458,12)</f>
        <v>37</v>
      </c>
      <c r="D458">
        <f t="shared" si="82"/>
        <v>5</v>
      </c>
      <c r="E458">
        <f t="shared" si="83"/>
        <v>1</v>
      </c>
      <c r="F458" s="10">
        <f t="shared" si="84"/>
        <v>0</v>
      </c>
      <c r="G458" s="10" cm="1">
        <f t="array" ref="G458">ROUND(getParm(Tarifart,"alpha")/(2*Zahlweise)*BeiSum*(C458&lt;2)*E458,2)</f>
        <v>0</v>
      </c>
      <c r="H458" s="10" cm="1">
        <f t="array" ref="H458">ROUND(F458*getParm(Tarifart,"beta")*E458,2)</f>
        <v>0</v>
      </c>
      <c r="I458" s="10" cm="1">
        <f t="array" ref="I458">ROUND(F458*get_Üb(YEAR(A458),$I$8)*E458,2)</f>
        <v>0</v>
      </c>
      <c r="J458" s="10">
        <f t="shared" ref="J458:J500" si="87">G458+H458</f>
        <v>0</v>
      </c>
      <c r="K458" s="10">
        <f t="shared" ref="K458:K500" si="88">F458-J458+I458</f>
        <v>0</v>
      </c>
      <c r="L458" s="10" cm="1">
        <f t="array" ref="L458">ROUND(1/12*MAX(MTSum-R458-K458,MRSum)*Act_qx(x+C458,Geschlecht,getParm(Tarifart,"Tafel"),YEAR(GebDat),x+Dauer,1),2)</f>
        <v>128.28</v>
      </c>
      <c r="M458" s="10" cm="1">
        <f t="array" ref="M458">ROUND(L458*get_Üb(YEAR(A458),$M$8),2)</f>
        <v>6.41</v>
      </c>
      <c r="N458" s="10" cm="1">
        <f t="array" ref="N458">ROUND(R458*getParm(Tarifart,IF(C458&lt;BZDauer,"gamma1","gamma2")),2)</f>
        <v>0</v>
      </c>
      <c r="O458" s="10" cm="1">
        <f t="array" ref="O458">ROUND(R458*get_Üb(YEAR(A458),$O$8),2)</f>
        <v>0</v>
      </c>
      <c r="P458" s="19">
        <f t="shared" ref="P458:P500" si="89">Q457*(C458&lt;Dauer)</f>
        <v>0</v>
      </c>
      <c r="Q458" s="19" cm="1">
        <f t="array" ref="Q458">ROUND(P458+1/getKurs(EDATE(A458,-1))*(K458-L458-N458-getParm(Tarifart,"StK")+M458+O458),10)*(C458&lt;Dauer)</f>
        <v>0</v>
      </c>
      <c r="R458" s="10" cm="1">
        <f t="array" ref="R458">ROUND(P458*getKurs($A458),2)</f>
        <v>0</v>
      </c>
      <c r="S458" s="10" cm="1">
        <f t="array" ref="S458">ROUND(Q458*getKurs($A458),2)</f>
        <v>0</v>
      </c>
      <c r="T458" s="10">
        <f t="shared" si="85"/>
        <v>43200</v>
      </c>
      <c r="U458" s="10" cm="1">
        <f t="array" ref="U458">getParm(Tarifart,"StoSatz")*(Dauer-C458)*Beitrag*Zahlweise*(C458&lt;BZDauer)</f>
        <v>0</v>
      </c>
      <c r="V458" s="10">
        <f t="shared" ref="V458:V500" si="90">MAX(S458-U458,0)</f>
        <v>0</v>
      </c>
    </row>
    <row r="459" spans="1:22" x14ac:dyDescent="0.45">
      <c r="A459" s="15">
        <f t="shared" ref="A459:A500" si="91">EDATE(A458,1)</f>
        <v>50222</v>
      </c>
      <c r="B459">
        <f t="shared" si="81"/>
        <v>450</v>
      </c>
      <c r="C459">
        <f t="shared" si="86"/>
        <v>37</v>
      </c>
      <c r="D459">
        <f t="shared" si="82"/>
        <v>6</v>
      </c>
      <c r="E459">
        <f t="shared" si="83"/>
        <v>1</v>
      </c>
      <c r="F459" s="10">
        <f t="shared" si="84"/>
        <v>0</v>
      </c>
      <c r="G459" s="10" cm="1">
        <f t="array" ref="G459">ROUND(getParm(Tarifart,"alpha")/(2*Zahlweise)*BeiSum*(C459&lt;2)*E459,2)</f>
        <v>0</v>
      </c>
      <c r="H459" s="10" cm="1">
        <f t="array" ref="H459">ROUND(F459*getParm(Tarifart,"beta")*E459,2)</f>
        <v>0</v>
      </c>
      <c r="I459" s="10" cm="1">
        <f t="array" ref="I459">ROUND(F459*get_Üb(YEAR(A459),$I$8)*E459,2)</f>
        <v>0</v>
      </c>
      <c r="J459" s="10">
        <f t="shared" si="87"/>
        <v>0</v>
      </c>
      <c r="K459" s="10">
        <f t="shared" si="88"/>
        <v>0</v>
      </c>
      <c r="L459" s="10" cm="1">
        <f t="array" ref="L459">ROUND(1/12*MAX(MTSum-R459-K459,MRSum)*Act_qx(x+C459,Geschlecht,getParm(Tarifart,"Tafel"),YEAR(GebDat),x+Dauer,1),2)</f>
        <v>128.28</v>
      </c>
      <c r="M459" s="10" cm="1">
        <f t="array" ref="M459">ROUND(L459*get_Üb(YEAR(A459),$M$8),2)</f>
        <v>6.41</v>
      </c>
      <c r="N459" s="10" cm="1">
        <f t="array" ref="N459">ROUND(R459*getParm(Tarifart,IF(C459&lt;BZDauer,"gamma1","gamma2")),2)</f>
        <v>0</v>
      </c>
      <c r="O459" s="10" cm="1">
        <f t="array" ref="O459">ROUND(R459*get_Üb(YEAR(A459),$O$8),2)</f>
        <v>0</v>
      </c>
      <c r="P459" s="19">
        <f t="shared" si="89"/>
        <v>0</v>
      </c>
      <c r="Q459" s="19" cm="1">
        <f t="array" ref="Q459">ROUND(P459+1/getKurs(EDATE(A459,-1))*(K459-L459-N459-getParm(Tarifart,"StK")+M459+O459),10)*(C459&lt;Dauer)</f>
        <v>0</v>
      </c>
      <c r="R459" s="10" cm="1">
        <f t="array" ref="R459">ROUND(P459*getKurs($A459),2)</f>
        <v>0</v>
      </c>
      <c r="S459" s="10" cm="1">
        <f t="array" ref="S459">ROUND(Q459*getKurs($A459),2)</f>
        <v>0</v>
      </c>
      <c r="T459" s="10">
        <f t="shared" si="85"/>
        <v>43200</v>
      </c>
      <c r="U459" s="10" cm="1">
        <f t="array" ref="U459">getParm(Tarifart,"StoSatz")*(Dauer-C459)*Beitrag*Zahlweise*(C459&lt;BZDauer)</f>
        <v>0</v>
      </c>
      <c r="V459" s="10">
        <f t="shared" si="90"/>
        <v>0</v>
      </c>
    </row>
    <row r="460" spans="1:22" x14ac:dyDescent="0.45">
      <c r="A460" s="15">
        <f t="shared" si="91"/>
        <v>50253</v>
      </c>
      <c r="B460">
        <f t="shared" si="81"/>
        <v>451</v>
      </c>
      <c r="C460">
        <f t="shared" si="86"/>
        <v>37</v>
      </c>
      <c r="D460">
        <f t="shared" si="82"/>
        <v>7</v>
      </c>
      <c r="E460">
        <f t="shared" si="83"/>
        <v>1</v>
      </c>
      <c r="F460" s="10">
        <f t="shared" si="84"/>
        <v>0</v>
      </c>
      <c r="G460" s="10" cm="1">
        <f t="array" ref="G460">ROUND(getParm(Tarifart,"alpha")/(2*Zahlweise)*BeiSum*(C460&lt;2)*E460,2)</f>
        <v>0</v>
      </c>
      <c r="H460" s="10" cm="1">
        <f t="array" ref="H460">ROUND(F460*getParm(Tarifart,"beta")*E460,2)</f>
        <v>0</v>
      </c>
      <c r="I460" s="10" cm="1">
        <f t="array" ref="I460">ROUND(F460*get_Üb(YEAR(A460),$I$8)*E460,2)</f>
        <v>0</v>
      </c>
      <c r="J460" s="10">
        <f t="shared" si="87"/>
        <v>0</v>
      </c>
      <c r="K460" s="10">
        <f t="shared" si="88"/>
        <v>0</v>
      </c>
      <c r="L460" s="10" cm="1">
        <f t="array" ref="L460">ROUND(1/12*MAX(MTSum-R460-K460,MRSum)*Act_qx(x+C460,Geschlecht,getParm(Tarifart,"Tafel"),YEAR(GebDat),x+Dauer,1),2)</f>
        <v>128.28</v>
      </c>
      <c r="M460" s="10" cm="1">
        <f t="array" ref="M460">ROUND(L460*get_Üb(YEAR(A460),$M$8),2)</f>
        <v>6.41</v>
      </c>
      <c r="N460" s="10" cm="1">
        <f t="array" ref="N460">ROUND(R460*getParm(Tarifart,IF(C460&lt;BZDauer,"gamma1","gamma2")),2)</f>
        <v>0</v>
      </c>
      <c r="O460" s="10" cm="1">
        <f t="array" ref="O460">ROUND(R460*get_Üb(YEAR(A460),$O$8),2)</f>
        <v>0</v>
      </c>
      <c r="P460" s="19">
        <f t="shared" si="89"/>
        <v>0</v>
      </c>
      <c r="Q460" s="19" cm="1">
        <f t="array" ref="Q460">ROUND(P460+1/getKurs(EDATE(A460,-1))*(K460-L460-N460-getParm(Tarifart,"StK")+M460+O460),10)*(C460&lt;Dauer)</f>
        <v>0</v>
      </c>
      <c r="R460" s="10" cm="1">
        <f t="array" ref="R460">ROUND(P460*getKurs($A460),2)</f>
        <v>0</v>
      </c>
      <c r="S460" s="10" cm="1">
        <f t="array" ref="S460">ROUND(Q460*getKurs($A460),2)</f>
        <v>0</v>
      </c>
      <c r="T460" s="10">
        <f t="shared" si="85"/>
        <v>43200</v>
      </c>
      <c r="U460" s="10" cm="1">
        <f t="array" ref="U460">getParm(Tarifart,"StoSatz")*(Dauer-C460)*Beitrag*Zahlweise*(C460&lt;BZDauer)</f>
        <v>0</v>
      </c>
      <c r="V460" s="10">
        <f t="shared" si="90"/>
        <v>0</v>
      </c>
    </row>
    <row r="461" spans="1:22" x14ac:dyDescent="0.45">
      <c r="A461" s="15">
        <f t="shared" si="91"/>
        <v>50284</v>
      </c>
      <c r="B461">
        <f t="shared" si="81"/>
        <v>452</v>
      </c>
      <c r="C461">
        <f t="shared" si="86"/>
        <v>37</v>
      </c>
      <c r="D461">
        <f t="shared" si="82"/>
        <v>8</v>
      </c>
      <c r="E461">
        <f t="shared" si="83"/>
        <v>1</v>
      </c>
      <c r="F461" s="10">
        <f t="shared" si="84"/>
        <v>0</v>
      </c>
      <c r="G461" s="10" cm="1">
        <f t="array" ref="G461">ROUND(getParm(Tarifart,"alpha")/(2*Zahlweise)*BeiSum*(C461&lt;2)*E461,2)</f>
        <v>0</v>
      </c>
      <c r="H461" s="10" cm="1">
        <f t="array" ref="H461">ROUND(F461*getParm(Tarifart,"beta")*E461,2)</f>
        <v>0</v>
      </c>
      <c r="I461" s="10" cm="1">
        <f t="array" ref="I461">ROUND(F461*get_Üb(YEAR(A461),$I$8)*E461,2)</f>
        <v>0</v>
      </c>
      <c r="J461" s="10">
        <f t="shared" si="87"/>
        <v>0</v>
      </c>
      <c r="K461" s="10">
        <f t="shared" si="88"/>
        <v>0</v>
      </c>
      <c r="L461" s="10" cm="1">
        <f t="array" ref="L461">ROUND(1/12*MAX(MTSum-R461-K461,MRSum)*Act_qx(x+C461,Geschlecht,getParm(Tarifart,"Tafel"),YEAR(GebDat),x+Dauer,1),2)</f>
        <v>128.28</v>
      </c>
      <c r="M461" s="10" cm="1">
        <f t="array" ref="M461">ROUND(L461*get_Üb(YEAR(A461),$M$8),2)</f>
        <v>6.41</v>
      </c>
      <c r="N461" s="10" cm="1">
        <f t="array" ref="N461">ROUND(R461*getParm(Tarifart,IF(C461&lt;BZDauer,"gamma1","gamma2")),2)</f>
        <v>0</v>
      </c>
      <c r="O461" s="10" cm="1">
        <f t="array" ref="O461">ROUND(R461*get_Üb(YEAR(A461),$O$8),2)</f>
        <v>0</v>
      </c>
      <c r="P461" s="19">
        <f t="shared" si="89"/>
        <v>0</v>
      </c>
      <c r="Q461" s="19" cm="1">
        <f t="array" ref="Q461">ROUND(P461+1/getKurs(EDATE(A461,-1))*(K461-L461-N461-getParm(Tarifart,"StK")+M461+O461),10)*(C461&lt;Dauer)</f>
        <v>0</v>
      </c>
      <c r="R461" s="10" cm="1">
        <f t="array" ref="R461">ROUND(P461*getKurs($A461),2)</f>
        <v>0</v>
      </c>
      <c r="S461" s="10" cm="1">
        <f t="array" ref="S461">ROUND(Q461*getKurs($A461),2)</f>
        <v>0</v>
      </c>
      <c r="T461" s="10">
        <f t="shared" si="85"/>
        <v>43200</v>
      </c>
      <c r="U461" s="10" cm="1">
        <f t="array" ref="U461">getParm(Tarifart,"StoSatz")*(Dauer-C461)*Beitrag*Zahlweise*(C461&lt;BZDauer)</f>
        <v>0</v>
      </c>
      <c r="V461" s="10">
        <f t="shared" si="90"/>
        <v>0</v>
      </c>
    </row>
    <row r="462" spans="1:22" x14ac:dyDescent="0.45">
      <c r="A462" s="15">
        <f t="shared" si="91"/>
        <v>50314</v>
      </c>
      <c r="B462">
        <f t="shared" si="81"/>
        <v>453</v>
      </c>
      <c r="C462">
        <f t="shared" si="86"/>
        <v>37</v>
      </c>
      <c r="D462">
        <f t="shared" si="82"/>
        <v>9</v>
      </c>
      <c r="E462">
        <f t="shared" si="83"/>
        <v>1</v>
      </c>
      <c r="F462" s="10">
        <f t="shared" si="84"/>
        <v>0</v>
      </c>
      <c r="G462" s="10" cm="1">
        <f t="array" ref="G462">ROUND(getParm(Tarifart,"alpha")/(2*Zahlweise)*BeiSum*(C462&lt;2)*E462,2)</f>
        <v>0</v>
      </c>
      <c r="H462" s="10" cm="1">
        <f t="array" ref="H462">ROUND(F462*getParm(Tarifart,"beta")*E462,2)</f>
        <v>0</v>
      </c>
      <c r="I462" s="10" cm="1">
        <f t="array" ref="I462">ROUND(F462*get_Üb(YEAR(A462),$I$8)*E462,2)</f>
        <v>0</v>
      </c>
      <c r="J462" s="10">
        <f t="shared" si="87"/>
        <v>0</v>
      </c>
      <c r="K462" s="10">
        <f t="shared" si="88"/>
        <v>0</v>
      </c>
      <c r="L462" s="10" cm="1">
        <f t="array" ref="L462">ROUND(1/12*MAX(MTSum-R462-K462,MRSum)*Act_qx(x+C462,Geschlecht,getParm(Tarifart,"Tafel"),YEAR(GebDat),x+Dauer,1),2)</f>
        <v>128.28</v>
      </c>
      <c r="M462" s="10" cm="1">
        <f t="array" ref="M462">ROUND(L462*get_Üb(YEAR(A462),$M$8),2)</f>
        <v>6.41</v>
      </c>
      <c r="N462" s="10" cm="1">
        <f t="array" ref="N462">ROUND(R462*getParm(Tarifart,IF(C462&lt;BZDauer,"gamma1","gamma2")),2)</f>
        <v>0</v>
      </c>
      <c r="O462" s="10" cm="1">
        <f t="array" ref="O462">ROUND(R462*get_Üb(YEAR(A462),$O$8),2)</f>
        <v>0</v>
      </c>
      <c r="P462" s="19">
        <f t="shared" si="89"/>
        <v>0</v>
      </c>
      <c r="Q462" s="19" cm="1">
        <f t="array" ref="Q462">ROUND(P462+1/getKurs(EDATE(A462,-1))*(K462-L462-N462-getParm(Tarifart,"StK")+M462+O462),10)*(C462&lt;Dauer)</f>
        <v>0</v>
      </c>
      <c r="R462" s="10" cm="1">
        <f t="array" ref="R462">ROUND(P462*getKurs($A462),2)</f>
        <v>0</v>
      </c>
      <c r="S462" s="10" cm="1">
        <f t="array" ref="S462">ROUND(Q462*getKurs($A462),2)</f>
        <v>0</v>
      </c>
      <c r="T462" s="10">
        <f t="shared" si="85"/>
        <v>43200</v>
      </c>
      <c r="U462" s="10" cm="1">
        <f t="array" ref="U462">getParm(Tarifart,"StoSatz")*(Dauer-C462)*Beitrag*Zahlweise*(C462&lt;BZDauer)</f>
        <v>0</v>
      </c>
      <c r="V462" s="10">
        <f t="shared" si="90"/>
        <v>0</v>
      </c>
    </row>
    <row r="463" spans="1:22" x14ac:dyDescent="0.45">
      <c r="A463" s="15">
        <f t="shared" si="91"/>
        <v>50345</v>
      </c>
      <c r="B463">
        <f t="shared" si="81"/>
        <v>454</v>
      </c>
      <c r="C463">
        <f t="shared" si="86"/>
        <v>37</v>
      </c>
      <c r="D463">
        <f t="shared" si="82"/>
        <v>10</v>
      </c>
      <c r="E463">
        <f t="shared" si="83"/>
        <v>1</v>
      </c>
      <c r="F463" s="10">
        <f t="shared" si="84"/>
        <v>0</v>
      </c>
      <c r="G463" s="10" cm="1">
        <f t="array" ref="G463">ROUND(getParm(Tarifart,"alpha")/(2*Zahlweise)*BeiSum*(C463&lt;2)*E463,2)</f>
        <v>0</v>
      </c>
      <c r="H463" s="10" cm="1">
        <f t="array" ref="H463">ROUND(F463*getParm(Tarifart,"beta")*E463,2)</f>
        <v>0</v>
      </c>
      <c r="I463" s="10" cm="1">
        <f t="array" ref="I463">ROUND(F463*get_Üb(YEAR(A463),$I$8)*E463,2)</f>
        <v>0</v>
      </c>
      <c r="J463" s="10">
        <f t="shared" si="87"/>
        <v>0</v>
      </c>
      <c r="K463" s="10">
        <f t="shared" si="88"/>
        <v>0</v>
      </c>
      <c r="L463" s="10" cm="1">
        <f t="array" ref="L463">ROUND(1/12*MAX(MTSum-R463-K463,MRSum)*Act_qx(x+C463,Geschlecht,getParm(Tarifart,"Tafel"),YEAR(GebDat),x+Dauer,1),2)</f>
        <v>128.28</v>
      </c>
      <c r="M463" s="10" cm="1">
        <f t="array" ref="M463">ROUND(L463*get_Üb(YEAR(A463),$M$8),2)</f>
        <v>6.41</v>
      </c>
      <c r="N463" s="10" cm="1">
        <f t="array" ref="N463">ROUND(R463*getParm(Tarifart,IF(C463&lt;BZDauer,"gamma1","gamma2")),2)</f>
        <v>0</v>
      </c>
      <c r="O463" s="10" cm="1">
        <f t="array" ref="O463">ROUND(R463*get_Üb(YEAR(A463),$O$8),2)</f>
        <v>0</v>
      </c>
      <c r="P463" s="19">
        <f t="shared" si="89"/>
        <v>0</v>
      </c>
      <c r="Q463" s="19" cm="1">
        <f t="array" ref="Q463">ROUND(P463+1/getKurs(EDATE(A463,-1))*(K463-L463-N463-getParm(Tarifart,"StK")+M463+O463),10)*(C463&lt;Dauer)</f>
        <v>0</v>
      </c>
      <c r="R463" s="10" cm="1">
        <f t="array" ref="R463">ROUND(P463*getKurs($A463),2)</f>
        <v>0</v>
      </c>
      <c r="S463" s="10" cm="1">
        <f t="array" ref="S463">ROUND(Q463*getKurs($A463),2)</f>
        <v>0</v>
      </c>
      <c r="T463" s="10">
        <f t="shared" si="85"/>
        <v>43200</v>
      </c>
      <c r="U463" s="10" cm="1">
        <f t="array" ref="U463">getParm(Tarifart,"StoSatz")*(Dauer-C463)*Beitrag*Zahlweise*(C463&lt;BZDauer)</f>
        <v>0</v>
      </c>
      <c r="V463" s="10">
        <f t="shared" si="90"/>
        <v>0</v>
      </c>
    </row>
    <row r="464" spans="1:22" x14ac:dyDescent="0.45">
      <c r="A464" s="15">
        <f t="shared" si="91"/>
        <v>50375</v>
      </c>
      <c r="B464">
        <f t="shared" si="81"/>
        <v>455</v>
      </c>
      <c r="C464">
        <f t="shared" si="86"/>
        <v>37</v>
      </c>
      <c r="D464">
        <f t="shared" si="82"/>
        <v>11</v>
      </c>
      <c r="E464">
        <f t="shared" si="83"/>
        <v>1</v>
      </c>
      <c r="F464" s="10">
        <f t="shared" si="84"/>
        <v>0</v>
      </c>
      <c r="G464" s="10" cm="1">
        <f t="array" ref="G464">ROUND(getParm(Tarifart,"alpha")/(2*Zahlweise)*BeiSum*(C464&lt;2)*E464,2)</f>
        <v>0</v>
      </c>
      <c r="H464" s="10" cm="1">
        <f t="array" ref="H464">ROUND(F464*getParm(Tarifart,"beta")*E464,2)</f>
        <v>0</v>
      </c>
      <c r="I464" s="10" cm="1">
        <f t="array" ref="I464">ROUND(F464*get_Üb(YEAR(A464),$I$8)*E464,2)</f>
        <v>0</v>
      </c>
      <c r="J464" s="10">
        <f t="shared" si="87"/>
        <v>0</v>
      </c>
      <c r="K464" s="10">
        <f t="shared" si="88"/>
        <v>0</v>
      </c>
      <c r="L464" s="10" cm="1">
        <f t="array" ref="L464">ROUND(1/12*MAX(MTSum-R464-K464,MRSum)*Act_qx(x+C464,Geschlecht,getParm(Tarifart,"Tafel"),YEAR(GebDat),x+Dauer,1),2)</f>
        <v>128.28</v>
      </c>
      <c r="M464" s="10" cm="1">
        <f t="array" ref="M464">ROUND(L464*get_Üb(YEAR(A464),$M$8),2)</f>
        <v>6.41</v>
      </c>
      <c r="N464" s="10" cm="1">
        <f t="array" ref="N464">ROUND(R464*getParm(Tarifart,IF(C464&lt;BZDauer,"gamma1","gamma2")),2)</f>
        <v>0</v>
      </c>
      <c r="O464" s="10" cm="1">
        <f t="array" ref="O464">ROUND(R464*get_Üb(YEAR(A464),$O$8),2)</f>
        <v>0</v>
      </c>
      <c r="P464" s="19">
        <f t="shared" si="89"/>
        <v>0</v>
      </c>
      <c r="Q464" s="19" cm="1">
        <f t="array" ref="Q464">ROUND(P464+1/getKurs(EDATE(A464,-1))*(K464-L464-N464-getParm(Tarifart,"StK")+M464+O464),10)*(C464&lt;Dauer)</f>
        <v>0</v>
      </c>
      <c r="R464" s="10" cm="1">
        <f t="array" ref="R464">ROUND(P464*getKurs($A464),2)</f>
        <v>0</v>
      </c>
      <c r="S464" s="10" cm="1">
        <f t="array" ref="S464">ROUND(Q464*getKurs($A464),2)</f>
        <v>0</v>
      </c>
      <c r="T464" s="10">
        <f t="shared" si="85"/>
        <v>43200</v>
      </c>
      <c r="U464" s="10" cm="1">
        <f t="array" ref="U464">getParm(Tarifart,"StoSatz")*(Dauer-C464)*Beitrag*Zahlweise*(C464&lt;BZDauer)</f>
        <v>0</v>
      </c>
      <c r="V464" s="10">
        <f t="shared" si="90"/>
        <v>0</v>
      </c>
    </row>
    <row r="465" spans="1:22" x14ac:dyDescent="0.45">
      <c r="A465" s="15">
        <f t="shared" si="91"/>
        <v>50406</v>
      </c>
      <c r="B465">
        <f t="shared" si="81"/>
        <v>456</v>
      </c>
      <c r="C465">
        <f t="shared" si="86"/>
        <v>38</v>
      </c>
      <c r="D465">
        <f t="shared" si="82"/>
        <v>0</v>
      </c>
      <c r="E465">
        <f t="shared" si="83"/>
        <v>1</v>
      </c>
      <c r="F465" s="10">
        <f t="shared" si="84"/>
        <v>0</v>
      </c>
      <c r="G465" s="10" cm="1">
        <f t="array" ref="G465">ROUND(getParm(Tarifart,"alpha")/(2*Zahlweise)*BeiSum*(C465&lt;2)*E465,2)</f>
        <v>0</v>
      </c>
      <c r="H465" s="10" cm="1">
        <f t="array" ref="H465">ROUND(F465*getParm(Tarifart,"beta")*E465,2)</f>
        <v>0</v>
      </c>
      <c r="I465" s="10" cm="1">
        <f t="array" ref="I465">ROUND(F465*get_Üb(YEAR(A465),$I$8)*E465,2)</f>
        <v>0</v>
      </c>
      <c r="J465" s="10">
        <f t="shared" si="87"/>
        <v>0</v>
      </c>
      <c r="K465" s="10">
        <f t="shared" si="88"/>
        <v>0</v>
      </c>
      <c r="L465" s="10" cm="1">
        <f t="array" ref="L465">ROUND(1/12*MAX(MTSum-R465-K465,MRSum)*Act_qx(x+C465,Geschlecht,getParm(Tarifart,"Tafel"),YEAR(GebDat),x+Dauer,1),2)</f>
        <v>141.21</v>
      </c>
      <c r="M465" s="10" cm="1">
        <f t="array" ref="M465">ROUND(L465*get_Üb(YEAR(A465),$M$8),2)</f>
        <v>7.06</v>
      </c>
      <c r="N465" s="10" cm="1">
        <f t="array" ref="N465">ROUND(R465*getParm(Tarifart,IF(C465&lt;BZDauer,"gamma1","gamma2")),2)</f>
        <v>0</v>
      </c>
      <c r="O465" s="10" cm="1">
        <f t="array" ref="O465">ROUND(R465*get_Üb(YEAR(A465),$O$8),2)</f>
        <v>0</v>
      </c>
      <c r="P465" s="19">
        <f t="shared" si="89"/>
        <v>0</v>
      </c>
      <c r="Q465" s="19" cm="1">
        <f t="array" ref="Q465">ROUND(P465+1/getKurs(EDATE(A465,-1))*(K465-L465-N465-getParm(Tarifart,"StK")+M465+O465),10)*(C465&lt;Dauer)</f>
        <v>0</v>
      </c>
      <c r="R465" s="10" cm="1">
        <f t="array" ref="R465">ROUND(P465*getKurs($A465),2)</f>
        <v>0</v>
      </c>
      <c r="S465" s="10" cm="1">
        <f t="array" ref="S465">ROUND(Q465*getKurs($A465),2)</f>
        <v>0</v>
      </c>
      <c r="T465" s="10">
        <f t="shared" si="85"/>
        <v>43200</v>
      </c>
      <c r="U465" s="10" cm="1">
        <f t="array" ref="U465">getParm(Tarifart,"StoSatz")*(Dauer-C465)*Beitrag*Zahlweise*(C465&lt;BZDauer)</f>
        <v>0</v>
      </c>
      <c r="V465" s="10">
        <f t="shared" si="90"/>
        <v>0</v>
      </c>
    </row>
    <row r="466" spans="1:22" x14ac:dyDescent="0.45">
      <c r="A466" s="15">
        <f t="shared" si="91"/>
        <v>50437</v>
      </c>
      <c r="B466">
        <f t="shared" si="81"/>
        <v>457</v>
      </c>
      <c r="C466">
        <f t="shared" si="86"/>
        <v>38</v>
      </c>
      <c r="D466">
        <f t="shared" si="82"/>
        <v>1</v>
      </c>
      <c r="E466">
        <f t="shared" si="83"/>
        <v>1</v>
      </c>
      <c r="F466" s="10">
        <f t="shared" si="84"/>
        <v>0</v>
      </c>
      <c r="G466" s="10" cm="1">
        <f t="array" ref="G466">ROUND(getParm(Tarifart,"alpha")/(2*Zahlweise)*BeiSum*(C466&lt;2)*E466,2)</f>
        <v>0</v>
      </c>
      <c r="H466" s="10" cm="1">
        <f t="array" ref="H466">ROUND(F466*getParm(Tarifart,"beta")*E466,2)</f>
        <v>0</v>
      </c>
      <c r="I466" s="10" cm="1">
        <f t="array" ref="I466">ROUND(F466*get_Üb(YEAR(A466),$I$8)*E466,2)</f>
        <v>0</v>
      </c>
      <c r="J466" s="10">
        <f t="shared" si="87"/>
        <v>0</v>
      </c>
      <c r="K466" s="10">
        <f t="shared" si="88"/>
        <v>0</v>
      </c>
      <c r="L466" s="10" cm="1">
        <f t="array" ref="L466">ROUND(1/12*MAX(MTSum-R466-K466,MRSum)*Act_qx(x+C466,Geschlecht,getParm(Tarifart,"Tafel"),YEAR(GebDat),x+Dauer,1),2)</f>
        <v>141.21</v>
      </c>
      <c r="M466" s="10" cm="1">
        <f t="array" ref="M466">ROUND(L466*get_Üb(YEAR(A466),$M$8),2)</f>
        <v>7.06</v>
      </c>
      <c r="N466" s="10" cm="1">
        <f t="array" ref="N466">ROUND(R466*getParm(Tarifart,IF(C466&lt;BZDauer,"gamma1","gamma2")),2)</f>
        <v>0</v>
      </c>
      <c r="O466" s="10" cm="1">
        <f t="array" ref="O466">ROUND(R466*get_Üb(YEAR(A466),$O$8),2)</f>
        <v>0</v>
      </c>
      <c r="P466" s="19">
        <f t="shared" si="89"/>
        <v>0</v>
      </c>
      <c r="Q466" s="19" cm="1">
        <f t="array" ref="Q466">ROUND(P466+1/getKurs(EDATE(A466,-1))*(K466-L466-N466-getParm(Tarifart,"StK")+M466+O466),10)*(C466&lt;Dauer)</f>
        <v>0</v>
      </c>
      <c r="R466" s="10" cm="1">
        <f t="array" ref="R466">ROUND(P466*getKurs($A466),2)</f>
        <v>0</v>
      </c>
      <c r="S466" s="10" cm="1">
        <f t="array" ref="S466">ROUND(Q466*getKurs($A466),2)</f>
        <v>0</v>
      </c>
      <c r="T466" s="10">
        <f t="shared" si="85"/>
        <v>43200</v>
      </c>
      <c r="U466" s="10" cm="1">
        <f t="array" ref="U466">getParm(Tarifart,"StoSatz")*(Dauer-C466)*Beitrag*Zahlweise*(C466&lt;BZDauer)</f>
        <v>0</v>
      </c>
      <c r="V466" s="10">
        <f t="shared" si="90"/>
        <v>0</v>
      </c>
    </row>
    <row r="467" spans="1:22" x14ac:dyDescent="0.45">
      <c r="A467" s="15">
        <f t="shared" si="91"/>
        <v>50465</v>
      </c>
      <c r="B467">
        <f t="shared" si="81"/>
        <v>458</v>
      </c>
      <c r="C467">
        <f t="shared" si="86"/>
        <v>38</v>
      </c>
      <c r="D467">
        <f t="shared" si="82"/>
        <v>2</v>
      </c>
      <c r="E467">
        <f t="shared" si="83"/>
        <v>1</v>
      </c>
      <c r="F467" s="10">
        <f t="shared" si="84"/>
        <v>0</v>
      </c>
      <c r="G467" s="10" cm="1">
        <f t="array" ref="G467">ROUND(getParm(Tarifart,"alpha")/(2*Zahlweise)*BeiSum*(C467&lt;2)*E467,2)</f>
        <v>0</v>
      </c>
      <c r="H467" s="10" cm="1">
        <f t="array" ref="H467">ROUND(F467*getParm(Tarifart,"beta")*E467,2)</f>
        <v>0</v>
      </c>
      <c r="I467" s="10" cm="1">
        <f t="array" ref="I467">ROUND(F467*get_Üb(YEAR(A467),$I$8)*E467,2)</f>
        <v>0</v>
      </c>
      <c r="J467" s="10">
        <f t="shared" si="87"/>
        <v>0</v>
      </c>
      <c r="K467" s="10">
        <f t="shared" si="88"/>
        <v>0</v>
      </c>
      <c r="L467" s="10" cm="1">
        <f t="array" ref="L467">ROUND(1/12*MAX(MTSum-R467-K467,MRSum)*Act_qx(x+C467,Geschlecht,getParm(Tarifart,"Tafel"),YEAR(GebDat),x+Dauer,1),2)</f>
        <v>141.21</v>
      </c>
      <c r="M467" s="10" cm="1">
        <f t="array" ref="M467">ROUND(L467*get_Üb(YEAR(A467),$M$8),2)</f>
        <v>7.06</v>
      </c>
      <c r="N467" s="10" cm="1">
        <f t="array" ref="N467">ROUND(R467*getParm(Tarifart,IF(C467&lt;BZDauer,"gamma1","gamma2")),2)</f>
        <v>0</v>
      </c>
      <c r="O467" s="10" cm="1">
        <f t="array" ref="O467">ROUND(R467*get_Üb(YEAR(A467),$O$8),2)</f>
        <v>0</v>
      </c>
      <c r="P467" s="19">
        <f t="shared" si="89"/>
        <v>0</v>
      </c>
      <c r="Q467" s="19" cm="1">
        <f t="array" ref="Q467">ROUND(P467+1/getKurs(EDATE(A467,-1))*(K467-L467-N467-getParm(Tarifart,"StK")+M467+O467),10)*(C467&lt;Dauer)</f>
        <v>0</v>
      </c>
      <c r="R467" s="10" cm="1">
        <f t="array" ref="R467">ROUND(P467*getKurs($A467),2)</f>
        <v>0</v>
      </c>
      <c r="S467" s="10" cm="1">
        <f t="array" ref="S467">ROUND(Q467*getKurs($A467),2)</f>
        <v>0</v>
      </c>
      <c r="T467" s="10">
        <f t="shared" si="85"/>
        <v>43200</v>
      </c>
      <c r="U467" s="10" cm="1">
        <f t="array" ref="U467">getParm(Tarifart,"StoSatz")*(Dauer-C467)*Beitrag*Zahlweise*(C467&lt;BZDauer)</f>
        <v>0</v>
      </c>
      <c r="V467" s="10">
        <f t="shared" si="90"/>
        <v>0</v>
      </c>
    </row>
    <row r="468" spans="1:22" x14ac:dyDescent="0.45">
      <c r="A468" s="15">
        <f t="shared" si="91"/>
        <v>50496</v>
      </c>
      <c r="B468">
        <f t="shared" si="81"/>
        <v>459</v>
      </c>
      <c r="C468">
        <f t="shared" si="86"/>
        <v>38</v>
      </c>
      <c r="D468">
        <f t="shared" si="82"/>
        <v>3</v>
      </c>
      <c r="E468">
        <f t="shared" si="83"/>
        <v>1</v>
      </c>
      <c r="F468" s="10">
        <f t="shared" si="84"/>
        <v>0</v>
      </c>
      <c r="G468" s="10" cm="1">
        <f t="array" ref="G468">ROUND(getParm(Tarifart,"alpha")/(2*Zahlweise)*BeiSum*(C468&lt;2)*E468,2)</f>
        <v>0</v>
      </c>
      <c r="H468" s="10" cm="1">
        <f t="array" ref="H468">ROUND(F468*getParm(Tarifart,"beta")*E468,2)</f>
        <v>0</v>
      </c>
      <c r="I468" s="10" cm="1">
        <f t="array" ref="I468">ROUND(F468*get_Üb(YEAR(A468),$I$8)*E468,2)</f>
        <v>0</v>
      </c>
      <c r="J468" s="10">
        <f t="shared" si="87"/>
        <v>0</v>
      </c>
      <c r="K468" s="10">
        <f t="shared" si="88"/>
        <v>0</v>
      </c>
      <c r="L468" s="10" cm="1">
        <f t="array" ref="L468">ROUND(1/12*MAX(MTSum-R468-K468,MRSum)*Act_qx(x+C468,Geschlecht,getParm(Tarifart,"Tafel"),YEAR(GebDat),x+Dauer,1),2)</f>
        <v>141.21</v>
      </c>
      <c r="M468" s="10" cm="1">
        <f t="array" ref="M468">ROUND(L468*get_Üb(YEAR(A468),$M$8),2)</f>
        <v>7.06</v>
      </c>
      <c r="N468" s="10" cm="1">
        <f t="array" ref="N468">ROUND(R468*getParm(Tarifart,IF(C468&lt;BZDauer,"gamma1","gamma2")),2)</f>
        <v>0</v>
      </c>
      <c r="O468" s="10" cm="1">
        <f t="array" ref="O468">ROUND(R468*get_Üb(YEAR(A468),$O$8),2)</f>
        <v>0</v>
      </c>
      <c r="P468" s="19">
        <f t="shared" si="89"/>
        <v>0</v>
      </c>
      <c r="Q468" s="19" cm="1">
        <f t="array" ref="Q468">ROUND(P468+1/getKurs(EDATE(A468,-1))*(K468-L468-N468-getParm(Tarifart,"StK")+M468+O468),10)*(C468&lt;Dauer)</f>
        <v>0</v>
      </c>
      <c r="R468" s="10" cm="1">
        <f t="array" ref="R468">ROUND(P468*getKurs($A468),2)</f>
        <v>0</v>
      </c>
      <c r="S468" s="10" cm="1">
        <f t="array" ref="S468">ROUND(Q468*getKurs($A468),2)</f>
        <v>0</v>
      </c>
      <c r="T468" s="10">
        <f t="shared" si="85"/>
        <v>43200</v>
      </c>
      <c r="U468" s="10" cm="1">
        <f t="array" ref="U468">getParm(Tarifart,"StoSatz")*(Dauer-C468)*Beitrag*Zahlweise*(C468&lt;BZDauer)</f>
        <v>0</v>
      </c>
      <c r="V468" s="10">
        <f t="shared" si="90"/>
        <v>0</v>
      </c>
    </row>
    <row r="469" spans="1:22" x14ac:dyDescent="0.45">
      <c r="A469" s="15">
        <f t="shared" si="91"/>
        <v>50526</v>
      </c>
      <c r="B469">
        <f t="shared" si="81"/>
        <v>460</v>
      </c>
      <c r="C469">
        <f t="shared" si="86"/>
        <v>38</v>
      </c>
      <c r="D469">
        <f t="shared" si="82"/>
        <v>4</v>
      </c>
      <c r="E469">
        <f t="shared" si="83"/>
        <v>1</v>
      </c>
      <c r="F469" s="10">
        <f t="shared" si="84"/>
        <v>0</v>
      </c>
      <c r="G469" s="10" cm="1">
        <f t="array" ref="G469">ROUND(getParm(Tarifart,"alpha")/(2*Zahlweise)*BeiSum*(C469&lt;2)*E469,2)</f>
        <v>0</v>
      </c>
      <c r="H469" s="10" cm="1">
        <f t="array" ref="H469">ROUND(F469*getParm(Tarifart,"beta")*E469,2)</f>
        <v>0</v>
      </c>
      <c r="I469" s="10" cm="1">
        <f t="array" ref="I469">ROUND(F469*get_Üb(YEAR(A469),$I$8)*E469,2)</f>
        <v>0</v>
      </c>
      <c r="J469" s="10">
        <f t="shared" si="87"/>
        <v>0</v>
      </c>
      <c r="K469" s="10">
        <f t="shared" si="88"/>
        <v>0</v>
      </c>
      <c r="L469" s="10" cm="1">
        <f t="array" ref="L469">ROUND(1/12*MAX(MTSum-R469-K469,MRSum)*Act_qx(x+C469,Geschlecht,getParm(Tarifart,"Tafel"),YEAR(GebDat),x+Dauer,1),2)</f>
        <v>141.21</v>
      </c>
      <c r="M469" s="10" cm="1">
        <f t="array" ref="M469">ROUND(L469*get_Üb(YEAR(A469),$M$8),2)</f>
        <v>7.06</v>
      </c>
      <c r="N469" s="10" cm="1">
        <f t="array" ref="N469">ROUND(R469*getParm(Tarifart,IF(C469&lt;BZDauer,"gamma1","gamma2")),2)</f>
        <v>0</v>
      </c>
      <c r="O469" s="10" cm="1">
        <f t="array" ref="O469">ROUND(R469*get_Üb(YEAR(A469),$O$8),2)</f>
        <v>0</v>
      </c>
      <c r="P469" s="19">
        <f t="shared" si="89"/>
        <v>0</v>
      </c>
      <c r="Q469" s="19" cm="1">
        <f t="array" ref="Q469">ROUND(P469+1/getKurs(EDATE(A469,-1))*(K469-L469-N469-getParm(Tarifart,"StK")+M469+O469),10)*(C469&lt;Dauer)</f>
        <v>0</v>
      </c>
      <c r="R469" s="10" cm="1">
        <f t="array" ref="R469">ROUND(P469*getKurs($A469),2)</f>
        <v>0</v>
      </c>
      <c r="S469" s="10" cm="1">
        <f t="array" ref="S469">ROUND(Q469*getKurs($A469),2)</f>
        <v>0</v>
      </c>
      <c r="T469" s="10">
        <f t="shared" si="85"/>
        <v>43200</v>
      </c>
      <c r="U469" s="10" cm="1">
        <f t="array" ref="U469">getParm(Tarifart,"StoSatz")*(Dauer-C469)*Beitrag*Zahlweise*(C469&lt;BZDauer)</f>
        <v>0</v>
      </c>
      <c r="V469" s="10">
        <f t="shared" si="90"/>
        <v>0</v>
      </c>
    </row>
    <row r="470" spans="1:22" x14ac:dyDescent="0.45">
      <c r="A470" s="15">
        <f t="shared" si="91"/>
        <v>50557</v>
      </c>
      <c r="B470">
        <f t="shared" si="81"/>
        <v>461</v>
      </c>
      <c r="C470">
        <f t="shared" si="86"/>
        <v>38</v>
      </c>
      <c r="D470">
        <f t="shared" si="82"/>
        <v>5</v>
      </c>
      <c r="E470">
        <f t="shared" si="83"/>
        <v>1</v>
      </c>
      <c r="F470" s="10">
        <f t="shared" si="84"/>
        <v>0</v>
      </c>
      <c r="G470" s="10" cm="1">
        <f t="array" ref="G470">ROUND(getParm(Tarifart,"alpha")/(2*Zahlweise)*BeiSum*(C470&lt;2)*E470,2)</f>
        <v>0</v>
      </c>
      <c r="H470" s="10" cm="1">
        <f t="array" ref="H470">ROUND(F470*getParm(Tarifart,"beta")*E470,2)</f>
        <v>0</v>
      </c>
      <c r="I470" s="10" cm="1">
        <f t="array" ref="I470">ROUND(F470*get_Üb(YEAR(A470),$I$8)*E470,2)</f>
        <v>0</v>
      </c>
      <c r="J470" s="10">
        <f t="shared" si="87"/>
        <v>0</v>
      </c>
      <c r="K470" s="10">
        <f t="shared" si="88"/>
        <v>0</v>
      </c>
      <c r="L470" s="10" cm="1">
        <f t="array" ref="L470">ROUND(1/12*MAX(MTSum-R470-K470,MRSum)*Act_qx(x+C470,Geschlecht,getParm(Tarifart,"Tafel"),YEAR(GebDat),x+Dauer,1),2)</f>
        <v>141.21</v>
      </c>
      <c r="M470" s="10" cm="1">
        <f t="array" ref="M470">ROUND(L470*get_Üb(YEAR(A470),$M$8),2)</f>
        <v>7.06</v>
      </c>
      <c r="N470" s="10" cm="1">
        <f t="array" ref="N470">ROUND(R470*getParm(Tarifart,IF(C470&lt;BZDauer,"gamma1","gamma2")),2)</f>
        <v>0</v>
      </c>
      <c r="O470" s="10" cm="1">
        <f t="array" ref="O470">ROUND(R470*get_Üb(YEAR(A470),$O$8),2)</f>
        <v>0</v>
      </c>
      <c r="P470" s="19">
        <f t="shared" si="89"/>
        <v>0</v>
      </c>
      <c r="Q470" s="19" cm="1">
        <f t="array" ref="Q470">ROUND(P470+1/getKurs(EDATE(A470,-1))*(K470-L470-N470-getParm(Tarifart,"StK")+M470+O470),10)*(C470&lt;Dauer)</f>
        <v>0</v>
      </c>
      <c r="R470" s="10" cm="1">
        <f t="array" ref="R470">ROUND(P470*getKurs($A470),2)</f>
        <v>0</v>
      </c>
      <c r="S470" s="10" cm="1">
        <f t="array" ref="S470">ROUND(Q470*getKurs($A470),2)</f>
        <v>0</v>
      </c>
      <c r="T470" s="10">
        <f t="shared" si="85"/>
        <v>43200</v>
      </c>
      <c r="U470" s="10" cm="1">
        <f t="array" ref="U470">getParm(Tarifart,"StoSatz")*(Dauer-C470)*Beitrag*Zahlweise*(C470&lt;BZDauer)</f>
        <v>0</v>
      </c>
      <c r="V470" s="10">
        <f t="shared" si="90"/>
        <v>0</v>
      </c>
    </row>
    <row r="471" spans="1:22" x14ac:dyDescent="0.45">
      <c r="A471" s="15">
        <f t="shared" si="91"/>
        <v>50587</v>
      </c>
      <c r="B471">
        <f t="shared" si="81"/>
        <v>462</v>
      </c>
      <c r="C471">
        <f t="shared" si="86"/>
        <v>38</v>
      </c>
      <c r="D471">
        <f t="shared" si="82"/>
        <v>6</v>
      </c>
      <c r="E471">
        <f t="shared" si="83"/>
        <v>1</v>
      </c>
      <c r="F471" s="10">
        <f t="shared" si="84"/>
        <v>0</v>
      </c>
      <c r="G471" s="10" cm="1">
        <f t="array" ref="G471">ROUND(getParm(Tarifart,"alpha")/(2*Zahlweise)*BeiSum*(C471&lt;2)*E471,2)</f>
        <v>0</v>
      </c>
      <c r="H471" s="10" cm="1">
        <f t="array" ref="H471">ROUND(F471*getParm(Tarifart,"beta")*E471,2)</f>
        <v>0</v>
      </c>
      <c r="I471" s="10" cm="1">
        <f t="array" ref="I471">ROUND(F471*get_Üb(YEAR(A471),$I$8)*E471,2)</f>
        <v>0</v>
      </c>
      <c r="J471" s="10">
        <f t="shared" si="87"/>
        <v>0</v>
      </c>
      <c r="K471" s="10">
        <f t="shared" si="88"/>
        <v>0</v>
      </c>
      <c r="L471" s="10" cm="1">
        <f t="array" ref="L471">ROUND(1/12*MAX(MTSum-R471-K471,MRSum)*Act_qx(x+C471,Geschlecht,getParm(Tarifart,"Tafel"),YEAR(GebDat),x+Dauer,1),2)</f>
        <v>141.21</v>
      </c>
      <c r="M471" s="10" cm="1">
        <f t="array" ref="M471">ROUND(L471*get_Üb(YEAR(A471),$M$8),2)</f>
        <v>7.06</v>
      </c>
      <c r="N471" s="10" cm="1">
        <f t="array" ref="N471">ROUND(R471*getParm(Tarifart,IF(C471&lt;BZDauer,"gamma1","gamma2")),2)</f>
        <v>0</v>
      </c>
      <c r="O471" s="10" cm="1">
        <f t="array" ref="O471">ROUND(R471*get_Üb(YEAR(A471),$O$8),2)</f>
        <v>0</v>
      </c>
      <c r="P471" s="19">
        <f t="shared" si="89"/>
        <v>0</v>
      </c>
      <c r="Q471" s="19" cm="1">
        <f t="array" ref="Q471">ROUND(P471+1/getKurs(EDATE(A471,-1))*(K471-L471-N471-getParm(Tarifart,"StK")+M471+O471),10)*(C471&lt;Dauer)</f>
        <v>0</v>
      </c>
      <c r="R471" s="10" cm="1">
        <f t="array" ref="R471">ROUND(P471*getKurs($A471),2)</f>
        <v>0</v>
      </c>
      <c r="S471" s="10" cm="1">
        <f t="array" ref="S471">ROUND(Q471*getKurs($A471),2)</f>
        <v>0</v>
      </c>
      <c r="T471" s="10">
        <f t="shared" si="85"/>
        <v>43200</v>
      </c>
      <c r="U471" s="10" cm="1">
        <f t="array" ref="U471">getParm(Tarifart,"StoSatz")*(Dauer-C471)*Beitrag*Zahlweise*(C471&lt;BZDauer)</f>
        <v>0</v>
      </c>
      <c r="V471" s="10">
        <f t="shared" si="90"/>
        <v>0</v>
      </c>
    </row>
    <row r="472" spans="1:22" x14ac:dyDescent="0.45">
      <c r="A472" s="15">
        <f t="shared" si="91"/>
        <v>50618</v>
      </c>
      <c r="B472">
        <f t="shared" si="81"/>
        <v>463</v>
      </c>
      <c r="C472">
        <f t="shared" si="86"/>
        <v>38</v>
      </c>
      <c r="D472">
        <f t="shared" si="82"/>
        <v>7</v>
      </c>
      <c r="E472">
        <f t="shared" si="83"/>
        <v>1</v>
      </c>
      <c r="F472" s="10">
        <f t="shared" si="84"/>
        <v>0</v>
      </c>
      <c r="G472" s="10" cm="1">
        <f t="array" ref="G472">ROUND(getParm(Tarifart,"alpha")/(2*Zahlweise)*BeiSum*(C472&lt;2)*E472,2)</f>
        <v>0</v>
      </c>
      <c r="H472" s="10" cm="1">
        <f t="array" ref="H472">ROUND(F472*getParm(Tarifart,"beta")*E472,2)</f>
        <v>0</v>
      </c>
      <c r="I472" s="10" cm="1">
        <f t="array" ref="I472">ROUND(F472*get_Üb(YEAR(A472),$I$8)*E472,2)</f>
        <v>0</v>
      </c>
      <c r="J472" s="10">
        <f t="shared" si="87"/>
        <v>0</v>
      </c>
      <c r="K472" s="10">
        <f t="shared" si="88"/>
        <v>0</v>
      </c>
      <c r="L472" s="10" cm="1">
        <f t="array" ref="L472">ROUND(1/12*MAX(MTSum-R472-K472,MRSum)*Act_qx(x+C472,Geschlecht,getParm(Tarifart,"Tafel"),YEAR(GebDat),x+Dauer,1),2)</f>
        <v>141.21</v>
      </c>
      <c r="M472" s="10" cm="1">
        <f t="array" ref="M472">ROUND(L472*get_Üb(YEAR(A472),$M$8),2)</f>
        <v>7.06</v>
      </c>
      <c r="N472" s="10" cm="1">
        <f t="array" ref="N472">ROUND(R472*getParm(Tarifart,IF(C472&lt;BZDauer,"gamma1","gamma2")),2)</f>
        <v>0</v>
      </c>
      <c r="O472" s="10" cm="1">
        <f t="array" ref="O472">ROUND(R472*get_Üb(YEAR(A472),$O$8),2)</f>
        <v>0</v>
      </c>
      <c r="P472" s="19">
        <f t="shared" si="89"/>
        <v>0</v>
      </c>
      <c r="Q472" s="19" cm="1">
        <f t="array" ref="Q472">ROUND(P472+1/getKurs(EDATE(A472,-1))*(K472-L472-N472-getParm(Tarifart,"StK")+M472+O472),10)*(C472&lt;Dauer)</f>
        <v>0</v>
      </c>
      <c r="R472" s="10" cm="1">
        <f t="array" ref="R472">ROUND(P472*getKurs($A472),2)</f>
        <v>0</v>
      </c>
      <c r="S472" s="10" cm="1">
        <f t="array" ref="S472">ROUND(Q472*getKurs($A472),2)</f>
        <v>0</v>
      </c>
      <c r="T472" s="10">
        <f t="shared" si="85"/>
        <v>43200</v>
      </c>
      <c r="U472" s="10" cm="1">
        <f t="array" ref="U472">getParm(Tarifart,"StoSatz")*(Dauer-C472)*Beitrag*Zahlweise*(C472&lt;BZDauer)</f>
        <v>0</v>
      </c>
      <c r="V472" s="10">
        <f t="shared" si="90"/>
        <v>0</v>
      </c>
    </row>
    <row r="473" spans="1:22" x14ac:dyDescent="0.45">
      <c r="A473" s="15">
        <f t="shared" si="91"/>
        <v>50649</v>
      </c>
      <c r="B473">
        <f t="shared" si="81"/>
        <v>464</v>
      </c>
      <c r="C473">
        <f t="shared" si="86"/>
        <v>38</v>
      </c>
      <c r="D473">
        <f t="shared" si="82"/>
        <v>8</v>
      </c>
      <c r="E473">
        <f t="shared" si="83"/>
        <v>1</v>
      </c>
      <c r="F473" s="10">
        <f t="shared" si="84"/>
        <v>0</v>
      </c>
      <c r="G473" s="10" cm="1">
        <f t="array" ref="G473">ROUND(getParm(Tarifart,"alpha")/(2*Zahlweise)*BeiSum*(C473&lt;2)*E473,2)</f>
        <v>0</v>
      </c>
      <c r="H473" s="10" cm="1">
        <f t="array" ref="H473">ROUND(F473*getParm(Tarifart,"beta")*E473,2)</f>
        <v>0</v>
      </c>
      <c r="I473" s="10" cm="1">
        <f t="array" ref="I473">ROUND(F473*get_Üb(YEAR(A473),$I$8)*E473,2)</f>
        <v>0</v>
      </c>
      <c r="J473" s="10">
        <f t="shared" si="87"/>
        <v>0</v>
      </c>
      <c r="K473" s="10">
        <f t="shared" si="88"/>
        <v>0</v>
      </c>
      <c r="L473" s="10" cm="1">
        <f t="array" ref="L473">ROUND(1/12*MAX(MTSum-R473-K473,MRSum)*Act_qx(x+C473,Geschlecht,getParm(Tarifart,"Tafel"),YEAR(GebDat),x+Dauer,1),2)</f>
        <v>141.21</v>
      </c>
      <c r="M473" s="10" cm="1">
        <f t="array" ref="M473">ROUND(L473*get_Üb(YEAR(A473),$M$8),2)</f>
        <v>7.06</v>
      </c>
      <c r="N473" s="10" cm="1">
        <f t="array" ref="N473">ROUND(R473*getParm(Tarifart,IF(C473&lt;BZDauer,"gamma1","gamma2")),2)</f>
        <v>0</v>
      </c>
      <c r="O473" s="10" cm="1">
        <f t="array" ref="O473">ROUND(R473*get_Üb(YEAR(A473),$O$8),2)</f>
        <v>0</v>
      </c>
      <c r="P473" s="19">
        <f t="shared" si="89"/>
        <v>0</v>
      </c>
      <c r="Q473" s="19" cm="1">
        <f t="array" ref="Q473">ROUND(P473+1/getKurs(EDATE(A473,-1))*(K473-L473-N473-getParm(Tarifart,"StK")+M473+O473),10)*(C473&lt;Dauer)</f>
        <v>0</v>
      </c>
      <c r="R473" s="10" cm="1">
        <f t="array" ref="R473">ROUND(P473*getKurs($A473),2)</f>
        <v>0</v>
      </c>
      <c r="S473" s="10" cm="1">
        <f t="array" ref="S473">ROUND(Q473*getKurs($A473),2)</f>
        <v>0</v>
      </c>
      <c r="T473" s="10">
        <f t="shared" si="85"/>
        <v>43200</v>
      </c>
      <c r="U473" s="10" cm="1">
        <f t="array" ref="U473">getParm(Tarifart,"StoSatz")*(Dauer-C473)*Beitrag*Zahlweise*(C473&lt;BZDauer)</f>
        <v>0</v>
      </c>
      <c r="V473" s="10">
        <f t="shared" si="90"/>
        <v>0</v>
      </c>
    </row>
    <row r="474" spans="1:22" x14ac:dyDescent="0.45">
      <c r="A474" s="15">
        <f t="shared" si="91"/>
        <v>50679</v>
      </c>
      <c r="B474">
        <f t="shared" si="81"/>
        <v>465</v>
      </c>
      <c r="C474">
        <f t="shared" si="86"/>
        <v>38</v>
      </c>
      <c r="D474">
        <f t="shared" si="82"/>
        <v>9</v>
      </c>
      <c r="E474">
        <f t="shared" si="83"/>
        <v>1</v>
      </c>
      <c r="F474" s="10">
        <f t="shared" si="84"/>
        <v>0</v>
      </c>
      <c r="G474" s="10" cm="1">
        <f t="array" ref="G474">ROUND(getParm(Tarifart,"alpha")/(2*Zahlweise)*BeiSum*(C474&lt;2)*E474,2)</f>
        <v>0</v>
      </c>
      <c r="H474" s="10" cm="1">
        <f t="array" ref="H474">ROUND(F474*getParm(Tarifart,"beta")*E474,2)</f>
        <v>0</v>
      </c>
      <c r="I474" s="10" cm="1">
        <f t="array" ref="I474">ROUND(F474*get_Üb(YEAR(A474),$I$8)*E474,2)</f>
        <v>0</v>
      </c>
      <c r="J474" s="10">
        <f t="shared" si="87"/>
        <v>0</v>
      </c>
      <c r="K474" s="10">
        <f t="shared" si="88"/>
        <v>0</v>
      </c>
      <c r="L474" s="10" cm="1">
        <f t="array" ref="L474">ROUND(1/12*MAX(MTSum-R474-K474,MRSum)*Act_qx(x+C474,Geschlecht,getParm(Tarifart,"Tafel"),YEAR(GebDat),x+Dauer,1),2)</f>
        <v>141.21</v>
      </c>
      <c r="M474" s="10" cm="1">
        <f t="array" ref="M474">ROUND(L474*get_Üb(YEAR(A474),$M$8),2)</f>
        <v>7.06</v>
      </c>
      <c r="N474" s="10" cm="1">
        <f t="array" ref="N474">ROUND(R474*getParm(Tarifart,IF(C474&lt;BZDauer,"gamma1","gamma2")),2)</f>
        <v>0</v>
      </c>
      <c r="O474" s="10" cm="1">
        <f t="array" ref="O474">ROUND(R474*get_Üb(YEAR(A474),$O$8),2)</f>
        <v>0</v>
      </c>
      <c r="P474" s="19">
        <f t="shared" si="89"/>
        <v>0</v>
      </c>
      <c r="Q474" s="19" cm="1">
        <f t="array" ref="Q474">ROUND(P474+1/getKurs(EDATE(A474,-1))*(K474-L474-N474-getParm(Tarifart,"StK")+M474+O474),10)*(C474&lt;Dauer)</f>
        <v>0</v>
      </c>
      <c r="R474" s="10" cm="1">
        <f t="array" ref="R474">ROUND(P474*getKurs($A474),2)</f>
        <v>0</v>
      </c>
      <c r="S474" s="10" cm="1">
        <f t="array" ref="S474">ROUND(Q474*getKurs($A474),2)</f>
        <v>0</v>
      </c>
      <c r="T474" s="10">
        <f t="shared" si="85"/>
        <v>43200</v>
      </c>
      <c r="U474" s="10" cm="1">
        <f t="array" ref="U474">getParm(Tarifart,"StoSatz")*(Dauer-C474)*Beitrag*Zahlweise*(C474&lt;BZDauer)</f>
        <v>0</v>
      </c>
      <c r="V474" s="10">
        <f t="shared" si="90"/>
        <v>0</v>
      </c>
    </row>
    <row r="475" spans="1:22" x14ac:dyDescent="0.45">
      <c r="A475" s="15">
        <f t="shared" si="91"/>
        <v>50710</v>
      </c>
      <c r="B475">
        <f t="shared" si="81"/>
        <v>466</v>
      </c>
      <c r="C475">
        <f t="shared" si="86"/>
        <v>38</v>
      </c>
      <c r="D475">
        <f t="shared" si="82"/>
        <v>10</v>
      </c>
      <c r="E475">
        <f t="shared" si="83"/>
        <v>1</v>
      </c>
      <c r="F475" s="10">
        <f t="shared" si="84"/>
        <v>0</v>
      </c>
      <c r="G475" s="10" cm="1">
        <f t="array" ref="G475">ROUND(getParm(Tarifart,"alpha")/(2*Zahlweise)*BeiSum*(C475&lt;2)*E475,2)</f>
        <v>0</v>
      </c>
      <c r="H475" s="10" cm="1">
        <f t="array" ref="H475">ROUND(F475*getParm(Tarifart,"beta")*E475,2)</f>
        <v>0</v>
      </c>
      <c r="I475" s="10" cm="1">
        <f t="array" ref="I475">ROUND(F475*get_Üb(YEAR(A475),$I$8)*E475,2)</f>
        <v>0</v>
      </c>
      <c r="J475" s="10">
        <f t="shared" si="87"/>
        <v>0</v>
      </c>
      <c r="K475" s="10">
        <f t="shared" si="88"/>
        <v>0</v>
      </c>
      <c r="L475" s="10" cm="1">
        <f t="array" ref="L475">ROUND(1/12*MAX(MTSum-R475-K475,MRSum)*Act_qx(x+C475,Geschlecht,getParm(Tarifart,"Tafel"),YEAR(GebDat),x+Dauer,1),2)</f>
        <v>141.21</v>
      </c>
      <c r="M475" s="10" cm="1">
        <f t="array" ref="M475">ROUND(L475*get_Üb(YEAR(A475),$M$8),2)</f>
        <v>7.06</v>
      </c>
      <c r="N475" s="10" cm="1">
        <f t="array" ref="N475">ROUND(R475*getParm(Tarifart,IF(C475&lt;BZDauer,"gamma1","gamma2")),2)</f>
        <v>0</v>
      </c>
      <c r="O475" s="10" cm="1">
        <f t="array" ref="O475">ROUND(R475*get_Üb(YEAR(A475),$O$8),2)</f>
        <v>0</v>
      </c>
      <c r="P475" s="19">
        <f t="shared" si="89"/>
        <v>0</v>
      </c>
      <c r="Q475" s="19" cm="1">
        <f t="array" ref="Q475">ROUND(P475+1/getKurs(EDATE(A475,-1))*(K475-L475-N475-getParm(Tarifart,"StK")+M475+O475),10)*(C475&lt;Dauer)</f>
        <v>0</v>
      </c>
      <c r="R475" s="10" cm="1">
        <f t="array" ref="R475">ROUND(P475*getKurs($A475),2)</f>
        <v>0</v>
      </c>
      <c r="S475" s="10" cm="1">
        <f t="array" ref="S475">ROUND(Q475*getKurs($A475),2)</f>
        <v>0</v>
      </c>
      <c r="T475" s="10">
        <f t="shared" si="85"/>
        <v>43200</v>
      </c>
      <c r="U475" s="10" cm="1">
        <f t="array" ref="U475">getParm(Tarifart,"StoSatz")*(Dauer-C475)*Beitrag*Zahlweise*(C475&lt;BZDauer)</f>
        <v>0</v>
      </c>
      <c r="V475" s="10">
        <f t="shared" si="90"/>
        <v>0</v>
      </c>
    </row>
    <row r="476" spans="1:22" x14ac:dyDescent="0.45">
      <c r="A476" s="15">
        <f t="shared" si="91"/>
        <v>50740</v>
      </c>
      <c r="B476">
        <f t="shared" si="81"/>
        <v>467</v>
      </c>
      <c r="C476">
        <f t="shared" si="86"/>
        <v>38</v>
      </c>
      <c r="D476">
        <f t="shared" si="82"/>
        <v>11</v>
      </c>
      <c r="E476">
        <f t="shared" si="83"/>
        <v>1</v>
      </c>
      <c r="F476" s="10">
        <f t="shared" si="84"/>
        <v>0</v>
      </c>
      <c r="G476" s="10" cm="1">
        <f t="array" ref="G476">ROUND(getParm(Tarifart,"alpha")/(2*Zahlweise)*BeiSum*(C476&lt;2)*E476,2)</f>
        <v>0</v>
      </c>
      <c r="H476" s="10" cm="1">
        <f t="array" ref="H476">ROUND(F476*getParm(Tarifart,"beta")*E476,2)</f>
        <v>0</v>
      </c>
      <c r="I476" s="10" cm="1">
        <f t="array" ref="I476">ROUND(F476*get_Üb(YEAR(A476),$I$8)*E476,2)</f>
        <v>0</v>
      </c>
      <c r="J476" s="10">
        <f t="shared" si="87"/>
        <v>0</v>
      </c>
      <c r="K476" s="10">
        <f t="shared" si="88"/>
        <v>0</v>
      </c>
      <c r="L476" s="10" cm="1">
        <f t="array" ref="L476">ROUND(1/12*MAX(MTSum-R476-K476,MRSum)*Act_qx(x+C476,Geschlecht,getParm(Tarifart,"Tafel"),YEAR(GebDat),x+Dauer,1),2)</f>
        <v>141.21</v>
      </c>
      <c r="M476" s="10" cm="1">
        <f t="array" ref="M476">ROUND(L476*get_Üb(YEAR(A476),$M$8),2)</f>
        <v>7.06</v>
      </c>
      <c r="N476" s="10" cm="1">
        <f t="array" ref="N476">ROUND(R476*getParm(Tarifart,IF(C476&lt;BZDauer,"gamma1","gamma2")),2)</f>
        <v>0</v>
      </c>
      <c r="O476" s="10" cm="1">
        <f t="array" ref="O476">ROUND(R476*get_Üb(YEAR(A476),$O$8),2)</f>
        <v>0</v>
      </c>
      <c r="P476" s="19">
        <f t="shared" si="89"/>
        <v>0</v>
      </c>
      <c r="Q476" s="19" cm="1">
        <f t="array" ref="Q476">ROUND(P476+1/getKurs(EDATE(A476,-1))*(K476-L476-N476-getParm(Tarifart,"StK")+M476+O476),10)*(C476&lt;Dauer)</f>
        <v>0</v>
      </c>
      <c r="R476" s="10" cm="1">
        <f t="array" ref="R476">ROUND(P476*getKurs($A476),2)</f>
        <v>0</v>
      </c>
      <c r="S476" s="10" cm="1">
        <f t="array" ref="S476">ROUND(Q476*getKurs($A476),2)</f>
        <v>0</v>
      </c>
      <c r="T476" s="10">
        <f t="shared" si="85"/>
        <v>43200</v>
      </c>
      <c r="U476" s="10" cm="1">
        <f t="array" ref="U476">getParm(Tarifart,"StoSatz")*(Dauer-C476)*Beitrag*Zahlweise*(C476&lt;BZDauer)</f>
        <v>0</v>
      </c>
      <c r="V476" s="10">
        <f t="shared" si="90"/>
        <v>0</v>
      </c>
    </row>
    <row r="477" spans="1:22" x14ac:dyDescent="0.45">
      <c r="A477" s="15">
        <f t="shared" si="91"/>
        <v>50771</v>
      </c>
      <c r="B477">
        <f t="shared" si="81"/>
        <v>468</v>
      </c>
      <c r="C477">
        <f t="shared" si="86"/>
        <v>39</v>
      </c>
      <c r="D477">
        <f t="shared" si="82"/>
        <v>0</v>
      </c>
      <c r="E477">
        <f t="shared" si="83"/>
        <v>1</v>
      </c>
      <c r="F477" s="10">
        <f t="shared" si="84"/>
        <v>0</v>
      </c>
      <c r="G477" s="10" cm="1">
        <f t="array" ref="G477">ROUND(getParm(Tarifart,"alpha")/(2*Zahlweise)*BeiSum*(C477&lt;2)*E477,2)</f>
        <v>0</v>
      </c>
      <c r="H477" s="10" cm="1">
        <f t="array" ref="H477">ROUND(F477*getParm(Tarifart,"beta")*E477,2)</f>
        <v>0</v>
      </c>
      <c r="I477" s="10" cm="1">
        <f t="array" ref="I477">ROUND(F477*get_Üb(YEAR(A477),$I$8)*E477,2)</f>
        <v>0</v>
      </c>
      <c r="J477" s="10">
        <f t="shared" si="87"/>
        <v>0</v>
      </c>
      <c r="K477" s="10">
        <f t="shared" si="88"/>
        <v>0</v>
      </c>
      <c r="L477" s="10" cm="1">
        <f t="array" ref="L477">ROUND(1/12*MAX(MTSum-R477-K477,MRSum)*Act_qx(x+C477,Geschlecht,getParm(Tarifart,"Tafel"),YEAR(GebDat),x+Dauer,1),2)</f>
        <v>155.26</v>
      </c>
      <c r="M477" s="10" cm="1">
        <f t="array" ref="M477">ROUND(L477*get_Üb(YEAR(A477),$M$8),2)</f>
        <v>7.76</v>
      </c>
      <c r="N477" s="10" cm="1">
        <f t="array" ref="N477">ROUND(R477*getParm(Tarifart,IF(C477&lt;BZDauer,"gamma1","gamma2")),2)</f>
        <v>0</v>
      </c>
      <c r="O477" s="10" cm="1">
        <f t="array" ref="O477">ROUND(R477*get_Üb(YEAR(A477),$O$8),2)</f>
        <v>0</v>
      </c>
      <c r="P477" s="19">
        <f t="shared" si="89"/>
        <v>0</v>
      </c>
      <c r="Q477" s="19" cm="1">
        <f t="array" ref="Q477">ROUND(P477+1/getKurs(EDATE(A477,-1))*(K477-L477-N477-getParm(Tarifart,"StK")+M477+O477),10)*(C477&lt;Dauer)</f>
        <v>0</v>
      </c>
      <c r="R477" s="10" cm="1">
        <f t="array" ref="R477">ROUND(P477*getKurs($A477),2)</f>
        <v>0</v>
      </c>
      <c r="S477" s="10" cm="1">
        <f t="array" ref="S477">ROUND(Q477*getKurs($A477),2)</f>
        <v>0</v>
      </c>
      <c r="T477" s="10">
        <f t="shared" si="85"/>
        <v>43200</v>
      </c>
      <c r="U477" s="10" cm="1">
        <f t="array" ref="U477">getParm(Tarifart,"StoSatz")*(Dauer-C477)*Beitrag*Zahlweise*(C477&lt;BZDauer)</f>
        <v>0</v>
      </c>
      <c r="V477" s="10">
        <f t="shared" si="90"/>
        <v>0</v>
      </c>
    </row>
    <row r="478" spans="1:22" x14ac:dyDescent="0.45">
      <c r="A478" s="15">
        <f t="shared" si="91"/>
        <v>50802</v>
      </c>
      <c r="B478">
        <f t="shared" si="81"/>
        <v>469</v>
      </c>
      <c r="C478">
        <f t="shared" si="86"/>
        <v>39</v>
      </c>
      <c r="D478">
        <f t="shared" si="82"/>
        <v>1</v>
      </c>
      <c r="E478">
        <f t="shared" si="83"/>
        <v>1</v>
      </c>
      <c r="F478" s="10">
        <f t="shared" si="84"/>
        <v>0</v>
      </c>
      <c r="G478" s="10" cm="1">
        <f t="array" ref="G478">ROUND(getParm(Tarifart,"alpha")/(2*Zahlweise)*BeiSum*(C478&lt;2)*E478,2)</f>
        <v>0</v>
      </c>
      <c r="H478" s="10" cm="1">
        <f t="array" ref="H478">ROUND(F478*getParm(Tarifart,"beta")*E478,2)</f>
        <v>0</v>
      </c>
      <c r="I478" s="10" cm="1">
        <f t="array" ref="I478">ROUND(F478*get_Üb(YEAR(A478),$I$8)*E478,2)</f>
        <v>0</v>
      </c>
      <c r="J478" s="10">
        <f t="shared" si="87"/>
        <v>0</v>
      </c>
      <c r="K478" s="10">
        <f t="shared" si="88"/>
        <v>0</v>
      </c>
      <c r="L478" s="10" cm="1">
        <f t="array" ref="L478">ROUND(1/12*MAX(MTSum-R478-K478,MRSum)*Act_qx(x+C478,Geschlecht,getParm(Tarifart,"Tafel"),YEAR(GebDat),x+Dauer,1),2)</f>
        <v>155.26</v>
      </c>
      <c r="M478" s="10" cm="1">
        <f t="array" ref="M478">ROUND(L478*get_Üb(YEAR(A478),$M$8),2)</f>
        <v>7.76</v>
      </c>
      <c r="N478" s="10" cm="1">
        <f t="array" ref="N478">ROUND(R478*getParm(Tarifart,IF(C478&lt;BZDauer,"gamma1","gamma2")),2)</f>
        <v>0</v>
      </c>
      <c r="O478" s="10" cm="1">
        <f t="array" ref="O478">ROUND(R478*get_Üb(YEAR(A478),$O$8),2)</f>
        <v>0</v>
      </c>
      <c r="P478" s="19">
        <f t="shared" si="89"/>
        <v>0</v>
      </c>
      <c r="Q478" s="19" cm="1">
        <f t="array" ref="Q478">ROUND(P478+1/getKurs(EDATE(A478,-1))*(K478-L478-N478-getParm(Tarifart,"StK")+M478+O478),10)*(C478&lt;Dauer)</f>
        <v>0</v>
      </c>
      <c r="R478" s="10" cm="1">
        <f t="array" ref="R478">ROUND(P478*getKurs($A478),2)</f>
        <v>0</v>
      </c>
      <c r="S478" s="10" cm="1">
        <f t="array" ref="S478">ROUND(Q478*getKurs($A478),2)</f>
        <v>0</v>
      </c>
      <c r="T478" s="10">
        <f t="shared" si="85"/>
        <v>43200</v>
      </c>
      <c r="U478" s="10" cm="1">
        <f t="array" ref="U478">getParm(Tarifart,"StoSatz")*(Dauer-C478)*Beitrag*Zahlweise*(C478&lt;BZDauer)</f>
        <v>0</v>
      </c>
      <c r="V478" s="10">
        <f t="shared" si="90"/>
        <v>0</v>
      </c>
    </row>
    <row r="479" spans="1:22" x14ac:dyDescent="0.45">
      <c r="A479" s="15">
        <f t="shared" si="91"/>
        <v>50830</v>
      </c>
      <c r="B479">
        <f t="shared" si="81"/>
        <v>470</v>
      </c>
      <c r="C479">
        <f t="shared" si="86"/>
        <v>39</v>
      </c>
      <c r="D479">
        <f t="shared" si="82"/>
        <v>2</v>
      </c>
      <c r="E479">
        <f t="shared" si="83"/>
        <v>1</v>
      </c>
      <c r="F479" s="10">
        <f t="shared" si="84"/>
        <v>0</v>
      </c>
      <c r="G479" s="10" cm="1">
        <f t="array" ref="G479">ROUND(getParm(Tarifart,"alpha")/(2*Zahlweise)*BeiSum*(C479&lt;2)*E479,2)</f>
        <v>0</v>
      </c>
      <c r="H479" s="10" cm="1">
        <f t="array" ref="H479">ROUND(F479*getParm(Tarifart,"beta")*E479,2)</f>
        <v>0</v>
      </c>
      <c r="I479" s="10" cm="1">
        <f t="array" ref="I479">ROUND(F479*get_Üb(YEAR(A479),$I$8)*E479,2)</f>
        <v>0</v>
      </c>
      <c r="J479" s="10">
        <f t="shared" si="87"/>
        <v>0</v>
      </c>
      <c r="K479" s="10">
        <f t="shared" si="88"/>
        <v>0</v>
      </c>
      <c r="L479" s="10" cm="1">
        <f t="array" ref="L479">ROUND(1/12*MAX(MTSum-R479-K479,MRSum)*Act_qx(x+C479,Geschlecht,getParm(Tarifart,"Tafel"),YEAR(GebDat),x+Dauer,1),2)</f>
        <v>155.26</v>
      </c>
      <c r="M479" s="10" cm="1">
        <f t="array" ref="M479">ROUND(L479*get_Üb(YEAR(A479),$M$8),2)</f>
        <v>7.76</v>
      </c>
      <c r="N479" s="10" cm="1">
        <f t="array" ref="N479">ROUND(R479*getParm(Tarifart,IF(C479&lt;BZDauer,"gamma1","gamma2")),2)</f>
        <v>0</v>
      </c>
      <c r="O479" s="10" cm="1">
        <f t="array" ref="O479">ROUND(R479*get_Üb(YEAR(A479),$O$8),2)</f>
        <v>0</v>
      </c>
      <c r="P479" s="19">
        <f t="shared" si="89"/>
        <v>0</v>
      </c>
      <c r="Q479" s="19" cm="1">
        <f t="array" ref="Q479">ROUND(P479+1/getKurs(EDATE(A479,-1))*(K479-L479-N479-getParm(Tarifart,"StK")+M479+O479),10)*(C479&lt;Dauer)</f>
        <v>0</v>
      </c>
      <c r="R479" s="10" cm="1">
        <f t="array" ref="R479">ROUND(P479*getKurs($A479),2)</f>
        <v>0</v>
      </c>
      <c r="S479" s="10" cm="1">
        <f t="array" ref="S479">ROUND(Q479*getKurs($A479),2)</f>
        <v>0</v>
      </c>
      <c r="T479" s="10">
        <f t="shared" si="85"/>
        <v>43200</v>
      </c>
      <c r="U479" s="10" cm="1">
        <f t="array" ref="U479">getParm(Tarifart,"StoSatz")*(Dauer-C479)*Beitrag*Zahlweise*(C479&lt;BZDauer)</f>
        <v>0</v>
      </c>
      <c r="V479" s="10">
        <f t="shared" si="90"/>
        <v>0</v>
      </c>
    </row>
    <row r="480" spans="1:22" x14ac:dyDescent="0.45">
      <c r="A480" s="15">
        <f t="shared" si="91"/>
        <v>50861</v>
      </c>
      <c r="B480">
        <f t="shared" si="81"/>
        <v>471</v>
      </c>
      <c r="C480">
        <f t="shared" si="86"/>
        <v>39</v>
      </c>
      <c r="D480">
        <f t="shared" si="82"/>
        <v>3</v>
      </c>
      <c r="E480">
        <f t="shared" si="83"/>
        <v>1</v>
      </c>
      <c r="F480" s="10">
        <f t="shared" si="84"/>
        <v>0</v>
      </c>
      <c r="G480" s="10" cm="1">
        <f t="array" ref="G480">ROUND(getParm(Tarifart,"alpha")/(2*Zahlweise)*BeiSum*(C480&lt;2)*E480,2)</f>
        <v>0</v>
      </c>
      <c r="H480" s="10" cm="1">
        <f t="array" ref="H480">ROUND(F480*getParm(Tarifart,"beta")*E480,2)</f>
        <v>0</v>
      </c>
      <c r="I480" s="10" cm="1">
        <f t="array" ref="I480">ROUND(F480*get_Üb(YEAR(A480),$I$8)*E480,2)</f>
        <v>0</v>
      </c>
      <c r="J480" s="10">
        <f t="shared" si="87"/>
        <v>0</v>
      </c>
      <c r="K480" s="10">
        <f t="shared" si="88"/>
        <v>0</v>
      </c>
      <c r="L480" s="10" cm="1">
        <f t="array" ref="L480">ROUND(1/12*MAX(MTSum-R480-K480,MRSum)*Act_qx(x+C480,Geschlecht,getParm(Tarifart,"Tafel"),YEAR(GebDat),x+Dauer,1),2)</f>
        <v>155.26</v>
      </c>
      <c r="M480" s="10" cm="1">
        <f t="array" ref="M480">ROUND(L480*get_Üb(YEAR(A480),$M$8),2)</f>
        <v>7.76</v>
      </c>
      <c r="N480" s="10" cm="1">
        <f t="array" ref="N480">ROUND(R480*getParm(Tarifart,IF(C480&lt;BZDauer,"gamma1","gamma2")),2)</f>
        <v>0</v>
      </c>
      <c r="O480" s="10" cm="1">
        <f t="array" ref="O480">ROUND(R480*get_Üb(YEAR(A480),$O$8),2)</f>
        <v>0</v>
      </c>
      <c r="P480" s="19">
        <f t="shared" si="89"/>
        <v>0</v>
      </c>
      <c r="Q480" s="19" cm="1">
        <f t="array" ref="Q480">ROUND(P480+1/getKurs(EDATE(A480,-1))*(K480-L480-N480-getParm(Tarifart,"StK")+M480+O480),10)*(C480&lt;Dauer)</f>
        <v>0</v>
      </c>
      <c r="R480" s="10" cm="1">
        <f t="array" ref="R480">ROUND(P480*getKurs($A480),2)</f>
        <v>0</v>
      </c>
      <c r="S480" s="10" cm="1">
        <f t="array" ref="S480">ROUND(Q480*getKurs($A480),2)</f>
        <v>0</v>
      </c>
      <c r="T480" s="10">
        <f t="shared" si="85"/>
        <v>43200</v>
      </c>
      <c r="U480" s="10" cm="1">
        <f t="array" ref="U480">getParm(Tarifart,"StoSatz")*(Dauer-C480)*Beitrag*Zahlweise*(C480&lt;BZDauer)</f>
        <v>0</v>
      </c>
      <c r="V480" s="10">
        <f t="shared" si="90"/>
        <v>0</v>
      </c>
    </row>
    <row r="481" spans="1:22" x14ac:dyDescent="0.45">
      <c r="A481" s="15">
        <f t="shared" si="91"/>
        <v>50891</v>
      </c>
      <c r="B481">
        <f t="shared" si="81"/>
        <v>472</v>
      </c>
      <c r="C481">
        <f t="shared" si="86"/>
        <v>39</v>
      </c>
      <c r="D481">
        <f t="shared" si="82"/>
        <v>4</v>
      </c>
      <c r="E481">
        <f t="shared" si="83"/>
        <v>1</v>
      </c>
      <c r="F481" s="10">
        <f t="shared" si="84"/>
        <v>0</v>
      </c>
      <c r="G481" s="10" cm="1">
        <f t="array" ref="G481">ROUND(getParm(Tarifart,"alpha")/(2*Zahlweise)*BeiSum*(C481&lt;2)*E481,2)</f>
        <v>0</v>
      </c>
      <c r="H481" s="10" cm="1">
        <f t="array" ref="H481">ROUND(F481*getParm(Tarifart,"beta")*E481,2)</f>
        <v>0</v>
      </c>
      <c r="I481" s="10" cm="1">
        <f t="array" ref="I481">ROUND(F481*get_Üb(YEAR(A481),$I$8)*E481,2)</f>
        <v>0</v>
      </c>
      <c r="J481" s="10">
        <f t="shared" si="87"/>
        <v>0</v>
      </c>
      <c r="K481" s="10">
        <f t="shared" si="88"/>
        <v>0</v>
      </c>
      <c r="L481" s="10" cm="1">
        <f t="array" ref="L481">ROUND(1/12*MAX(MTSum-R481-K481,MRSum)*Act_qx(x+C481,Geschlecht,getParm(Tarifart,"Tafel"),YEAR(GebDat),x+Dauer,1),2)</f>
        <v>155.26</v>
      </c>
      <c r="M481" s="10" cm="1">
        <f t="array" ref="M481">ROUND(L481*get_Üb(YEAR(A481),$M$8),2)</f>
        <v>7.76</v>
      </c>
      <c r="N481" s="10" cm="1">
        <f t="array" ref="N481">ROUND(R481*getParm(Tarifart,IF(C481&lt;BZDauer,"gamma1","gamma2")),2)</f>
        <v>0</v>
      </c>
      <c r="O481" s="10" cm="1">
        <f t="array" ref="O481">ROUND(R481*get_Üb(YEAR(A481),$O$8),2)</f>
        <v>0</v>
      </c>
      <c r="P481" s="19">
        <f t="shared" si="89"/>
        <v>0</v>
      </c>
      <c r="Q481" s="19" cm="1">
        <f t="array" ref="Q481">ROUND(P481+1/getKurs(EDATE(A481,-1))*(K481-L481-N481-getParm(Tarifart,"StK")+M481+O481),10)*(C481&lt;Dauer)</f>
        <v>0</v>
      </c>
      <c r="R481" s="10" cm="1">
        <f t="array" ref="R481">ROUND(P481*getKurs($A481),2)</f>
        <v>0</v>
      </c>
      <c r="S481" s="10" cm="1">
        <f t="array" ref="S481">ROUND(Q481*getKurs($A481),2)</f>
        <v>0</v>
      </c>
      <c r="T481" s="10">
        <f t="shared" si="85"/>
        <v>43200</v>
      </c>
      <c r="U481" s="10" cm="1">
        <f t="array" ref="U481">getParm(Tarifart,"StoSatz")*(Dauer-C481)*Beitrag*Zahlweise*(C481&lt;BZDauer)</f>
        <v>0</v>
      </c>
      <c r="V481" s="10">
        <f t="shared" si="90"/>
        <v>0</v>
      </c>
    </row>
    <row r="482" spans="1:22" x14ac:dyDescent="0.45">
      <c r="A482" s="15">
        <f t="shared" si="91"/>
        <v>50922</v>
      </c>
      <c r="B482">
        <f t="shared" si="81"/>
        <v>473</v>
      </c>
      <c r="C482">
        <f t="shared" si="86"/>
        <v>39</v>
      </c>
      <c r="D482">
        <f t="shared" si="82"/>
        <v>5</v>
      </c>
      <c r="E482">
        <f t="shared" si="83"/>
        <v>1</v>
      </c>
      <c r="F482" s="10">
        <f t="shared" si="84"/>
        <v>0</v>
      </c>
      <c r="G482" s="10" cm="1">
        <f t="array" ref="G482">ROUND(getParm(Tarifart,"alpha")/(2*Zahlweise)*BeiSum*(C482&lt;2)*E482,2)</f>
        <v>0</v>
      </c>
      <c r="H482" s="10" cm="1">
        <f t="array" ref="H482">ROUND(F482*getParm(Tarifart,"beta")*E482,2)</f>
        <v>0</v>
      </c>
      <c r="I482" s="10" cm="1">
        <f t="array" ref="I482">ROUND(F482*get_Üb(YEAR(A482),$I$8)*E482,2)</f>
        <v>0</v>
      </c>
      <c r="J482" s="10">
        <f t="shared" si="87"/>
        <v>0</v>
      </c>
      <c r="K482" s="10">
        <f t="shared" si="88"/>
        <v>0</v>
      </c>
      <c r="L482" s="10" cm="1">
        <f t="array" ref="L482">ROUND(1/12*MAX(MTSum-R482-K482,MRSum)*Act_qx(x+C482,Geschlecht,getParm(Tarifart,"Tafel"),YEAR(GebDat),x+Dauer,1),2)</f>
        <v>155.26</v>
      </c>
      <c r="M482" s="10" cm="1">
        <f t="array" ref="M482">ROUND(L482*get_Üb(YEAR(A482),$M$8),2)</f>
        <v>7.76</v>
      </c>
      <c r="N482" s="10" cm="1">
        <f t="array" ref="N482">ROUND(R482*getParm(Tarifart,IF(C482&lt;BZDauer,"gamma1","gamma2")),2)</f>
        <v>0</v>
      </c>
      <c r="O482" s="10" cm="1">
        <f t="array" ref="O482">ROUND(R482*get_Üb(YEAR(A482),$O$8),2)</f>
        <v>0</v>
      </c>
      <c r="P482" s="19">
        <f t="shared" si="89"/>
        <v>0</v>
      </c>
      <c r="Q482" s="19" cm="1">
        <f t="array" ref="Q482">ROUND(P482+1/getKurs(EDATE(A482,-1))*(K482-L482-N482-getParm(Tarifart,"StK")+M482+O482),10)*(C482&lt;Dauer)</f>
        <v>0</v>
      </c>
      <c r="R482" s="10" cm="1">
        <f t="array" ref="R482">ROUND(P482*getKurs($A482),2)</f>
        <v>0</v>
      </c>
      <c r="S482" s="10" cm="1">
        <f t="array" ref="S482">ROUND(Q482*getKurs($A482),2)</f>
        <v>0</v>
      </c>
      <c r="T482" s="10">
        <f t="shared" si="85"/>
        <v>43200</v>
      </c>
      <c r="U482" s="10" cm="1">
        <f t="array" ref="U482">getParm(Tarifart,"StoSatz")*(Dauer-C482)*Beitrag*Zahlweise*(C482&lt;BZDauer)</f>
        <v>0</v>
      </c>
      <c r="V482" s="10">
        <f t="shared" si="90"/>
        <v>0</v>
      </c>
    </row>
    <row r="483" spans="1:22" x14ac:dyDescent="0.45">
      <c r="A483" s="15">
        <f t="shared" si="91"/>
        <v>50952</v>
      </c>
      <c r="B483">
        <f t="shared" si="81"/>
        <v>474</v>
      </c>
      <c r="C483">
        <f t="shared" si="86"/>
        <v>39</v>
      </c>
      <c r="D483">
        <f t="shared" si="82"/>
        <v>6</v>
      </c>
      <c r="E483">
        <f t="shared" si="83"/>
        <v>1</v>
      </c>
      <c r="F483" s="10">
        <f t="shared" si="84"/>
        <v>0</v>
      </c>
      <c r="G483" s="10" cm="1">
        <f t="array" ref="G483">ROUND(getParm(Tarifart,"alpha")/(2*Zahlweise)*BeiSum*(C483&lt;2)*E483,2)</f>
        <v>0</v>
      </c>
      <c r="H483" s="10" cm="1">
        <f t="array" ref="H483">ROUND(F483*getParm(Tarifart,"beta")*E483,2)</f>
        <v>0</v>
      </c>
      <c r="I483" s="10" cm="1">
        <f t="array" ref="I483">ROUND(F483*get_Üb(YEAR(A483),$I$8)*E483,2)</f>
        <v>0</v>
      </c>
      <c r="J483" s="10">
        <f t="shared" si="87"/>
        <v>0</v>
      </c>
      <c r="K483" s="10">
        <f t="shared" si="88"/>
        <v>0</v>
      </c>
      <c r="L483" s="10" cm="1">
        <f t="array" ref="L483">ROUND(1/12*MAX(MTSum-R483-K483,MRSum)*Act_qx(x+C483,Geschlecht,getParm(Tarifart,"Tafel"),YEAR(GebDat),x+Dauer,1),2)</f>
        <v>155.26</v>
      </c>
      <c r="M483" s="10" cm="1">
        <f t="array" ref="M483">ROUND(L483*get_Üb(YEAR(A483),$M$8),2)</f>
        <v>7.76</v>
      </c>
      <c r="N483" s="10" cm="1">
        <f t="array" ref="N483">ROUND(R483*getParm(Tarifart,IF(C483&lt;BZDauer,"gamma1","gamma2")),2)</f>
        <v>0</v>
      </c>
      <c r="O483" s="10" cm="1">
        <f t="array" ref="O483">ROUND(R483*get_Üb(YEAR(A483),$O$8),2)</f>
        <v>0</v>
      </c>
      <c r="P483" s="19">
        <f t="shared" si="89"/>
        <v>0</v>
      </c>
      <c r="Q483" s="19" cm="1">
        <f t="array" ref="Q483">ROUND(P483+1/getKurs(EDATE(A483,-1))*(K483-L483-N483-getParm(Tarifart,"StK")+M483+O483),10)*(C483&lt;Dauer)</f>
        <v>0</v>
      </c>
      <c r="R483" s="10" cm="1">
        <f t="array" ref="R483">ROUND(P483*getKurs($A483),2)</f>
        <v>0</v>
      </c>
      <c r="S483" s="10" cm="1">
        <f t="array" ref="S483">ROUND(Q483*getKurs($A483),2)</f>
        <v>0</v>
      </c>
      <c r="T483" s="10">
        <f t="shared" si="85"/>
        <v>43200</v>
      </c>
      <c r="U483" s="10" cm="1">
        <f t="array" ref="U483">getParm(Tarifart,"StoSatz")*(Dauer-C483)*Beitrag*Zahlweise*(C483&lt;BZDauer)</f>
        <v>0</v>
      </c>
      <c r="V483" s="10">
        <f t="shared" si="90"/>
        <v>0</v>
      </c>
    </row>
    <row r="484" spans="1:22" x14ac:dyDescent="0.45">
      <c r="A484" s="15">
        <f t="shared" si="91"/>
        <v>50983</v>
      </c>
      <c r="B484">
        <f t="shared" si="81"/>
        <v>475</v>
      </c>
      <c r="C484">
        <f t="shared" si="86"/>
        <v>39</v>
      </c>
      <c r="D484">
        <f t="shared" si="82"/>
        <v>7</v>
      </c>
      <c r="E484">
        <f t="shared" si="83"/>
        <v>1</v>
      </c>
      <c r="F484" s="10">
        <f t="shared" si="84"/>
        <v>0</v>
      </c>
      <c r="G484" s="10" cm="1">
        <f t="array" ref="G484">ROUND(getParm(Tarifart,"alpha")/(2*Zahlweise)*BeiSum*(C484&lt;2)*E484,2)</f>
        <v>0</v>
      </c>
      <c r="H484" s="10" cm="1">
        <f t="array" ref="H484">ROUND(F484*getParm(Tarifart,"beta")*E484,2)</f>
        <v>0</v>
      </c>
      <c r="I484" s="10" cm="1">
        <f t="array" ref="I484">ROUND(F484*get_Üb(YEAR(A484),$I$8)*E484,2)</f>
        <v>0</v>
      </c>
      <c r="J484" s="10">
        <f t="shared" si="87"/>
        <v>0</v>
      </c>
      <c r="K484" s="10">
        <f t="shared" si="88"/>
        <v>0</v>
      </c>
      <c r="L484" s="10" cm="1">
        <f t="array" ref="L484">ROUND(1/12*MAX(MTSum-R484-K484,MRSum)*Act_qx(x+C484,Geschlecht,getParm(Tarifart,"Tafel"),YEAR(GebDat),x+Dauer,1),2)</f>
        <v>155.26</v>
      </c>
      <c r="M484" s="10" cm="1">
        <f t="array" ref="M484">ROUND(L484*get_Üb(YEAR(A484),$M$8),2)</f>
        <v>7.76</v>
      </c>
      <c r="N484" s="10" cm="1">
        <f t="array" ref="N484">ROUND(R484*getParm(Tarifart,IF(C484&lt;BZDauer,"gamma1","gamma2")),2)</f>
        <v>0</v>
      </c>
      <c r="O484" s="10" cm="1">
        <f t="array" ref="O484">ROUND(R484*get_Üb(YEAR(A484),$O$8),2)</f>
        <v>0</v>
      </c>
      <c r="P484" s="19">
        <f t="shared" si="89"/>
        <v>0</v>
      </c>
      <c r="Q484" s="19" cm="1">
        <f t="array" ref="Q484">ROUND(P484+1/getKurs(EDATE(A484,-1))*(K484-L484-N484-getParm(Tarifart,"StK")+M484+O484),10)*(C484&lt;Dauer)</f>
        <v>0</v>
      </c>
      <c r="R484" s="10" cm="1">
        <f t="array" ref="R484">ROUND(P484*getKurs($A484),2)</f>
        <v>0</v>
      </c>
      <c r="S484" s="10" cm="1">
        <f t="array" ref="S484">ROUND(Q484*getKurs($A484),2)</f>
        <v>0</v>
      </c>
      <c r="T484" s="10">
        <f t="shared" si="85"/>
        <v>43200</v>
      </c>
      <c r="U484" s="10" cm="1">
        <f t="array" ref="U484">getParm(Tarifart,"StoSatz")*(Dauer-C484)*Beitrag*Zahlweise*(C484&lt;BZDauer)</f>
        <v>0</v>
      </c>
      <c r="V484" s="10">
        <f t="shared" si="90"/>
        <v>0</v>
      </c>
    </row>
    <row r="485" spans="1:22" x14ac:dyDescent="0.45">
      <c r="A485" s="15">
        <f t="shared" si="91"/>
        <v>51014</v>
      </c>
      <c r="B485">
        <f t="shared" si="81"/>
        <v>476</v>
      </c>
      <c r="C485">
        <f t="shared" si="86"/>
        <v>39</v>
      </c>
      <c r="D485">
        <f t="shared" si="82"/>
        <v>8</v>
      </c>
      <c r="E485">
        <f t="shared" si="83"/>
        <v>1</v>
      </c>
      <c r="F485" s="10">
        <f t="shared" si="84"/>
        <v>0</v>
      </c>
      <c r="G485" s="10" cm="1">
        <f t="array" ref="G485">ROUND(getParm(Tarifart,"alpha")/(2*Zahlweise)*BeiSum*(C485&lt;2)*E485,2)</f>
        <v>0</v>
      </c>
      <c r="H485" s="10" cm="1">
        <f t="array" ref="H485">ROUND(F485*getParm(Tarifart,"beta")*E485,2)</f>
        <v>0</v>
      </c>
      <c r="I485" s="10" cm="1">
        <f t="array" ref="I485">ROUND(F485*get_Üb(YEAR(A485),$I$8)*E485,2)</f>
        <v>0</v>
      </c>
      <c r="J485" s="10">
        <f t="shared" si="87"/>
        <v>0</v>
      </c>
      <c r="K485" s="10">
        <f t="shared" si="88"/>
        <v>0</v>
      </c>
      <c r="L485" s="10" cm="1">
        <f t="array" ref="L485">ROUND(1/12*MAX(MTSum-R485-K485,MRSum)*Act_qx(x+C485,Geschlecht,getParm(Tarifart,"Tafel"),YEAR(GebDat),x+Dauer,1),2)</f>
        <v>155.26</v>
      </c>
      <c r="M485" s="10" cm="1">
        <f t="array" ref="M485">ROUND(L485*get_Üb(YEAR(A485),$M$8),2)</f>
        <v>7.76</v>
      </c>
      <c r="N485" s="10" cm="1">
        <f t="array" ref="N485">ROUND(R485*getParm(Tarifart,IF(C485&lt;BZDauer,"gamma1","gamma2")),2)</f>
        <v>0</v>
      </c>
      <c r="O485" s="10" cm="1">
        <f t="array" ref="O485">ROUND(R485*get_Üb(YEAR(A485),$O$8),2)</f>
        <v>0</v>
      </c>
      <c r="P485" s="19">
        <f t="shared" si="89"/>
        <v>0</v>
      </c>
      <c r="Q485" s="19" cm="1">
        <f t="array" ref="Q485">ROUND(P485+1/getKurs(EDATE(A485,-1))*(K485-L485-N485-getParm(Tarifart,"StK")+M485+O485),10)*(C485&lt;Dauer)</f>
        <v>0</v>
      </c>
      <c r="R485" s="10" cm="1">
        <f t="array" ref="R485">ROUND(P485*getKurs($A485),2)</f>
        <v>0</v>
      </c>
      <c r="S485" s="10" cm="1">
        <f t="array" ref="S485">ROUND(Q485*getKurs($A485),2)</f>
        <v>0</v>
      </c>
      <c r="T485" s="10">
        <f t="shared" si="85"/>
        <v>43200</v>
      </c>
      <c r="U485" s="10" cm="1">
        <f t="array" ref="U485">getParm(Tarifart,"StoSatz")*(Dauer-C485)*Beitrag*Zahlweise*(C485&lt;BZDauer)</f>
        <v>0</v>
      </c>
      <c r="V485" s="10">
        <f t="shared" si="90"/>
        <v>0</v>
      </c>
    </row>
    <row r="486" spans="1:22" x14ac:dyDescent="0.45">
      <c r="A486" s="15">
        <f t="shared" si="91"/>
        <v>51044</v>
      </c>
      <c r="B486">
        <f t="shared" si="81"/>
        <v>477</v>
      </c>
      <c r="C486">
        <f t="shared" si="86"/>
        <v>39</v>
      </c>
      <c r="D486">
        <f t="shared" si="82"/>
        <v>9</v>
      </c>
      <c r="E486">
        <f t="shared" si="83"/>
        <v>1</v>
      </c>
      <c r="F486" s="10">
        <f t="shared" si="84"/>
        <v>0</v>
      </c>
      <c r="G486" s="10" cm="1">
        <f t="array" ref="G486">ROUND(getParm(Tarifart,"alpha")/(2*Zahlweise)*BeiSum*(C486&lt;2)*E486,2)</f>
        <v>0</v>
      </c>
      <c r="H486" s="10" cm="1">
        <f t="array" ref="H486">ROUND(F486*getParm(Tarifart,"beta")*E486,2)</f>
        <v>0</v>
      </c>
      <c r="I486" s="10" cm="1">
        <f t="array" ref="I486">ROUND(F486*get_Üb(YEAR(A486),$I$8)*E486,2)</f>
        <v>0</v>
      </c>
      <c r="J486" s="10">
        <f t="shared" si="87"/>
        <v>0</v>
      </c>
      <c r="K486" s="10">
        <f t="shared" si="88"/>
        <v>0</v>
      </c>
      <c r="L486" s="10" cm="1">
        <f t="array" ref="L486">ROUND(1/12*MAX(MTSum-R486-K486,MRSum)*Act_qx(x+C486,Geschlecht,getParm(Tarifart,"Tafel"),YEAR(GebDat),x+Dauer,1),2)</f>
        <v>155.26</v>
      </c>
      <c r="M486" s="10" cm="1">
        <f t="array" ref="M486">ROUND(L486*get_Üb(YEAR(A486),$M$8),2)</f>
        <v>7.76</v>
      </c>
      <c r="N486" s="10" cm="1">
        <f t="array" ref="N486">ROUND(R486*getParm(Tarifart,IF(C486&lt;BZDauer,"gamma1","gamma2")),2)</f>
        <v>0</v>
      </c>
      <c r="O486" s="10" cm="1">
        <f t="array" ref="O486">ROUND(R486*get_Üb(YEAR(A486),$O$8),2)</f>
        <v>0</v>
      </c>
      <c r="P486" s="19">
        <f t="shared" si="89"/>
        <v>0</v>
      </c>
      <c r="Q486" s="19" cm="1">
        <f t="array" ref="Q486">ROUND(P486+1/getKurs(EDATE(A486,-1))*(K486-L486-N486-getParm(Tarifart,"StK")+M486+O486),10)*(C486&lt;Dauer)</f>
        <v>0</v>
      </c>
      <c r="R486" s="10" cm="1">
        <f t="array" ref="R486">ROUND(P486*getKurs($A486),2)</f>
        <v>0</v>
      </c>
      <c r="S486" s="10" cm="1">
        <f t="array" ref="S486">ROUND(Q486*getKurs($A486),2)</f>
        <v>0</v>
      </c>
      <c r="T486" s="10">
        <f t="shared" si="85"/>
        <v>43200</v>
      </c>
      <c r="U486" s="10" cm="1">
        <f t="array" ref="U486">getParm(Tarifart,"StoSatz")*(Dauer-C486)*Beitrag*Zahlweise*(C486&lt;BZDauer)</f>
        <v>0</v>
      </c>
      <c r="V486" s="10">
        <f t="shared" si="90"/>
        <v>0</v>
      </c>
    </row>
    <row r="487" spans="1:22" x14ac:dyDescent="0.45">
      <c r="A487" s="15">
        <f t="shared" si="91"/>
        <v>51075</v>
      </c>
      <c r="B487">
        <f t="shared" si="81"/>
        <v>478</v>
      </c>
      <c r="C487">
        <f t="shared" si="86"/>
        <v>39</v>
      </c>
      <c r="D487">
        <f t="shared" si="82"/>
        <v>10</v>
      </c>
      <c r="E487">
        <f t="shared" si="83"/>
        <v>1</v>
      </c>
      <c r="F487" s="10">
        <f t="shared" si="84"/>
        <v>0</v>
      </c>
      <c r="G487" s="10" cm="1">
        <f t="array" ref="G487">ROUND(getParm(Tarifart,"alpha")/(2*Zahlweise)*BeiSum*(C487&lt;2)*E487,2)</f>
        <v>0</v>
      </c>
      <c r="H487" s="10" cm="1">
        <f t="array" ref="H487">ROUND(F487*getParm(Tarifart,"beta")*E487,2)</f>
        <v>0</v>
      </c>
      <c r="I487" s="10" cm="1">
        <f t="array" ref="I487">ROUND(F487*get_Üb(YEAR(A487),$I$8)*E487,2)</f>
        <v>0</v>
      </c>
      <c r="J487" s="10">
        <f t="shared" si="87"/>
        <v>0</v>
      </c>
      <c r="K487" s="10">
        <f t="shared" si="88"/>
        <v>0</v>
      </c>
      <c r="L487" s="10" cm="1">
        <f t="array" ref="L487">ROUND(1/12*MAX(MTSum-R487-K487,MRSum)*Act_qx(x+C487,Geschlecht,getParm(Tarifart,"Tafel"),YEAR(GebDat),x+Dauer,1),2)</f>
        <v>155.26</v>
      </c>
      <c r="M487" s="10" cm="1">
        <f t="array" ref="M487">ROUND(L487*get_Üb(YEAR(A487),$M$8),2)</f>
        <v>7.76</v>
      </c>
      <c r="N487" s="10" cm="1">
        <f t="array" ref="N487">ROUND(R487*getParm(Tarifart,IF(C487&lt;BZDauer,"gamma1","gamma2")),2)</f>
        <v>0</v>
      </c>
      <c r="O487" s="10" cm="1">
        <f t="array" ref="O487">ROUND(R487*get_Üb(YEAR(A487),$O$8),2)</f>
        <v>0</v>
      </c>
      <c r="P487" s="19">
        <f t="shared" si="89"/>
        <v>0</v>
      </c>
      <c r="Q487" s="19" cm="1">
        <f t="array" ref="Q487">ROUND(P487+1/getKurs(EDATE(A487,-1))*(K487-L487-N487-getParm(Tarifart,"StK")+M487+O487),10)*(C487&lt;Dauer)</f>
        <v>0</v>
      </c>
      <c r="R487" s="10" cm="1">
        <f t="array" ref="R487">ROUND(P487*getKurs($A487),2)</f>
        <v>0</v>
      </c>
      <c r="S487" s="10" cm="1">
        <f t="array" ref="S487">ROUND(Q487*getKurs($A487),2)</f>
        <v>0</v>
      </c>
      <c r="T487" s="10">
        <f t="shared" si="85"/>
        <v>43200</v>
      </c>
      <c r="U487" s="10" cm="1">
        <f t="array" ref="U487">getParm(Tarifart,"StoSatz")*(Dauer-C487)*Beitrag*Zahlweise*(C487&lt;BZDauer)</f>
        <v>0</v>
      </c>
      <c r="V487" s="10">
        <f t="shared" si="90"/>
        <v>0</v>
      </c>
    </row>
    <row r="488" spans="1:22" x14ac:dyDescent="0.45">
      <c r="A488" s="15">
        <f t="shared" si="91"/>
        <v>51105</v>
      </c>
      <c r="B488">
        <f t="shared" si="81"/>
        <v>479</v>
      </c>
      <c r="C488">
        <f t="shared" si="86"/>
        <v>39</v>
      </c>
      <c r="D488">
        <f t="shared" si="82"/>
        <v>11</v>
      </c>
      <c r="E488">
        <f t="shared" si="83"/>
        <v>1</v>
      </c>
      <c r="F488" s="10">
        <f t="shared" si="84"/>
        <v>0</v>
      </c>
      <c r="G488" s="10" cm="1">
        <f t="array" ref="G488">ROUND(getParm(Tarifart,"alpha")/(2*Zahlweise)*BeiSum*(C488&lt;2)*E488,2)</f>
        <v>0</v>
      </c>
      <c r="H488" s="10" cm="1">
        <f t="array" ref="H488">ROUND(F488*getParm(Tarifart,"beta")*E488,2)</f>
        <v>0</v>
      </c>
      <c r="I488" s="10" cm="1">
        <f t="array" ref="I488">ROUND(F488*get_Üb(YEAR(A488),$I$8)*E488,2)</f>
        <v>0</v>
      </c>
      <c r="J488" s="10">
        <f t="shared" si="87"/>
        <v>0</v>
      </c>
      <c r="K488" s="10">
        <f t="shared" si="88"/>
        <v>0</v>
      </c>
      <c r="L488" s="10" cm="1">
        <f t="array" ref="L488">ROUND(1/12*MAX(MTSum-R488-K488,MRSum)*Act_qx(x+C488,Geschlecht,getParm(Tarifart,"Tafel"),YEAR(GebDat),x+Dauer,1),2)</f>
        <v>155.26</v>
      </c>
      <c r="M488" s="10" cm="1">
        <f t="array" ref="M488">ROUND(L488*get_Üb(YEAR(A488),$M$8),2)</f>
        <v>7.76</v>
      </c>
      <c r="N488" s="10" cm="1">
        <f t="array" ref="N488">ROUND(R488*getParm(Tarifart,IF(C488&lt;BZDauer,"gamma1","gamma2")),2)</f>
        <v>0</v>
      </c>
      <c r="O488" s="10" cm="1">
        <f t="array" ref="O488">ROUND(R488*get_Üb(YEAR(A488),$O$8),2)</f>
        <v>0</v>
      </c>
      <c r="P488" s="19">
        <f t="shared" si="89"/>
        <v>0</v>
      </c>
      <c r="Q488" s="19" cm="1">
        <f t="array" ref="Q488">ROUND(P488+1/getKurs(EDATE(A488,-1))*(K488-L488-N488-getParm(Tarifart,"StK")+M488+O488),10)*(C488&lt;Dauer)</f>
        <v>0</v>
      </c>
      <c r="R488" s="10" cm="1">
        <f t="array" ref="R488">ROUND(P488*getKurs($A488),2)</f>
        <v>0</v>
      </c>
      <c r="S488" s="10" cm="1">
        <f t="array" ref="S488">ROUND(Q488*getKurs($A488),2)</f>
        <v>0</v>
      </c>
      <c r="T488" s="10">
        <f t="shared" si="85"/>
        <v>43200</v>
      </c>
      <c r="U488" s="10" cm="1">
        <f t="array" ref="U488">getParm(Tarifart,"StoSatz")*(Dauer-C488)*Beitrag*Zahlweise*(C488&lt;BZDauer)</f>
        <v>0</v>
      </c>
      <c r="V488" s="10">
        <f t="shared" si="90"/>
        <v>0</v>
      </c>
    </row>
    <row r="489" spans="1:22" x14ac:dyDescent="0.45">
      <c r="A489" s="15">
        <f t="shared" si="91"/>
        <v>51136</v>
      </c>
      <c r="B489">
        <f t="shared" si="81"/>
        <v>480</v>
      </c>
      <c r="C489">
        <f t="shared" si="86"/>
        <v>40</v>
      </c>
      <c r="D489">
        <f t="shared" si="82"/>
        <v>0</v>
      </c>
      <c r="E489">
        <f t="shared" si="83"/>
        <v>1</v>
      </c>
      <c r="F489" s="10">
        <f t="shared" si="84"/>
        <v>0</v>
      </c>
      <c r="G489" s="10" cm="1">
        <f t="array" ref="G489">ROUND(getParm(Tarifart,"alpha")/(2*Zahlweise)*BeiSum*(C489&lt;2)*E489,2)</f>
        <v>0</v>
      </c>
      <c r="H489" s="10" cm="1">
        <f t="array" ref="H489">ROUND(F489*getParm(Tarifart,"beta")*E489,2)</f>
        <v>0</v>
      </c>
      <c r="I489" s="10" cm="1">
        <f t="array" ref="I489">ROUND(F489*get_Üb(YEAR(A489),$I$8)*E489,2)</f>
        <v>0</v>
      </c>
      <c r="J489" s="10">
        <f t="shared" si="87"/>
        <v>0</v>
      </c>
      <c r="K489" s="10">
        <f t="shared" si="88"/>
        <v>0</v>
      </c>
      <c r="L489" s="10" cm="1">
        <f t="array" ref="L489">ROUND(1/12*MAX(MTSum-R489-K489,MRSum)*Act_qx(x+C489,Geschlecht,getParm(Tarifart,"Tafel"),YEAR(GebDat),x+Dauer,1),2)</f>
        <v>170.64</v>
      </c>
      <c r="M489" s="10" cm="1">
        <f t="array" ref="M489">ROUND(L489*get_Üb(YEAR(A489),$M$8),2)</f>
        <v>8.5299999999999994</v>
      </c>
      <c r="N489" s="10" cm="1">
        <f t="array" ref="N489">ROUND(R489*getParm(Tarifart,IF(C489&lt;BZDauer,"gamma1","gamma2")),2)</f>
        <v>0</v>
      </c>
      <c r="O489" s="10" cm="1">
        <f t="array" ref="O489">ROUND(R489*get_Üb(YEAR(A489),$O$8),2)</f>
        <v>0</v>
      </c>
      <c r="P489" s="19">
        <f t="shared" si="89"/>
        <v>0</v>
      </c>
      <c r="Q489" s="19" cm="1">
        <f t="array" ref="Q489">ROUND(P489+1/getKurs(EDATE(A489,-1))*(K489-L489-N489-getParm(Tarifart,"StK")+M489+O489),10)*(C489&lt;Dauer)</f>
        <v>0</v>
      </c>
      <c r="R489" s="10" cm="1">
        <f t="array" ref="R489">ROUND(P489*getKurs($A489),2)</f>
        <v>0</v>
      </c>
      <c r="S489" s="10" cm="1">
        <f t="array" ref="S489">ROUND(Q489*getKurs($A489),2)</f>
        <v>0</v>
      </c>
      <c r="T489" s="10">
        <f t="shared" si="85"/>
        <v>43200</v>
      </c>
      <c r="U489" s="10" cm="1">
        <f t="array" ref="U489">getParm(Tarifart,"StoSatz")*(Dauer-C489)*Beitrag*Zahlweise*(C489&lt;BZDauer)</f>
        <v>0</v>
      </c>
      <c r="V489" s="10">
        <f t="shared" si="90"/>
        <v>0</v>
      </c>
    </row>
    <row r="490" spans="1:22" x14ac:dyDescent="0.45">
      <c r="A490" s="15">
        <f t="shared" si="91"/>
        <v>51167</v>
      </c>
      <c r="B490">
        <f t="shared" si="81"/>
        <v>481</v>
      </c>
      <c r="C490">
        <f t="shared" si="86"/>
        <v>40</v>
      </c>
      <c r="D490">
        <f t="shared" si="82"/>
        <v>1</v>
      </c>
      <c r="E490">
        <f t="shared" si="83"/>
        <v>1</v>
      </c>
      <c r="F490" s="10">
        <f t="shared" si="84"/>
        <v>0</v>
      </c>
      <c r="G490" s="10" cm="1">
        <f t="array" ref="G490">ROUND(getParm(Tarifart,"alpha")/(2*Zahlweise)*BeiSum*(C490&lt;2)*E490,2)</f>
        <v>0</v>
      </c>
      <c r="H490" s="10" cm="1">
        <f t="array" ref="H490">ROUND(F490*getParm(Tarifart,"beta")*E490,2)</f>
        <v>0</v>
      </c>
      <c r="I490" s="10" cm="1">
        <f t="array" ref="I490">ROUND(F490*get_Üb(YEAR(A490),$I$8)*E490,2)</f>
        <v>0</v>
      </c>
      <c r="J490" s="10">
        <f t="shared" si="87"/>
        <v>0</v>
      </c>
      <c r="K490" s="10">
        <f t="shared" si="88"/>
        <v>0</v>
      </c>
      <c r="L490" s="10" cm="1">
        <f t="array" ref="L490">ROUND(1/12*MAX(MTSum-R490-K490,MRSum)*Act_qx(x+C490,Geschlecht,getParm(Tarifart,"Tafel"),YEAR(GebDat),x+Dauer,1),2)</f>
        <v>170.64</v>
      </c>
      <c r="M490" s="10" cm="1">
        <f t="array" ref="M490">ROUND(L490*get_Üb(YEAR(A490),$M$8),2)</f>
        <v>8.5299999999999994</v>
      </c>
      <c r="N490" s="10" cm="1">
        <f t="array" ref="N490">ROUND(R490*getParm(Tarifart,IF(C490&lt;BZDauer,"gamma1","gamma2")),2)</f>
        <v>0</v>
      </c>
      <c r="O490" s="10" cm="1">
        <f t="array" ref="O490">ROUND(R490*get_Üb(YEAR(A490),$O$8),2)</f>
        <v>0</v>
      </c>
      <c r="P490" s="19">
        <f t="shared" si="89"/>
        <v>0</v>
      </c>
      <c r="Q490" s="19" cm="1">
        <f t="array" ref="Q490">ROUND(P490+1/getKurs(EDATE(A490,-1))*(K490-L490-N490-getParm(Tarifart,"StK")+M490+O490),10)*(C490&lt;Dauer)</f>
        <v>0</v>
      </c>
      <c r="R490" s="10" cm="1">
        <f t="array" ref="R490">ROUND(P490*getKurs($A490),2)</f>
        <v>0</v>
      </c>
      <c r="S490" s="10" cm="1">
        <f t="array" ref="S490">ROUND(Q490*getKurs($A490),2)</f>
        <v>0</v>
      </c>
      <c r="T490" s="10">
        <f t="shared" si="85"/>
        <v>43200</v>
      </c>
      <c r="U490" s="10" cm="1">
        <f t="array" ref="U490">getParm(Tarifart,"StoSatz")*(Dauer-C490)*Beitrag*Zahlweise*(C490&lt;BZDauer)</f>
        <v>0</v>
      </c>
      <c r="V490" s="10">
        <f t="shared" si="90"/>
        <v>0</v>
      </c>
    </row>
    <row r="491" spans="1:22" x14ac:dyDescent="0.45">
      <c r="A491" s="15">
        <f t="shared" si="91"/>
        <v>51196</v>
      </c>
      <c r="B491">
        <f t="shared" si="81"/>
        <v>482</v>
      </c>
      <c r="C491">
        <f t="shared" si="86"/>
        <v>40</v>
      </c>
      <c r="D491">
        <f t="shared" si="82"/>
        <v>2</v>
      </c>
      <c r="E491">
        <f t="shared" si="83"/>
        <v>1</v>
      </c>
      <c r="F491" s="10">
        <f t="shared" si="84"/>
        <v>0</v>
      </c>
      <c r="G491" s="10" cm="1">
        <f t="array" ref="G491">ROUND(getParm(Tarifart,"alpha")/(2*Zahlweise)*BeiSum*(C491&lt;2)*E491,2)</f>
        <v>0</v>
      </c>
      <c r="H491" s="10" cm="1">
        <f t="array" ref="H491">ROUND(F491*getParm(Tarifart,"beta")*E491,2)</f>
        <v>0</v>
      </c>
      <c r="I491" s="10" cm="1">
        <f t="array" ref="I491">ROUND(F491*get_Üb(YEAR(A491),$I$8)*E491,2)</f>
        <v>0</v>
      </c>
      <c r="J491" s="10">
        <f t="shared" si="87"/>
        <v>0</v>
      </c>
      <c r="K491" s="10">
        <f t="shared" si="88"/>
        <v>0</v>
      </c>
      <c r="L491" s="10" cm="1">
        <f t="array" ref="L491">ROUND(1/12*MAX(MTSum-R491-K491,MRSum)*Act_qx(x+C491,Geschlecht,getParm(Tarifart,"Tafel"),YEAR(GebDat),x+Dauer,1),2)</f>
        <v>170.64</v>
      </c>
      <c r="M491" s="10" cm="1">
        <f t="array" ref="M491">ROUND(L491*get_Üb(YEAR(A491),$M$8),2)</f>
        <v>8.5299999999999994</v>
      </c>
      <c r="N491" s="10" cm="1">
        <f t="array" ref="N491">ROUND(R491*getParm(Tarifart,IF(C491&lt;BZDauer,"gamma1","gamma2")),2)</f>
        <v>0</v>
      </c>
      <c r="O491" s="10" cm="1">
        <f t="array" ref="O491">ROUND(R491*get_Üb(YEAR(A491),$O$8),2)</f>
        <v>0</v>
      </c>
      <c r="P491" s="19">
        <f t="shared" si="89"/>
        <v>0</v>
      </c>
      <c r="Q491" s="19" cm="1">
        <f t="array" ref="Q491">ROUND(P491+1/getKurs(EDATE(A491,-1))*(K491-L491-N491-getParm(Tarifart,"StK")+M491+O491),10)*(C491&lt;Dauer)</f>
        <v>0</v>
      </c>
      <c r="R491" s="10" cm="1">
        <f t="array" ref="R491">ROUND(P491*getKurs($A491),2)</f>
        <v>0</v>
      </c>
      <c r="S491" s="10" cm="1">
        <f t="array" ref="S491">ROUND(Q491*getKurs($A491),2)</f>
        <v>0</v>
      </c>
      <c r="T491" s="10">
        <f t="shared" si="85"/>
        <v>43200</v>
      </c>
      <c r="U491" s="10" cm="1">
        <f t="array" ref="U491">getParm(Tarifart,"StoSatz")*(Dauer-C491)*Beitrag*Zahlweise*(C491&lt;BZDauer)</f>
        <v>0</v>
      </c>
      <c r="V491" s="10">
        <f t="shared" si="90"/>
        <v>0</v>
      </c>
    </row>
    <row r="492" spans="1:22" x14ac:dyDescent="0.45">
      <c r="A492" s="15">
        <f t="shared" si="91"/>
        <v>51227</v>
      </c>
      <c r="B492">
        <f t="shared" si="81"/>
        <v>483</v>
      </c>
      <c r="C492">
        <f t="shared" si="86"/>
        <v>40</v>
      </c>
      <c r="D492">
        <f t="shared" si="82"/>
        <v>3</v>
      </c>
      <c r="E492">
        <f t="shared" si="83"/>
        <v>1</v>
      </c>
      <c r="F492" s="10">
        <f t="shared" si="84"/>
        <v>0</v>
      </c>
      <c r="G492" s="10" cm="1">
        <f t="array" ref="G492">ROUND(getParm(Tarifart,"alpha")/(2*Zahlweise)*BeiSum*(C492&lt;2)*E492,2)</f>
        <v>0</v>
      </c>
      <c r="H492" s="10" cm="1">
        <f t="array" ref="H492">ROUND(F492*getParm(Tarifart,"beta")*E492,2)</f>
        <v>0</v>
      </c>
      <c r="I492" s="10" cm="1">
        <f t="array" ref="I492">ROUND(F492*get_Üb(YEAR(A492),$I$8)*E492,2)</f>
        <v>0</v>
      </c>
      <c r="J492" s="10">
        <f t="shared" si="87"/>
        <v>0</v>
      </c>
      <c r="K492" s="10">
        <f t="shared" si="88"/>
        <v>0</v>
      </c>
      <c r="L492" s="10" cm="1">
        <f t="array" ref="L492">ROUND(1/12*MAX(MTSum-R492-K492,MRSum)*Act_qx(x+C492,Geschlecht,getParm(Tarifart,"Tafel"),YEAR(GebDat),x+Dauer,1),2)</f>
        <v>170.64</v>
      </c>
      <c r="M492" s="10" cm="1">
        <f t="array" ref="M492">ROUND(L492*get_Üb(YEAR(A492),$M$8),2)</f>
        <v>8.5299999999999994</v>
      </c>
      <c r="N492" s="10" cm="1">
        <f t="array" ref="N492">ROUND(R492*getParm(Tarifart,IF(C492&lt;BZDauer,"gamma1","gamma2")),2)</f>
        <v>0</v>
      </c>
      <c r="O492" s="10" cm="1">
        <f t="array" ref="O492">ROUND(R492*get_Üb(YEAR(A492),$O$8),2)</f>
        <v>0</v>
      </c>
      <c r="P492" s="19">
        <f t="shared" si="89"/>
        <v>0</v>
      </c>
      <c r="Q492" s="19" cm="1">
        <f t="array" ref="Q492">ROUND(P492+1/getKurs(EDATE(A492,-1))*(K492-L492-N492-getParm(Tarifart,"StK")+M492+O492),10)*(C492&lt;Dauer)</f>
        <v>0</v>
      </c>
      <c r="R492" s="10" cm="1">
        <f t="array" ref="R492">ROUND(P492*getKurs($A492),2)</f>
        <v>0</v>
      </c>
      <c r="S492" s="10" cm="1">
        <f t="array" ref="S492">ROUND(Q492*getKurs($A492),2)</f>
        <v>0</v>
      </c>
      <c r="T492" s="10">
        <f t="shared" si="85"/>
        <v>43200</v>
      </c>
      <c r="U492" s="10" cm="1">
        <f t="array" ref="U492">getParm(Tarifart,"StoSatz")*(Dauer-C492)*Beitrag*Zahlweise*(C492&lt;BZDauer)</f>
        <v>0</v>
      </c>
      <c r="V492" s="10">
        <f t="shared" si="90"/>
        <v>0</v>
      </c>
    </row>
    <row r="493" spans="1:22" x14ac:dyDescent="0.45">
      <c r="A493" s="15">
        <f t="shared" si="91"/>
        <v>51257</v>
      </c>
      <c r="B493">
        <f t="shared" si="81"/>
        <v>484</v>
      </c>
      <c r="C493">
        <f t="shared" si="86"/>
        <v>40</v>
      </c>
      <c r="D493">
        <f t="shared" si="82"/>
        <v>4</v>
      </c>
      <c r="E493">
        <f t="shared" si="83"/>
        <v>1</v>
      </c>
      <c r="F493" s="10">
        <f t="shared" si="84"/>
        <v>0</v>
      </c>
      <c r="G493" s="10" cm="1">
        <f t="array" ref="G493">ROUND(getParm(Tarifart,"alpha")/(2*Zahlweise)*BeiSum*(C493&lt;2)*E493,2)</f>
        <v>0</v>
      </c>
      <c r="H493" s="10" cm="1">
        <f t="array" ref="H493">ROUND(F493*getParm(Tarifart,"beta")*E493,2)</f>
        <v>0</v>
      </c>
      <c r="I493" s="10" cm="1">
        <f t="array" ref="I493">ROUND(F493*get_Üb(YEAR(A493),$I$8)*E493,2)</f>
        <v>0</v>
      </c>
      <c r="J493" s="10">
        <f t="shared" si="87"/>
        <v>0</v>
      </c>
      <c r="K493" s="10">
        <f t="shared" si="88"/>
        <v>0</v>
      </c>
      <c r="L493" s="10" cm="1">
        <f t="array" ref="L493">ROUND(1/12*MAX(MTSum-R493-K493,MRSum)*Act_qx(x+C493,Geschlecht,getParm(Tarifart,"Tafel"),YEAR(GebDat),x+Dauer,1),2)</f>
        <v>170.64</v>
      </c>
      <c r="M493" s="10" cm="1">
        <f t="array" ref="M493">ROUND(L493*get_Üb(YEAR(A493),$M$8),2)</f>
        <v>8.5299999999999994</v>
      </c>
      <c r="N493" s="10" cm="1">
        <f t="array" ref="N493">ROUND(R493*getParm(Tarifart,IF(C493&lt;BZDauer,"gamma1","gamma2")),2)</f>
        <v>0</v>
      </c>
      <c r="O493" s="10" cm="1">
        <f t="array" ref="O493">ROUND(R493*get_Üb(YEAR(A493),$O$8),2)</f>
        <v>0</v>
      </c>
      <c r="P493" s="19">
        <f t="shared" si="89"/>
        <v>0</v>
      </c>
      <c r="Q493" s="19" cm="1">
        <f t="array" ref="Q493">ROUND(P493+1/getKurs(EDATE(A493,-1))*(K493-L493-N493-getParm(Tarifart,"StK")+M493+O493),10)*(C493&lt;Dauer)</f>
        <v>0</v>
      </c>
      <c r="R493" s="10" cm="1">
        <f t="array" ref="R493">ROUND(P493*getKurs($A493),2)</f>
        <v>0</v>
      </c>
      <c r="S493" s="10" cm="1">
        <f t="array" ref="S493">ROUND(Q493*getKurs($A493),2)</f>
        <v>0</v>
      </c>
      <c r="T493" s="10">
        <f t="shared" si="85"/>
        <v>43200</v>
      </c>
      <c r="U493" s="10" cm="1">
        <f t="array" ref="U493">getParm(Tarifart,"StoSatz")*(Dauer-C493)*Beitrag*Zahlweise*(C493&lt;BZDauer)</f>
        <v>0</v>
      </c>
      <c r="V493" s="10">
        <f t="shared" si="90"/>
        <v>0</v>
      </c>
    </row>
    <row r="494" spans="1:22" x14ac:dyDescent="0.45">
      <c r="A494" s="15">
        <f t="shared" si="91"/>
        <v>51288</v>
      </c>
      <c r="B494">
        <f t="shared" si="81"/>
        <v>485</v>
      </c>
      <c r="C494">
        <f t="shared" si="86"/>
        <v>40</v>
      </c>
      <c r="D494">
        <f t="shared" si="82"/>
        <v>5</v>
      </c>
      <c r="E494">
        <f t="shared" si="83"/>
        <v>1</v>
      </c>
      <c r="F494" s="10">
        <f t="shared" si="84"/>
        <v>0</v>
      </c>
      <c r="G494" s="10" cm="1">
        <f t="array" ref="G494">ROUND(getParm(Tarifart,"alpha")/(2*Zahlweise)*BeiSum*(C494&lt;2)*E494,2)</f>
        <v>0</v>
      </c>
      <c r="H494" s="10" cm="1">
        <f t="array" ref="H494">ROUND(F494*getParm(Tarifart,"beta")*E494,2)</f>
        <v>0</v>
      </c>
      <c r="I494" s="10" cm="1">
        <f t="array" ref="I494">ROUND(F494*get_Üb(YEAR(A494),$I$8)*E494,2)</f>
        <v>0</v>
      </c>
      <c r="J494" s="10">
        <f t="shared" si="87"/>
        <v>0</v>
      </c>
      <c r="K494" s="10">
        <f t="shared" si="88"/>
        <v>0</v>
      </c>
      <c r="L494" s="10" cm="1">
        <f t="array" ref="L494">ROUND(1/12*MAX(MTSum-R494-K494,MRSum)*Act_qx(x+C494,Geschlecht,getParm(Tarifart,"Tafel"),YEAR(GebDat),x+Dauer,1),2)</f>
        <v>170.64</v>
      </c>
      <c r="M494" s="10" cm="1">
        <f t="array" ref="M494">ROUND(L494*get_Üb(YEAR(A494),$M$8),2)</f>
        <v>8.5299999999999994</v>
      </c>
      <c r="N494" s="10" cm="1">
        <f t="array" ref="N494">ROUND(R494*getParm(Tarifart,IF(C494&lt;BZDauer,"gamma1","gamma2")),2)</f>
        <v>0</v>
      </c>
      <c r="O494" s="10" cm="1">
        <f t="array" ref="O494">ROUND(R494*get_Üb(YEAR(A494),$O$8),2)</f>
        <v>0</v>
      </c>
      <c r="P494" s="19">
        <f t="shared" si="89"/>
        <v>0</v>
      </c>
      <c r="Q494" s="19" cm="1">
        <f t="array" ref="Q494">ROUND(P494+1/getKurs(EDATE(A494,-1))*(K494-L494-N494-getParm(Tarifart,"StK")+M494+O494),10)*(C494&lt;Dauer)</f>
        <v>0</v>
      </c>
      <c r="R494" s="10" cm="1">
        <f t="array" ref="R494">ROUND(P494*getKurs($A494),2)</f>
        <v>0</v>
      </c>
      <c r="S494" s="10" cm="1">
        <f t="array" ref="S494">ROUND(Q494*getKurs($A494),2)</f>
        <v>0</v>
      </c>
      <c r="T494" s="10">
        <f t="shared" si="85"/>
        <v>43200</v>
      </c>
      <c r="U494" s="10" cm="1">
        <f t="array" ref="U494">getParm(Tarifart,"StoSatz")*(Dauer-C494)*Beitrag*Zahlweise*(C494&lt;BZDauer)</f>
        <v>0</v>
      </c>
      <c r="V494" s="10">
        <f t="shared" si="90"/>
        <v>0</v>
      </c>
    </row>
    <row r="495" spans="1:22" x14ac:dyDescent="0.45">
      <c r="A495" s="15">
        <f t="shared" si="91"/>
        <v>51318</v>
      </c>
      <c r="B495">
        <f t="shared" si="81"/>
        <v>486</v>
      </c>
      <c r="C495">
        <f t="shared" si="86"/>
        <v>40</v>
      </c>
      <c r="D495">
        <f t="shared" si="82"/>
        <v>6</v>
      </c>
      <c r="E495">
        <f t="shared" si="83"/>
        <v>1</v>
      </c>
      <c r="F495" s="10">
        <f t="shared" si="84"/>
        <v>0</v>
      </c>
      <c r="G495" s="10" cm="1">
        <f t="array" ref="G495">ROUND(getParm(Tarifart,"alpha")/(2*Zahlweise)*BeiSum*(C495&lt;2)*E495,2)</f>
        <v>0</v>
      </c>
      <c r="H495" s="10" cm="1">
        <f t="array" ref="H495">ROUND(F495*getParm(Tarifart,"beta")*E495,2)</f>
        <v>0</v>
      </c>
      <c r="I495" s="10" cm="1">
        <f t="array" ref="I495">ROUND(F495*get_Üb(YEAR(A495),$I$8)*E495,2)</f>
        <v>0</v>
      </c>
      <c r="J495" s="10">
        <f t="shared" si="87"/>
        <v>0</v>
      </c>
      <c r="K495" s="10">
        <f t="shared" si="88"/>
        <v>0</v>
      </c>
      <c r="L495" s="10" cm="1">
        <f t="array" ref="L495">ROUND(1/12*MAX(MTSum-R495-K495,MRSum)*Act_qx(x+C495,Geschlecht,getParm(Tarifart,"Tafel"),YEAR(GebDat),x+Dauer,1),2)</f>
        <v>170.64</v>
      </c>
      <c r="M495" s="10" cm="1">
        <f t="array" ref="M495">ROUND(L495*get_Üb(YEAR(A495),$M$8),2)</f>
        <v>8.5299999999999994</v>
      </c>
      <c r="N495" s="10" cm="1">
        <f t="array" ref="N495">ROUND(R495*getParm(Tarifart,IF(C495&lt;BZDauer,"gamma1","gamma2")),2)</f>
        <v>0</v>
      </c>
      <c r="O495" s="10" cm="1">
        <f t="array" ref="O495">ROUND(R495*get_Üb(YEAR(A495),$O$8),2)</f>
        <v>0</v>
      </c>
      <c r="P495" s="19">
        <f t="shared" si="89"/>
        <v>0</v>
      </c>
      <c r="Q495" s="19" cm="1">
        <f t="array" ref="Q495">ROUND(P495+1/getKurs(EDATE(A495,-1))*(K495-L495-N495-getParm(Tarifart,"StK")+M495+O495),10)*(C495&lt;Dauer)</f>
        <v>0</v>
      </c>
      <c r="R495" s="10" cm="1">
        <f t="array" ref="R495">ROUND(P495*getKurs($A495),2)</f>
        <v>0</v>
      </c>
      <c r="S495" s="10" cm="1">
        <f t="array" ref="S495">ROUND(Q495*getKurs($A495),2)</f>
        <v>0</v>
      </c>
      <c r="T495" s="10">
        <f t="shared" si="85"/>
        <v>43200</v>
      </c>
      <c r="U495" s="10" cm="1">
        <f t="array" ref="U495">getParm(Tarifart,"StoSatz")*(Dauer-C495)*Beitrag*Zahlweise*(C495&lt;BZDauer)</f>
        <v>0</v>
      </c>
      <c r="V495" s="10">
        <f t="shared" si="90"/>
        <v>0</v>
      </c>
    </row>
    <row r="496" spans="1:22" x14ac:dyDescent="0.45">
      <c r="A496" s="15">
        <f t="shared" si="91"/>
        <v>51349</v>
      </c>
      <c r="B496">
        <f t="shared" si="81"/>
        <v>487</v>
      </c>
      <c r="C496">
        <f t="shared" si="86"/>
        <v>40</v>
      </c>
      <c r="D496">
        <f t="shared" si="82"/>
        <v>7</v>
      </c>
      <c r="E496">
        <f t="shared" si="83"/>
        <v>1</v>
      </c>
      <c r="F496" s="10">
        <f t="shared" si="84"/>
        <v>0</v>
      </c>
      <c r="G496" s="10" cm="1">
        <f t="array" ref="G496">ROUND(getParm(Tarifart,"alpha")/(2*Zahlweise)*BeiSum*(C496&lt;2)*E496,2)</f>
        <v>0</v>
      </c>
      <c r="H496" s="10" cm="1">
        <f t="array" ref="H496">ROUND(F496*getParm(Tarifart,"beta")*E496,2)</f>
        <v>0</v>
      </c>
      <c r="I496" s="10" cm="1">
        <f t="array" ref="I496">ROUND(F496*get_Üb(YEAR(A496),$I$8)*E496,2)</f>
        <v>0</v>
      </c>
      <c r="J496" s="10">
        <f t="shared" si="87"/>
        <v>0</v>
      </c>
      <c r="K496" s="10">
        <f t="shared" si="88"/>
        <v>0</v>
      </c>
      <c r="L496" s="10" cm="1">
        <f t="array" ref="L496">ROUND(1/12*MAX(MTSum-R496-K496,MRSum)*Act_qx(x+C496,Geschlecht,getParm(Tarifart,"Tafel"),YEAR(GebDat),x+Dauer,1),2)</f>
        <v>170.64</v>
      </c>
      <c r="M496" s="10" cm="1">
        <f t="array" ref="M496">ROUND(L496*get_Üb(YEAR(A496),$M$8),2)</f>
        <v>8.5299999999999994</v>
      </c>
      <c r="N496" s="10" cm="1">
        <f t="array" ref="N496">ROUND(R496*getParm(Tarifart,IF(C496&lt;BZDauer,"gamma1","gamma2")),2)</f>
        <v>0</v>
      </c>
      <c r="O496" s="10" cm="1">
        <f t="array" ref="O496">ROUND(R496*get_Üb(YEAR(A496),$O$8),2)</f>
        <v>0</v>
      </c>
      <c r="P496" s="19">
        <f t="shared" si="89"/>
        <v>0</v>
      </c>
      <c r="Q496" s="19" cm="1">
        <f t="array" ref="Q496">ROUND(P496+1/getKurs(EDATE(A496,-1))*(K496-L496-N496-getParm(Tarifart,"StK")+M496+O496),10)*(C496&lt;Dauer)</f>
        <v>0</v>
      </c>
      <c r="R496" s="10" cm="1">
        <f t="array" ref="R496">ROUND(P496*getKurs($A496),2)</f>
        <v>0</v>
      </c>
      <c r="S496" s="10" cm="1">
        <f t="array" ref="S496">ROUND(Q496*getKurs($A496),2)</f>
        <v>0</v>
      </c>
      <c r="T496" s="10">
        <f t="shared" si="85"/>
        <v>43200</v>
      </c>
      <c r="U496" s="10" cm="1">
        <f t="array" ref="U496">getParm(Tarifart,"StoSatz")*(Dauer-C496)*Beitrag*Zahlweise*(C496&lt;BZDauer)</f>
        <v>0</v>
      </c>
      <c r="V496" s="10">
        <f t="shared" si="90"/>
        <v>0</v>
      </c>
    </row>
    <row r="497" spans="1:22" x14ac:dyDescent="0.45">
      <c r="A497" s="15">
        <f t="shared" si="91"/>
        <v>51380</v>
      </c>
      <c r="B497">
        <f t="shared" si="81"/>
        <v>488</v>
      </c>
      <c r="C497">
        <f t="shared" si="86"/>
        <v>40</v>
      </c>
      <c r="D497">
        <f t="shared" si="82"/>
        <v>8</v>
      </c>
      <c r="E497">
        <f t="shared" si="83"/>
        <v>1</v>
      </c>
      <c r="F497" s="10">
        <f t="shared" si="84"/>
        <v>0</v>
      </c>
      <c r="G497" s="10" cm="1">
        <f t="array" ref="G497">ROUND(getParm(Tarifart,"alpha")/(2*Zahlweise)*BeiSum*(C497&lt;2)*E497,2)</f>
        <v>0</v>
      </c>
      <c r="H497" s="10" cm="1">
        <f t="array" ref="H497">ROUND(F497*getParm(Tarifart,"beta")*E497,2)</f>
        <v>0</v>
      </c>
      <c r="I497" s="10" cm="1">
        <f t="array" ref="I497">ROUND(F497*get_Üb(YEAR(A497),$I$8)*E497,2)</f>
        <v>0</v>
      </c>
      <c r="J497" s="10">
        <f t="shared" si="87"/>
        <v>0</v>
      </c>
      <c r="K497" s="10">
        <f t="shared" si="88"/>
        <v>0</v>
      </c>
      <c r="L497" s="10" cm="1">
        <f t="array" ref="L497">ROUND(1/12*MAX(MTSum-R497-K497,MRSum)*Act_qx(x+C497,Geschlecht,getParm(Tarifart,"Tafel"),YEAR(GebDat),x+Dauer,1),2)</f>
        <v>170.64</v>
      </c>
      <c r="M497" s="10" cm="1">
        <f t="array" ref="M497">ROUND(L497*get_Üb(YEAR(A497),$M$8),2)</f>
        <v>8.5299999999999994</v>
      </c>
      <c r="N497" s="10" cm="1">
        <f t="array" ref="N497">ROUND(R497*getParm(Tarifart,IF(C497&lt;BZDauer,"gamma1","gamma2")),2)</f>
        <v>0</v>
      </c>
      <c r="O497" s="10" cm="1">
        <f t="array" ref="O497">ROUND(R497*get_Üb(YEAR(A497),$O$8),2)</f>
        <v>0</v>
      </c>
      <c r="P497" s="19">
        <f t="shared" si="89"/>
        <v>0</v>
      </c>
      <c r="Q497" s="19" cm="1">
        <f t="array" ref="Q497">ROUND(P497+1/getKurs(EDATE(A497,-1))*(K497-L497-N497-getParm(Tarifart,"StK")+M497+O497),10)*(C497&lt;Dauer)</f>
        <v>0</v>
      </c>
      <c r="R497" s="10" cm="1">
        <f t="array" ref="R497">ROUND(P497*getKurs($A497),2)</f>
        <v>0</v>
      </c>
      <c r="S497" s="10" cm="1">
        <f t="array" ref="S497">ROUND(Q497*getKurs($A497),2)</f>
        <v>0</v>
      </c>
      <c r="T497" s="10">
        <f t="shared" si="85"/>
        <v>43200</v>
      </c>
      <c r="U497" s="10" cm="1">
        <f t="array" ref="U497">getParm(Tarifart,"StoSatz")*(Dauer-C497)*Beitrag*Zahlweise*(C497&lt;BZDauer)</f>
        <v>0</v>
      </c>
      <c r="V497" s="10">
        <f t="shared" si="90"/>
        <v>0</v>
      </c>
    </row>
    <row r="498" spans="1:22" x14ac:dyDescent="0.45">
      <c r="A498" s="15">
        <f t="shared" si="91"/>
        <v>51410</v>
      </c>
      <c r="B498">
        <f t="shared" si="81"/>
        <v>489</v>
      </c>
      <c r="C498">
        <f t="shared" si="86"/>
        <v>40</v>
      </c>
      <c r="D498">
        <f t="shared" si="82"/>
        <v>9</v>
      </c>
      <c r="E498">
        <f t="shared" si="83"/>
        <v>1</v>
      </c>
      <c r="F498" s="10">
        <f t="shared" si="84"/>
        <v>0</v>
      </c>
      <c r="G498" s="10" cm="1">
        <f t="array" ref="G498">ROUND(getParm(Tarifart,"alpha")/(2*Zahlweise)*BeiSum*(C498&lt;2)*E498,2)</f>
        <v>0</v>
      </c>
      <c r="H498" s="10" cm="1">
        <f t="array" ref="H498">ROUND(F498*getParm(Tarifart,"beta")*E498,2)</f>
        <v>0</v>
      </c>
      <c r="I498" s="10" cm="1">
        <f t="array" ref="I498">ROUND(F498*get_Üb(YEAR(A498),$I$8)*E498,2)</f>
        <v>0</v>
      </c>
      <c r="J498" s="10">
        <f t="shared" si="87"/>
        <v>0</v>
      </c>
      <c r="K498" s="10">
        <f t="shared" si="88"/>
        <v>0</v>
      </c>
      <c r="L498" s="10" cm="1">
        <f t="array" ref="L498">ROUND(1/12*MAX(MTSum-R498-K498,MRSum)*Act_qx(x+C498,Geschlecht,getParm(Tarifart,"Tafel"),YEAR(GebDat),x+Dauer,1),2)</f>
        <v>170.64</v>
      </c>
      <c r="M498" s="10" cm="1">
        <f t="array" ref="M498">ROUND(L498*get_Üb(YEAR(A498),$M$8),2)</f>
        <v>8.5299999999999994</v>
      </c>
      <c r="N498" s="10" cm="1">
        <f t="array" ref="N498">ROUND(R498*getParm(Tarifart,IF(C498&lt;BZDauer,"gamma1","gamma2")),2)</f>
        <v>0</v>
      </c>
      <c r="O498" s="10" cm="1">
        <f t="array" ref="O498">ROUND(R498*get_Üb(YEAR(A498),$O$8),2)</f>
        <v>0</v>
      </c>
      <c r="P498" s="19">
        <f t="shared" si="89"/>
        <v>0</v>
      </c>
      <c r="Q498" s="19" cm="1">
        <f t="array" ref="Q498">ROUND(P498+1/getKurs(EDATE(A498,-1))*(K498-L498-N498-getParm(Tarifart,"StK")+M498+O498),10)*(C498&lt;Dauer)</f>
        <v>0</v>
      </c>
      <c r="R498" s="10" cm="1">
        <f t="array" ref="R498">ROUND(P498*getKurs($A498),2)</f>
        <v>0</v>
      </c>
      <c r="S498" s="10" cm="1">
        <f t="array" ref="S498">ROUND(Q498*getKurs($A498),2)</f>
        <v>0</v>
      </c>
      <c r="T498" s="10">
        <f t="shared" si="85"/>
        <v>43200</v>
      </c>
      <c r="U498" s="10" cm="1">
        <f t="array" ref="U498">getParm(Tarifart,"StoSatz")*(Dauer-C498)*Beitrag*Zahlweise*(C498&lt;BZDauer)</f>
        <v>0</v>
      </c>
      <c r="V498" s="10">
        <f t="shared" si="90"/>
        <v>0</v>
      </c>
    </row>
    <row r="499" spans="1:22" x14ac:dyDescent="0.45">
      <c r="A499" s="15">
        <f t="shared" si="91"/>
        <v>51441</v>
      </c>
      <c r="B499">
        <f t="shared" si="81"/>
        <v>490</v>
      </c>
      <c r="C499">
        <f t="shared" si="86"/>
        <v>40</v>
      </c>
      <c r="D499">
        <f t="shared" si="82"/>
        <v>10</v>
      </c>
      <c r="E499">
        <f t="shared" si="83"/>
        <v>1</v>
      </c>
      <c r="F499" s="10">
        <f t="shared" si="84"/>
        <v>0</v>
      </c>
      <c r="G499" s="10" cm="1">
        <f t="array" ref="G499">ROUND(getParm(Tarifart,"alpha")/(2*Zahlweise)*BeiSum*(C499&lt;2)*E499,2)</f>
        <v>0</v>
      </c>
      <c r="H499" s="10" cm="1">
        <f t="array" ref="H499">ROUND(F499*getParm(Tarifart,"beta")*E499,2)</f>
        <v>0</v>
      </c>
      <c r="I499" s="10" cm="1">
        <f t="array" ref="I499">ROUND(F499*get_Üb(YEAR(A499),$I$8)*E499,2)</f>
        <v>0</v>
      </c>
      <c r="J499" s="10">
        <f t="shared" si="87"/>
        <v>0</v>
      </c>
      <c r="K499" s="10">
        <f t="shared" si="88"/>
        <v>0</v>
      </c>
      <c r="L499" s="10" cm="1">
        <f t="array" ref="L499">ROUND(1/12*MAX(MTSum-R499-K499,MRSum)*Act_qx(x+C499,Geschlecht,getParm(Tarifart,"Tafel"),YEAR(GebDat),x+Dauer,1),2)</f>
        <v>170.64</v>
      </c>
      <c r="M499" s="10" cm="1">
        <f t="array" ref="M499">ROUND(L499*get_Üb(YEAR(A499),$M$8),2)</f>
        <v>8.5299999999999994</v>
      </c>
      <c r="N499" s="10" cm="1">
        <f t="array" ref="N499">ROUND(R499*getParm(Tarifart,IF(C499&lt;BZDauer,"gamma1","gamma2")),2)</f>
        <v>0</v>
      </c>
      <c r="O499" s="10" cm="1">
        <f t="array" ref="O499">ROUND(R499*get_Üb(YEAR(A499),$O$8),2)</f>
        <v>0</v>
      </c>
      <c r="P499" s="19">
        <f t="shared" si="89"/>
        <v>0</v>
      </c>
      <c r="Q499" s="19" cm="1">
        <f t="array" ref="Q499">ROUND(P499+1/getKurs(EDATE(A499,-1))*(K499-L499-N499-getParm(Tarifart,"StK")+M499+O499),10)*(C499&lt;Dauer)</f>
        <v>0</v>
      </c>
      <c r="R499" s="10" cm="1">
        <f t="array" ref="R499">ROUND(P499*getKurs($A499),2)</f>
        <v>0</v>
      </c>
      <c r="S499" s="10" cm="1">
        <f t="array" ref="S499">ROUND(Q499*getKurs($A499),2)</f>
        <v>0</v>
      </c>
      <c r="T499" s="10">
        <f t="shared" si="85"/>
        <v>43200</v>
      </c>
      <c r="U499" s="10" cm="1">
        <f t="array" ref="U499">getParm(Tarifart,"StoSatz")*(Dauer-C499)*Beitrag*Zahlweise*(C499&lt;BZDauer)</f>
        <v>0</v>
      </c>
      <c r="V499" s="10">
        <f t="shared" si="90"/>
        <v>0</v>
      </c>
    </row>
    <row r="500" spans="1:22" x14ac:dyDescent="0.45">
      <c r="A500" s="15">
        <f t="shared" si="91"/>
        <v>51471</v>
      </c>
      <c r="B500">
        <f t="shared" si="81"/>
        <v>491</v>
      </c>
      <c r="C500">
        <f t="shared" si="86"/>
        <v>40</v>
      </c>
      <c r="D500">
        <f t="shared" si="82"/>
        <v>11</v>
      </c>
      <c r="E500">
        <f t="shared" si="83"/>
        <v>1</v>
      </c>
      <c r="F500" s="10">
        <f t="shared" si="84"/>
        <v>0</v>
      </c>
      <c r="G500" s="10" cm="1">
        <f t="array" ref="G500">ROUND(getParm(Tarifart,"alpha")/(2*Zahlweise)*BeiSum*(C500&lt;2)*E500,2)</f>
        <v>0</v>
      </c>
      <c r="H500" s="10" cm="1">
        <f t="array" ref="H500">ROUND(F500*getParm(Tarifart,"beta")*E500,2)</f>
        <v>0</v>
      </c>
      <c r="I500" s="10" cm="1">
        <f t="array" ref="I500">ROUND(F500*get_Üb(YEAR(A500),$I$8)*E500,2)</f>
        <v>0</v>
      </c>
      <c r="J500" s="10">
        <f t="shared" si="87"/>
        <v>0</v>
      </c>
      <c r="K500" s="10">
        <f t="shared" si="88"/>
        <v>0</v>
      </c>
      <c r="L500" s="10" cm="1">
        <f t="array" ref="L500">ROUND(1/12*MAX(MTSum-R500-K500,MRSum)*Act_qx(x+C500,Geschlecht,getParm(Tarifart,"Tafel"),YEAR(GebDat),x+Dauer,1),2)</f>
        <v>170.64</v>
      </c>
      <c r="M500" s="10" cm="1">
        <f t="array" ref="M500">ROUND(L500*get_Üb(YEAR(A500),$M$8),2)</f>
        <v>8.5299999999999994</v>
      </c>
      <c r="N500" s="10" cm="1">
        <f t="array" ref="N500">ROUND(R500*getParm(Tarifart,IF(C500&lt;BZDauer,"gamma1","gamma2")),2)</f>
        <v>0</v>
      </c>
      <c r="O500" s="10" cm="1">
        <f t="array" ref="O500">ROUND(R500*get_Üb(YEAR(A500),$O$8),2)</f>
        <v>0</v>
      </c>
      <c r="P500" s="19">
        <f t="shared" si="89"/>
        <v>0</v>
      </c>
      <c r="Q500" s="19" cm="1">
        <f t="array" ref="Q500">ROUND(P500+1/getKurs(EDATE(A500,-1))*(K500-L500-N500-getParm(Tarifart,"StK")+M500+O500),10)*(C500&lt;Dauer)</f>
        <v>0</v>
      </c>
      <c r="R500" s="10" cm="1">
        <f t="array" ref="R500">ROUND(P500*getKurs($A500),2)</f>
        <v>0</v>
      </c>
      <c r="S500" s="10" cm="1">
        <f t="array" ref="S500">ROUND(Q500*getKurs($A500),2)</f>
        <v>0</v>
      </c>
      <c r="T500" s="10">
        <f t="shared" si="85"/>
        <v>43200</v>
      </c>
      <c r="U500" s="10" cm="1">
        <f t="array" ref="U500">getParm(Tarifart,"StoSatz")*(Dauer-C500)*Beitrag*Zahlweise*(C500&lt;BZDauer)</f>
        <v>0</v>
      </c>
      <c r="V500" s="10">
        <f t="shared" si="90"/>
        <v>0</v>
      </c>
    </row>
  </sheetData>
  <mergeCells count="2">
    <mergeCell ref="F7:K7"/>
    <mergeCell ref="L7:V7"/>
  </mergeCells>
  <conditionalFormatting sqref="A9:T500">
    <cfRule type="expression" dxfId="14" priority="5">
      <formula>$D9=11</formula>
    </cfRule>
    <cfRule type="expression" dxfId="13" priority="6">
      <formula>$C9&gt;=Dauer</formula>
    </cfRule>
  </conditionalFormatting>
  <conditionalFormatting sqref="U9:U500">
    <cfRule type="expression" dxfId="12" priority="3">
      <formula>$D9=11</formula>
    </cfRule>
    <cfRule type="expression" dxfId="11" priority="4">
      <formula>$C9&gt;=Dauer</formula>
    </cfRule>
  </conditionalFormatting>
  <conditionalFormatting sqref="V9:V500">
    <cfRule type="expression" dxfId="10" priority="1">
      <formula>$D9=11</formula>
    </cfRule>
    <cfRule type="expression" dxfId="9" priority="2">
      <formula>$C9&gt;=Dauer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9692E-AF78-402C-9B49-A9B1AF54CB83}">
  <dimension ref="A1:G496"/>
  <sheetViews>
    <sheetView workbookViewId="0">
      <selection activeCell="C4" sqref="C4"/>
    </sheetView>
  </sheetViews>
  <sheetFormatPr baseColWidth="10" defaultRowHeight="14.25" x14ac:dyDescent="0.45"/>
  <cols>
    <col min="2" max="4" width="16.6640625" style="17" customWidth="1"/>
    <col min="7" max="7" width="11.33203125" bestFit="1" customWidth="1"/>
  </cols>
  <sheetData>
    <row r="1" spans="1:7" x14ac:dyDescent="0.45">
      <c r="A1" s="4" t="s">
        <v>41</v>
      </c>
    </row>
    <row r="3" spans="1:7" x14ac:dyDescent="0.45">
      <c r="A3" t="s">
        <v>40</v>
      </c>
      <c r="B3" s="17" t="s">
        <v>41</v>
      </c>
      <c r="C3" s="17" t="s">
        <v>42</v>
      </c>
      <c r="D3" s="17" t="s">
        <v>43</v>
      </c>
    </row>
    <row r="4" spans="1:7" x14ac:dyDescent="0.45">
      <c r="A4" s="15">
        <v>36495</v>
      </c>
      <c r="B4" s="17" vm="1">
        <f>IF(Kurse="konstant",tbl_Kurse[[#This Row],[Kurse konst.]],tbl_Kurse[[#This Row],[Kurse indiv.]])</f>
        <v>5933.84</v>
      </c>
      <c r="C4" s="17" vm="1">
        <v>5933.84</v>
      </c>
      <c r="D4" s="17">
        <v>100</v>
      </c>
      <c r="G4" s="16"/>
    </row>
    <row r="5" spans="1:7" x14ac:dyDescent="0.45">
      <c r="A5" s="15">
        <v>36526</v>
      </c>
      <c r="B5" s="17" vm="2">
        <f>IF(Kurse="konstant",tbl_Kurse[[#This Row],[Kurse konst.]],tbl_Kurse[[#This Row],[Kurse indiv.]])</f>
        <v>6750.76</v>
      </c>
      <c r="C5" s="17" vm="2">
        <v>6750.76</v>
      </c>
      <c r="D5" s="17">
        <f t="shared" ref="D5:D69" si="0">ROUND(D4*(1+Performance)^(1/12),5)</f>
        <v>100.32737</v>
      </c>
    </row>
    <row r="6" spans="1:7" x14ac:dyDescent="0.45">
      <c r="A6" s="15">
        <v>36557</v>
      </c>
      <c r="B6" s="17" vm="3">
        <f>IF(Kurse="konstant",tbl_Kurse[[#This Row],[Kurse konst.]],tbl_Kurse[[#This Row],[Kurse indiv.]])</f>
        <v>7050.46</v>
      </c>
      <c r="C6" s="17" vm="3">
        <v>7050.46</v>
      </c>
      <c r="D6" s="17">
        <f t="shared" si="0"/>
        <v>100.65582000000001</v>
      </c>
    </row>
    <row r="7" spans="1:7" x14ac:dyDescent="0.45">
      <c r="A7" s="15">
        <v>36586</v>
      </c>
      <c r="B7" s="17" vm="4">
        <f>IF(Kurse="konstant",tbl_Kurse[[#This Row],[Kurse konst.]],tbl_Kurse[[#This Row],[Kurse indiv.]])</f>
        <v>7727.93</v>
      </c>
      <c r="C7" s="17" vm="4">
        <v>7727.93</v>
      </c>
      <c r="D7" s="17">
        <f t="shared" si="0"/>
        <v>100.98533999999999</v>
      </c>
    </row>
    <row r="8" spans="1:7" x14ac:dyDescent="0.45">
      <c r="A8" s="15">
        <v>36617</v>
      </c>
      <c r="B8" s="17" vm="5">
        <f>IF(Kurse="konstant",tbl_Kurse[[#This Row],[Kurse konst.]],tbl_Kurse[[#This Row],[Kurse indiv.]])</f>
        <v>7429.22</v>
      </c>
      <c r="C8" s="17" vm="5">
        <v>7429.22</v>
      </c>
      <c r="D8" s="17">
        <f t="shared" si="0"/>
        <v>101.31594</v>
      </c>
    </row>
    <row r="9" spans="1:7" x14ac:dyDescent="0.45">
      <c r="A9" s="15">
        <v>36647</v>
      </c>
      <c r="B9" s="17" vm="6">
        <f>IF(Kurse="konstant",tbl_Kurse[[#This Row],[Kurse konst.]],tbl_Kurse[[#This Row],[Kurse indiv.]])</f>
        <v>7555.92</v>
      </c>
      <c r="C9" s="17" vm="6">
        <v>7555.92</v>
      </c>
      <c r="D9" s="17">
        <f t="shared" si="0"/>
        <v>101.64762</v>
      </c>
    </row>
    <row r="10" spans="1:7" x14ac:dyDescent="0.45">
      <c r="A10" s="15">
        <v>36678</v>
      </c>
      <c r="B10" s="17" vm="7">
        <f>IF(Kurse="konstant",tbl_Kurse[[#This Row],[Kurse konst.]],tbl_Kurse[[#This Row],[Kurse indiv.]])</f>
        <v>7272.76</v>
      </c>
      <c r="C10" s="17" vm="7">
        <v>7272.76</v>
      </c>
      <c r="D10" s="17">
        <f t="shared" si="0"/>
        <v>101.98039</v>
      </c>
    </row>
    <row r="11" spans="1:7" x14ac:dyDescent="0.45">
      <c r="A11" s="15">
        <v>36708</v>
      </c>
      <c r="B11" s="17" vm="8">
        <f>IF(Kurse="konstant",tbl_Kurse[[#This Row],[Kurse konst.]],tbl_Kurse[[#This Row],[Kurse indiv.]])</f>
        <v>6958.96</v>
      </c>
      <c r="C11" s="17" vm="8">
        <v>6958.96</v>
      </c>
      <c r="D11" s="17">
        <f t="shared" si="0"/>
        <v>102.31425</v>
      </c>
    </row>
    <row r="12" spans="1:7" x14ac:dyDescent="0.45">
      <c r="A12" s="15">
        <v>36739</v>
      </c>
      <c r="B12" s="17" vm="9">
        <f>IF(Kurse="konstant",tbl_Kurse[[#This Row],[Kurse konst.]],tbl_Kurse[[#This Row],[Kurse indiv.]])</f>
        <v>7145.53</v>
      </c>
      <c r="C12" s="17" vm="9">
        <v>7145.53</v>
      </c>
      <c r="D12" s="17">
        <f t="shared" si="0"/>
        <v>102.64919999999999</v>
      </c>
    </row>
    <row r="13" spans="1:7" x14ac:dyDescent="0.45">
      <c r="A13" s="15">
        <v>36770</v>
      </c>
      <c r="B13" s="17" vm="10">
        <f>IF(Kurse="konstant",tbl_Kurse[[#This Row],[Kurse konst.]],tbl_Kurse[[#This Row],[Kurse indiv.]])</f>
        <v>7344.67</v>
      </c>
      <c r="C13" s="17" vm="10">
        <v>7344.67</v>
      </c>
      <c r="D13" s="17">
        <f t="shared" si="0"/>
        <v>102.98524999999999</v>
      </c>
    </row>
    <row r="14" spans="1:7" x14ac:dyDescent="0.45">
      <c r="A14" s="15">
        <v>36800</v>
      </c>
      <c r="B14" s="17" vm="11">
        <f>IF(Kurse="konstant",tbl_Kurse[[#This Row],[Kurse konst.]],tbl_Kurse[[#This Row],[Kurse indiv.]])</f>
        <v>6862.26</v>
      </c>
      <c r="C14" s="17" vm="11">
        <v>6862.26</v>
      </c>
      <c r="D14" s="17">
        <f t="shared" si="0"/>
        <v>103.3224</v>
      </c>
    </row>
    <row r="15" spans="1:7" x14ac:dyDescent="0.45">
      <c r="A15" s="15">
        <v>36831</v>
      </c>
      <c r="B15" s="17" vm="12">
        <f>IF(Kurse="konstant",tbl_Kurse[[#This Row],[Kurse konst.]],tbl_Kurse[[#This Row],[Kurse indiv.]])</f>
        <v>7059.07</v>
      </c>
      <c r="C15" s="17" vm="12">
        <v>7059.07</v>
      </c>
      <c r="D15" s="17">
        <f t="shared" si="0"/>
        <v>103.66065</v>
      </c>
    </row>
    <row r="16" spans="1:7" x14ac:dyDescent="0.45">
      <c r="A16" s="15">
        <v>36861</v>
      </c>
      <c r="B16" s="17" vm="13">
        <f>IF(Kurse="konstant",tbl_Kurse[[#This Row],[Kurse konst.]],tbl_Kurse[[#This Row],[Kurse indiv.]])</f>
        <v>6512.91</v>
      </c>
      <c r="C16" s="17" vm="13">
        <v>6512.91</v>
      </c>
      <c r="D16" s="17">
        <f t="shared" si="0"/>
        <v>104.00001</v>
      </c>
    </row>
    <row r="17" spans="1:4" x14ac:dyDescent="0.45">
      <c r="A17" s="15">
        <v>36892</v>
      </c>
      <c r="B17" s="17" vm="14">
        <f>IF(Kurse="konstant",tbl_Kurse[[#This Row],[Kurse konst.]],tbl_Kurse[[#This Row],[Kurse indiv.]])</f>
        <v>6289.82</v>
      </c>
      <c r="C17" s="17" vm="14">
        <v>6289.82</v>
      </c>
      <c r="D17" s="17">
        <f t="shared" si="0"/>
        <v>104.34048</v>
      </c>
    </row>
    <row r="18" spans="1:4" x14ac:dyDescent="0.45">
      <c r="A18" s="15">
        <v>36923</v>
      </c>
      <c r="B18" s="17" vm="15">
        <f>IF(Kurse="konstant",tbl_Kurse[[#This Row],[Kurse konst.]],tbl_Kurse[[#This Row],[Kurse indiv.]])</f>
        <v>6704.68</v>
      </c>
      <c r="C18" s="17" vm="15">
        <v>6704.68</v>
      </c>
      <c r="D18" s="17">
        <f t="shared" si="0"/>
        <v>104.68206000000001</v>
      </c>
    </row>
    <row r="19" spans="1:4" x14ac:dyDescent="0.45">
      <c r="A19" s="15">
        <v>36951</v>
      </c>
      <c r="B19" s="17" vm="16">
        <f>IF(Kurse="konstant",tbl_Kurse[[#This Row],[Kurse konst.]],tbl_Kurse[[#This Row],[Kurse indiv.]])</f>
        <v>6123.38</v>
      </c>
      <c r="C19" s="17" vm="16">
        <v>6123.38</v>
      </c>
      <c r="D19" s="17">
        <f t="shared" si="0"/>
        <v>105.02476</v>
      </c>
    </row>
    <row r="20" spans="1:4" x14ac:dyDescent="0.45">
      <c r="A20" s="15">
        <v>36982</v>
      </c>
      <c r="B20" s="17" vm="17">
        <f>IF(Kurse="konstant",tbl_Kurse[[#This Row],[Kurse konst.]],tbl_Kurse[[#This Row],[Kurse indiv.]])</f>
        <v>5760.76</v>
      </c>
      <c r="C20" s="17" vm="17">
        <v>5760.76</v>
      </c>
      <c r="D20" s="17">
        <f t="shared" si="0"/>
        <v>105.36857999999999</v>
      </c>
    </row>
    <row r="21" spans="1:4" x14ac:dyDescent="0.45">
      <c r="A21" s="15">
        <v>37012</v>
      </c>
      <c r="B21" s="17" vm="18">
        <f>IF(Kurse="konstant",tbl_Kurse[[#This Row],[Kurse konst.]],tbl_Kurse[[#This Row],[Kurse indiv.]])</f>
        <v>6213.84</v>
      </c>
      <c r="C21" s="17" vm="18">
        <v>6213.84</v>
      </c>
      <c r="D21" s="17">
        <f t="shared" si="0"/>
        <v>105.71353000000001</v>
      </c>
    </row>
    <row r="22" spans="1:4" x14ac:dyDescent="0.45">
      <c r="A22" s="15">
        <v>37043</v>
      </c>
      <c r="B22" s="17" vm="19">
        <f>IF(Kurse="konstant",tbl_Kurse[[#This Row],[Kurse konst.]],tbl_Kurse[[#This Row],[Kurse indiv.]])</f>
        <v>6125.17</v>
      </c>
      <c r="C22" s="17" vm="19">
        <v>6125.17</v>
      </c>
      <c r="D22" s="17">
        <f t="shared" si="0"/>
        <v>106.05961000000001</v>
      </c>
    </row>
    <row r="23" spans="1:4" x14ac:dyDescent="0.45">
      <c r="A23" s="15">
        <v>37073</v>
      </c>
      <c r="B23" s="17" vm="20">
        <f>IF(Kurse="konstant",tbl_Kurse[[#This Row],[Kurse konst.]],tbl_Kurse[[#This Row],[Kurse indiv.]])</f>
        <v>6109.5</v>
      </c>
      <c r="C23" s="17" vm="20">
        <v>6109.5</v>
      </c>
      <c r="D23" s="17">
        <f t="shared" si="0"/>
        <v>106.40682</v>
      </c>
    </row>
    <row r="24" spans="1:4" x14ac:dyDescent="0.45">
      <c r="A24" s="15">
        <v>37104</v>
      </c>
      <c r="B24" s="17" vm="21">
        <f>IF(Kurse="konstant",tbl_Kurse[[#This Row],[Kurse konst.]],tbl_Kurse[[#This Row],[Kurse indiv.]])</f>
        <v>5835.23</v>
      </c>
      <c r="C24" s="17" vm="21">
        <v>5835.23</v>
      </c>
      <c r="D24" s="17">
        <f t="shared" si="0"/>
        <v>106.75517000000001</v>
      </c>
    </row>
    <row r="25" spans="1:4" x14ac:dyDescent="0.45">
      <c r="A25" s="15">
        <v>37135</v>
      </c>
      <c r="B25" s="17" vm="22">
        <f>IF(Kurse="konstant",tbl_Kurse[[#This Row],[Kurse konst.]],tbl_Kurse[[#This Row],[Kurse indiv.]])</f>
        <v>5094.1000000000004</v>
      </c>
      <c r="C25" s="17" vm="22">
        <v>5094.1000000000004</v>
      </c>
      <c r="D25" s="17">
        <f t="shared" si="0"/>
        <v>107.10466</v>
      </c>
    </row>
    <row r="26" spans="1:4" x14ac:dyDescent="0.45">
      <c r="A26" s="15">
        <v>37165</v>
      </c>
      <c r="B26" s="17" vm="23">
        <f>IF(Kurse="konstant",tbl_Kurse[[#This Row],[Kurse konst.]],tbl_Kurse[[#This Row],[Kurse indiv.]])</f>
        <v>4239.97</v>
      </c>
      <c r="C26" s="17" vm="23">
        <v>4239.97</v>
      </c>
      <c r="D26" s="17">
        <f t="shared" si="0"/>
        <v>107.45529000000001</v>
      </c>
    </row>
    <row r="27" spans="1:4" x14ac:dyDescent="0.45">
      <c r="A27" s="15">
        <v>37196</v>
      </c>
      <c r="B27" s="17" vm="24">
        <f>IF(Kurse="konstant",tbl_Kurse[[#This Row],[Kurse konst.]],tbl_Kurse[[#This Row],[Kurse indiv.]])</f>
        <v>4636.13</v>
      </c>
      <c r="C27" s="17" vm="24">
        <v>4636.13</v>
      </c>
      <c r="D27" s="17">
        <f t="shared" si="0"/>
        <v>107.80707</v>
      </c>
    </row>
    <row r="28" spans="1:4" x14ac:dyDescent="0.45">
      <c r="A28" s="15">
        <v>37226</v>
      </c>
      <c r="B28" s="17" vm="25">
        <f>IF(Kurse="konstant",tbl_Kurse[[#This Row],[Kurse konst.]],tbl_Kurse[[#This Row],[Kurse indiv.]])</f>
        <v>4988.4399999999996</v>
      </c>
      <c r="C28" s="17" vm="25">
        <v>4988.4399999999996</v>
      </c>
      <c r="D28" s="17">
        <f t="shared" si="0"/>
        <v>108.16</v>
      </c>
    </row>
    <row r="29" spans="1:4" x14ac:dyDescent="0.45">
      <c r="A29" s="15">
        <v>37257</v>
      </c>
      <c r="B29" s="17" vm="26">
        <f>IF(Kurse="konstant",tbl_Kurse[[#This Row],[Kurse konst.]],tbl_Kurse[[#This Row],[Kurse indiv.]])</f>
        <v>5167.88</v>
      </c>
      <c r="C29" s="17" vm="26">
        <v>5167.88</v>
      </c>
      <c r="D29" s="17">
        <f t="shared" si="0"/>
        <v>108.51409</v>
      </c>
    </row>
    <row r="30" spans="1:4" x14ac:dyDescent="0.45">
      <c r="A30" s="15">
        <v>37288</v>
      </c>
      <c r="B30" s="17" vm="27">
        <f>IF(Kurse="konstant",tbl_Kurse[[#This Row],[Kurse konst.]],tbl_Kurse[[#This Row],[Kurse indiv.]])</f>
        <v>5097.0600000000004</v>
      </c>
      <c r="C30" s="17" vm="27">
        <v>5097.0600000000004</v>
      </c>
      <c r="D30" s="17">
        <f t="shared" si="0"/>
        <v>108.86933999999999</v>
      </c>
    </row>
    <row r="31" spans="1:4" x14ac:dyDescent="0.45">
      <c r="A31" s="15">
        <v>37316</v>
      </c>
      <c r="B31" s="17" vm="28">
        <f>IF(Kurse="konstant",tbl_Kurse[[#This Row],[Kurse konst.]],tbl_Kurse[[#This Row],[Kurse indiv.]])</f>
        <v>5097.41</v>
      </c>
      <c r="C31" s="17" vm="28">
        <v>5097.41</v>
      </c>
      <c r="D31" s="17">
        <f t="shared" si="0"/>
        <v>109.22575000000001</v>
      </c>
    </row>
    <row r="32" spans="1:4" x14ac:dyDescent="0.45">
      <c r="A32" s="15">
        <v>37347</v>
      </c>
      <c r="B32" s="17" vm="29">
        <f>IF(Kurse="konstant",tbl_Kurse[[#This Row],[Kurse konst.]],tbl_Kurse[[#This Row],[Kurse indiv.]])</f>
        <v>5311.08</v>
      </c>
      <c r="C32" s="17" vm="29">
        <v>5311.08</v>
      </c>
      <c r="D32" s="17">
        <f t="shared" si="0"/>
        <v>109.58333</v>
      </c>
    </row>
    <row r="33" spans="1:4" x14ac:dyDescent="0.45">
      <c r="A33" s="15">
        <v>37377</v>
      </c>
      <c r="B33" s="17" vm="30">
        <f>IF(Kurse="konstant",tbl_Kurse[[#This Row],[Kurse konst.]],tbl_Kurse[[#This Row],[Kurse indiv.]])</f>
        <v>4964.5600000000004</v>
      </c>
      <c r="C33" s="17" vm="30">
        <v>4964.5600000000004</v>
      </c>
      <c r="D33" s="17">
        <f t="shared" si="0"/>
        <v>109.94208</v>
      </c>
    </row>
    <row r="34" spans="1:4" x14ac:dyDescent="0.45">
      <c r="A34" s="15">
        <v>37408</v>
      </c>
      <c r="B34" s="17" vm="31">
        <f>IF(Kurse="konstant",tbl_Kurse[[#This Row],[Kurse konst.]],tbl_Kurse[[#This Row],[Kurse indiv.]])</f>
        <v>4747.95</v>
      </c>
      <c r="C34" s="17" vm="31">
        <v>4747.95</v>
      </c>
      <c r="D34" s="17">
        <f t="shared" si="0"/>
        <v>110.30200000000001</v>
      </c>
    </row>
    <row r="35" spans="1:4" x14ac:dyDescent="0.45">
      <c r="A35" s="15">
        <v>37438</v>
      </c>
      <c r="B35" s="17" vm="32">
        <f>IF(Kurse="konstant",tbl_Kurse[[#This Row],[Kurse konst.]],tbl_Kurse[[#This Row],[Kurse indiv.]])</f>
        <v>4366.8100000000004</v>
      </c>
      <c r="C35" s="17" vm="32">
        <v>4366.8100000000004</v>
      </c>
      <c r="D35" s="17">
        <f t="shared" si="0"/>
        <v>110.6631</v>
      </c>
    </row>
    <row r="36" spans="1:4" x14ac:dyDescent="0.45">
      <c r="A36" s="15">
        <v>37469</v>
      </c>
      <c r="B36" s="17" vm="33">
        <f>IF(Kurse="konstant",tbl_Kurse[[#This Row],[Kurse konst.]],tbl_Kurse[[#This Row],[Kurse indiv.]])</f>
        <v>3606.45</v>
      </c>
      <c r="C36" s="17" vm="33">
        <v>3606.45</v>
      </c>
      <c r="D36" s="17">
        <f t="shared" si="0"/>
        <v>111.02538</v>
      </c>
    </row>
    <row r="37" spans="1:4" x14ac:dyDescent="0.45">
      <c r="A37" s="15">
        <v>37500</v>
      </c>
      <c r="B37" s="17" vm="34">
        <f>IF(Kurse="konstant",tbl_Kurse[[#This Row],[Kurse konst.]],tbl_Kurse[[#This Row],[Kurse indiv.]])</f>
        <v>3609.41</v>
      </c>
      <c r="C37" s="17" vm="34">
        <v>3609.41</v>
      </c>
      <c r="D37" s="17">
        <f t="shared" si="0"/>
        <v>111.38885000000001</v>
      </c>
    </row>
    <row r="38" spans="1:4" x14ac:dyDescent="0.45">
      <c r="A38" s="15">
        <v>37530</v>
      </c>
      <c r="B38" s="17" vm="35">
        <f>IF(Kurse="konstant",tbl_Kurse[[#This Row],[Kurse konst.]],tbl_Kurse[[#This Row],[Kurse indiv.]])</f>
        <v>2865.23</v>
      </c>
      <c r="C38" s="17" vm="35">
        <v>2865.23</v>
      </c>
      <c r="D38" s="17">
        <f t="shared" si="0"/>
        <v>111.75351000000001</v>
      </c>
    </row>
    <row r="39" spans="1:4" x14ac:dyDescent="0.45">
      <c r="A39" s="15">
        <v>37561</v>
      </c>
      <c r="B39" s="17" vm="36">
        <f>IF(Kurse="konstant",tbl_Kurse[[#This Row],[Kurse konst.]],tbl_Kurse[[#This Row],[Kurse indiv.]])</f>
        <v>3165.16</v>
      </c>
      <c r="C39" s="17" vm="36">
        <v>3165.16</v>
      </c>
      <c r="D39" s="17">
        <f t="shared" si="0"/>
        <v>112.11936</v>
      </c>
    </row>
    <row r="40" spans="1:4" x14ac:dyDescent="0.45">
      <c r="A40" s="15">
        <v>37591</v>
      </c>
      <c r="B40" s="17" vm="37">
        <f>IF(Kurse="konstant",tbl_Kurse[[#This Row],[Kurse konst.]],tbl_Kurse[[#This Row],[Kurse indiv.]])</f>
        <v>3380.2</v>
      </c>
      <c r="C40" s="17" vm="37">
        <v>3380.2</v>
      </c>
      <c r="D40" s="17">
        <f t="shared" si="0"/>
        <v>112.48641000000001</v>
      </c>
    </row>
    <row r="41" spans="1:4" x14ac:dyDescent="0.45">
      <c r="A41" s="15">
        <v>37622</v>
      </c>
      <c r="B41" s="17" vm="38">
        <f>IF(Kurse="konstant",tbl_Kurse[[#This Row],[Kurse konst.]],tbl_Kurse[[#This Row],[Kurse indiv.]])</f>
        <v>3105.04</v>
      </c>
      <c r="C41" s="17" vm="38">
        <v>3105.04</v>
      </c>
      <c r="D41" s="17">
        <f t="shared" si="0"/>
        <v>112.85466</v>
      </c>
    </row>
    <row r="42" spans="1:4" x14ac:dyDescent="0.45">
      <c r="A42" s="15">
        <v>37653</v>
      </c>
      <c r="B42" s="17" vm="39">
        <f>IF(Kurse="konstant",tbl_Kurse[[#This Row],[Kurse konst.]],tbl_Kurse[[#This Row],[Kurse indiv.]])</f>
        <v>2751.99</v>
      </c>
      <c r="C42" s="17" vm="39">
        <v>2751.99</v>
      </c>
      <c r="D42" s="17">
        <f t="shared" si="0"/>
        <v>113.22412</v>
      </c>
    </row>
    <row r="43" spans="1:4" x14ac:dyDescent="0.45">
      <c r="A43" s="15">
        <v>37681</v>
      </c>
      <c r="B43" s="17" vm="40">
        <f>IF(Kurse="konstant",tbl_Kurse[[#This Row],[Kurse konst.]],tbl_Kurse[[#This Row],[Kurse indiv.]])</f>
        <v>2549.65</v>
      </c>
      <c r="C43" s="17" vm="40">
        <v>2549.65</v>
      </c>
      <c r="D43" s="17">
        <f t="shared" si="0"/>
        <v>113.59479</v>
      </c>
    </row>
    <row r="44" spans="1:4" x14ac:dyDescent="0.45">
      <c r="A44" s="15">
        <v>37712</v>
      </c>
      <c r="B44" s="17" vm="41">
        <f>IF(Kurse="konstant",tbl_Kurse[[#This Row],[Kurse konst.]],tbl_Kurse[[#This Row],[Kurse indiv.]])</f>
        <v>2450.19</v>
      </c>
      <c r="C44" s="17" vm="41">
        <v>2450.19</v>
      </c>
      <c r="D44" s="17">
        <f t="shared" si="0"/>
        <v>113.96666999999999</v>
      </c>
    </row>
    <row r="45" spans="1:4" x14ac:dyDescent="0.45">
      <c r="A45" s="15">
        <v>37742</v>
      </c>
      <c r="B45" s="17" vm="42">
        <f>IF(Kurse="konstant",tbl_Kurse[[#This Row],[Kurse konst.]],tbl_Kurse[[#This Row],[Kurse indiv.]])</f>
        <v>2986</v>
      </c>
      <c r="C45" s="17" vm="42">
        <v>2986</v>
      </c>
      <c r="D45" s="17">
        <f t="shared" si="0"/>
        <v>114.33977</v>
      </c>
    </row>
    <row r="46" spans="1:4" x14ac:dyDescent="0.45">
      <c r="A46" s="15">
        <v>37773</v>
      </c>
      <c r="B46" s="17" vm="43">
        <f>IF(Kurse="konstant",tbl_Kurse[[#This Row],[Kurse konst.]],tbl_Kurse[[#This Row],[Kurse indiv.]])</f>
        <v>3064.56</v>
      </c>
      <c r="C46" s="17" vm="43">
        <v>3064.56</v>
      </c>
      <c r="D46" s="17">
        <f t="shared" si="0"/>
        <v>114.71409</v>
      </c>
    </row>
    <row r="47" spans="1:4" x14ac:dyDescent="0.45">
      <c r="A47" s="15">
        <v>37803</v>
      </c>
      <c r="B47" s="17" vm="44">
        <f>IF(Kurse="konstant",tbl_Kurse[[#This Row],[Kurse konst.]],tbl_Kurse[[#This Row],[Kurse indiv.]])</f>
        <v>3146.55</v>
      </c>
      <c r="C47" s="17" vm="44">
        <v>3146.55</v>
      </c>
      <c r="D47" s="17">
        <f t="shared" si="0"/>
        <v>115.08963</v>
      </c>
    </row>
    <row r="48" spans="1:4" x14ac:dyDescent="0.45">
      <c r="A48" s="15">
        <v>37834</v>
      </c>
      <c r="B48" s="17" vm="45">
        <f>IF(Kurse="konstant",tbl_Kurse[[#This Row],[Kurse konst.]],tbl_Kurse[[#This Row],[Kurse indiv.]])</f>
        <v>3438.89</v>
      </c>
      <c r="C48" s="17" vm="45">
        <v>3438.89</v>
      </c>
      <c r="D48" s="17">
        <f t="shared" si="0"/>
        <v>115.46639999999999</v>
      </c>
    </row>
    <row r="49" spans="1:4" x14ac:dyDescent="0.45">
      <c r="A49" s="15">
        <v>37865</v>
      </c>
      <c r="B49" s="17" vm="46">
        <f>IF(Kurse="konstant",tbl_Kurse[[#This Row],[Kurse konst.]],tbl_Kurse[[#This Row],[Kurse indiv.]])</f>
        <v>3571.22</v>
      </c>
      <c r="C49" s="17" vm="46">
        <v>3571.22</v>
      </c>
      <c r="D49" s="17">
        <f t="shared" si="0"/>
        <v>115.84441</v>
      </c>
    </row>
    <row r="50" spans="1:4" x14ac:dyDescent="0.45">
      <c r="A50" s="15">
        <v>37895</v>
      </c>
      <c r="B50" s="17" vm="47">
        <f>IF(Kurse="konstant",tbl_Kurse[[#This Row],[Kurse konst.]],tbl_Kurse[[#This Row],[Kurse indiv.]])</f>
        <v>3329.83</v>
      </c>
      <c r="C50" s="17" vm="47">
        <v>3329.83</v>
      </c>
      <c r="D50" s="17">
        <f t="shared" si="0"/>
        <v>116.22365000000001</v>
      </c>
    </row>
    <row r="51" spans="1:4" x14ac:dyDescent="0.45">
      <c r="A51" s="15">
        <v>37926</v>
      </c>
      <c r="B51" s="17" vm="48">
        <f>IF(Kurse="konstant",tbl_Kurse[[#This Row],[Kurse konst.]],tbl_Kurse[[#This Row],[Kurse indiv.]])</f>
        <v>3744.5</v>
      </c>
      <c r="C51" s="17" vm="48">
        <v>3744.5</v>
      </c>
      <c r="D51" s="17">
        <f t="shared" si="0"/>
        <v>116.60414</v>
      </c>
    </row>
    <row r="52" spans="1:4" x14ac:dyDescent="0.45">
      <c r="A52" s="15">
        <v>37956</v>
      </c>
      <c r="B52" s="17" vm="49">
        <f>IF(Kurse="konstant",tbl_Kurse[[#This Row],[Kurse konst.]],tbl_Kurse[[#This Row],[Kurse indiv.]])</f>
        <v>3821.2</v>
      </c>
      <c r="C52" s="17" vm="49">
        <v>3821.2</v>
      </c>
      <c r="D52" s="17">
        <f t="shared" si="0"/>
        <v>116.98587000000001</v>
      </c>
    </row>
    <row r="53" spans="1:4" x14ac:dyDescent="0.45">
      <c r="A53" s="15">
        <v>37987</v>
      </c>
      <c r="B53" s="17" vm="50">
        <f>IF(Kurse="konstant",tbl_Kurse[[#This Row],[Kurse konst.]],tbl_Kurse[[#This Row],[Kurse indiv.]])</f>
        <v>4018.5</v>
      </c>
      <c r="C53" s="17" vm="50">
        <v>4018.5</v>
      </c>
      <c r="D53" s="17">
        <f t="shared" si="0"/>
        <v>117.36884999999999</v>
      </c>
    </row>
    <row r="54" spans="1:4" x14ac:dyDescent="0.45">
      <c r="A54" s="15">
        <v>38018</v>
      </c>
      <c r="B54" s="17" vm="51">
        <f>IF(Kurse="konstant",tbl_Kurse[[#This Row],[Kurse konst.]],tbl_Kurse[[#This Row],[Kurse indiv.]])</f>
        <v>4071.6</v>
      </c>
      <c r="C54" s="17" vm="51">
        <v>4071.6</v>
      </c>
      <c r="D54" s="17">
        <f t="shared" si="0"/>
        <v>117.75309</v>
      </c>
    </row>
    <row r="55" spans="1:4" x14ac:dyDescent="0.45">
      <c r="A55" s="15">
        <v>38047</v>
      </c>
      <c r="B55" s="17" vm="52">
        <f>IF(Kurse="konstant",tbl_Kurse[[#This Row],[Kurse konst.]],tbl_Kurse[[#This Row],[Kurse indiv.]])</f>
        <v>4054.43</v>
      </c>
      <c r="C55" s="17" vm="52">
        <v>4054.43</v>
      </c>
      <c r="D55" s="17">
        <f t="shared" si="0"/>
        <v>118.13858</v>
      </c>
    </row>
    <row r="56" spans="1:4" x14ac:dyDescent="0.45">
      <c r="A56" s="15">
        <v>38078</v>
      </c>
      <c r="B56" s="17" vm="53">
        <f>IF(Kurse="konstant",tbl_Kurse[[#This Row],[Kurse konst.]],tbl_Kurse[[#This Row],[Kurse indiv.]])</f>
        <v>3924.85</v>
      </c>
      <c r="C56" s="17" vm="53">
        <v>3924.85</v>
      </c>
      <c r="D56" s="17">
        <f t="shared" si="0"/>
        <v>118.52533</v>
      </c>
    </row>
    <row r="57" spans="1:4" x14ac:dyDescent="0.45">
      <c r="A57" s="15">
        <v>38108</v>
      </c>
      <c r="B57" s="17" vm="54">
        <f>IF(Kurse="konstant",tbl_Kurse[[#This Row],[Kurse konst.]],tbl_Kurse[[#This Row],[Kurse indiv.]])</f>
        <v>4007.65</v>
      </c>
      <c r="C57" s="17" vm="54">
        <v>4007.65</v>
      </c>
      <c r="D57" s="17">
        <f t="shared" si="0"/>
        <v>118.91334999999999</v>
      </c>
    </row>
    <row r="58" spans="1:4" x14ac:dyDescent="0.45">
      <c r="A58" s="15">
        <v>38139</v>
      </c>
      <c r="B58" s="17" vm="55">
        <f>IF(Kurse="konstant",tbl_Kurse[[#This Row],[Kurse konst.]],tbl_Kurse[[#This Row],[Kurse indiv.]])</f>
        <v>3864.18</v>
      </c>
      <c r="C58" s="17" vm="55">
        <v>3864.18</v>
      </c>
      <c r="D58" s="17">
        <f t="shared" si="0"/>
        <v>119.30264</v>
      </c>
    </row>
    <row r="59" spans="1:4" x14ac:dyDescent="0.45">
      <c r="A59" s="15">
        <v>38169</v>
      </c>
      <c r="B59" s="17" vm="56">
        <f>IF(Kurse="konstant",tbl_Kurse[[#This Row],[Kurse konst.]],tbl_Kurse[[#This Row],[Kurse indiv.]])</f>
        <v>4035.02</v>
      </c>
      <c r="C59" s="17" vm="56">
        <v>4035.02</v>
      </c>
      <c r="D59" s="17">
        <f t="shared" si="0"/>
        <v>119.69320999999999</v>
      </c>
    </row>
    <row r="60" spans="1:4" x14ac:dyDescent="0.45">
      <c r="A60" s="15">
        <v>38200</v>
      </c>
      <c r="B60" s="17" vm="57">
        <f>IF(Kurse="konstant",tbl_Kurse[[#This Row],[Kurse konst.]],tbl_Kurse[[#This Row],[Kurse indiv.]])</f>
        <v>3862.71</v>
      </c>
      <c r="C60" s="17" vm="57">
        <v>3862.71</v>
      </c>
      <c r="D60" s="17">
        <f t="shared" si="0"/>
        <v>120.08505</v>
      </c>
    </row>
    <row r="61" spans="1:4" x14ac:dyDescent="0.45">
      <c r="A61" s="15">
        <v>38231</v>
      </c>
      <c r="B61" s="17" vm="58">
        <f>IF(Kurse="konstant",tbl_Kurse[[#This Row],[Kurse konst.]],tbl_Kurse[[#This Row],[Kurse indiv.]])</f>
        <v>3817.62</v>
      </c>
      <c r="C61" s="17" vm="58">
        <v>3817.62</v>
      </c>
      <c r="D61" s="17">
        <f t="shared" si="0"/>
        <v>120.47817999999999</v>
      </c>
    </row>
    <row r="62" spans="1:4" x14ac:dyDescent="0.45">
      <c r="A62" s="15">
        <v>38261</v>
      </c>
      <c r="B62" s="17" vm="59">
        <f>IF(Kurse="konstant",tbl_Kurse[[#This Row],[Kurse konst.]],tbl_Kurse[[#This Row],[Kurse indiv.]])</f>
        <v>3994.96</v>
      </c>
      <c r="C62" s="17" vm="59">
        <v>3994.96</v>
      </c>
      <c r="D62" s="17">
        <f t="shared" si="0"/>
        <v>120.87259</v>
      </c>
    </row>
    <row r="63" spans="1:4" x14ac:dyDescent="0.45">
      <c r="A63" s="15">
        <v>38292</v>
      </c>
      <c r="B63" s="17" vm="60">
        <f>IF(Kurse="konstant",tbl_Kurse[[#This Row],[Kurse konst.]],tbl_Kurse[[#This Row],[Kurse indiv.]])</f>
        <v>4012.64</v>
      </c>
      <c r="C63" s="17" vm="60">
        <v>4012.64</v>
      </c>
      <c r="D63" s="17">
        <f t="shared" si="0"/>
        <v>121.2683</v>
      </c>
    </row>
    <row r="64" spans="1:4" x14ac:dyDescent="0.45">
      <c r="A64" s="15">
        <v>38322</v>
      </c>
      <c r="B64" s="17" vm="61">
        <f>IF(Kurse="konstant",tbl_Kurse[[#This Row],[Kurse konst.]],tbl_Kurse[[#This Row],[Kurse indiv.]])</f>
        <v>4186.03</v>
      </c>
      <c r="C64" s="17" vm="61">
        <v>4186.03</v>
      </c>
      <c r="D64" s="17">
        <f t="shared" si="0"/>
        <v>121.6653</v>
      </c>
    </row>
    <row r="65" spans="1:4" x14ac:dyDescent="0.45">
      <c r="A65" s="15">
        <v>38353</v>
      </c>
      <c r="B65" s="17" vm="62">
        <f>IF(Kurse="konstant",tbl_Kurse[[#This Row],[Kurse konst.]],tbl_Kurse[[#This Row],[Kurse indiv.]])</f>
        <v>4291.53</v>
      </c>
      <c r="C65" s="17" vm="62">
        <v>4291.53</v>
      </c>
      <c r="D65" s="17">
        <f t="shared" si="0"/>
        <v>122.06359999999999</v>
      </c>
    </row>
    <row r="66" spans="1:4" x14ac:dyDescent="0.45">
      <c r="A66" s="15">
        <v>38384</v>
      </c>
      <c r="B66" s="17" vm="63">
        <f>IF(Kurse="konstant",tbl_Kurse[[#This Row],[Kurse konst.]],tbl_Kurse[[#This Row],[Kurse indiv.]])</f>
        <v>4279.97</v>
      </c>
      <c r="C66" s="17" vm="63">
        <v>4279.97</v>
      </c>
      <c r="D66" s="17">
        <f t="shared" si="0"/>
        <v>122.4632</v>
      </c>
    </row>
    <row r="67" spans="1:4" x14ac:dyDescent="0.45">
      <c r="A67" s="15">
        <v>38412</v>
      </c>
      <c r="B67" s="17" vm="64">
        <f>IF(Kurse="konstant",tbl_Kurse[[#This Row],[Kurse konst.]],tbl_Kurse[[#This Row],[Kurse indiv.]])</f>
        <v>4383.62</v>
      </c>
      <c r="C67" s="17" vm="64">
        <v>4383.62</v>
      </c>
      <c r="D67" s="17">
        <f t="shared" si="0"/>
        <v>122.86411</v>
      </c>
    </row>
    <row r="68" spans="1:4" x14ac:dyDescent="0.45">
      <c r="A68" s="15">
        <v>38443</v>
      </c>
      <c r="B68" s="17" vm="65">
        <f>IF(Kurse="konstant",tbl_Kurse[[#This Row],[Kurse konst.]],tbl_Kurse[[#This Row],[Kurse indiv.]])</f>
        <v>4373.53</v>
      </c>
      <c r="C68" s="17" vm="65">
        <v>4373.53</v>
      </c>
      <c r="D68" s="17">
        <f t="shared" si="0"/>
        <v>123.26634</v>
      </c>
    </row>
    <row r="69" spans="1:4" x14ac:dyDescent="0.45">
      <c r="A69" s="15">
        <v>38473</v>
      </c>
      <c r="B69" s="17" vm="66">
        <f>IF(Kurse="konstant",tbl_Kurse[[#This Row],[Kurse konst.]],tbl_Kurse[[#This Row],[Kurse indiv.]])</f>
        <v>4224.0200000000004</v>
      </c>
      <c r="C69" s="17" vm="66">
        <v>4224.0200000000004</v>
      </c>
      <c r="D69" s="17">
        <f t="shared" si="0"/>
        <v>123.66988000000001</v>
      </c>
    </row>
    <row r="70" spans="1:4" x14ac:dyDescent="0.45">
      <c r="A70" s="15">
        <v>38504</v>
      </c>
      <c r="B70" s="17" vm="67">
        <f>IF(Kurse="konstant",tbl_Kurse[[#This Row],[Kurse konst.]],tbl_Kurse[[#This Row],[Kurse indiv.]])</f>
        <v>4527.17</v>
      </c>
      <c r="C70" s="17" vm="67">
        <v>4527.17</v>
      </c>
      <c r="D70" s="17">
        <f t="shared" ref="D70:D133" si="1">ROUND(D69*(1+Performance)^(1/12),5)</f>
        <v>124.07474000000001</v>
      </c>
    </row>
    <row r="71" spans="1:4" x14ac:dyDescent="0.45">
      <c r="A71" s="15">
        <v>38534</v>
      </c>
      <c r="B71" s="17" vm="68">
        <f>IF(Kurse="konstant",tbl_Kurse[[#This Row],[Kurse konst.]],tbl_Kurse[[#This Row],[Kurse indiv.]])</f>
        <v>4617.07</v>
      </c>
      <c r="C71" s="17" vm="68">
        <v>4617.07</v>
      </c>
      <c r="D71" s="17">
        <f t="shared" si="1"/>
        <v>124.48093</v>
      </c>
    </row>
    <row r="72" spans="1:4" x14ac:dyDescent="0.45">
      <c r="A72" s="15">
        <v>38565</v>
      </c>
      <c r="B72" s="17" vm="69">
        <f>IF(Kurse="konstant",tbl_Kurse[[#This Row],[Kurse konst.]],tbl_Kurse[[#This Row],[Kurse indiv.]])</f>
        <v>4890.8500000000004</v>
      </c>
      <c r="C72" s="17" vm="69">
        <v>4890.8500000000004</v>
      </c>
      <c r="D72" s="17">
        <f t="shared" si="1"/>
        <v>124.88845000000001</v>
      </c>
    </row>
    <row r="73" spans="1:4" x14ac:dyDescent="0.45">
      <c r="A73" s="15">
        <v>38596</v>
      </c>
      <c r="B73" s="17" vm="70">
        <f>IF(Kurse="konstant",tbl_Kurse[[#This Row],[Kurse konst.]],tbl_Kurse[[#This Row],[Kurse indiv.]])</f>
        <v>4842.9399999999996</v>
      </c>
      <c r="C73" s="17" vm="70">
        <v>4842.9399999999996</v>
      </c>
      <c r="D73" s="17">
        <f t="shared" si="1"/>
        <v>125.29730000000001</v>
      </c>
    </row>
    <row r="74" spans="1:4" x14ac:dyDescent="0.45">
      <c r="A74" s="15">
        <v>38626</v>
      </c>
      <c r="B74" s="17" vm="71">
        <f>IF(Kurse="konstant",tbl_Kurse[[#This Row],[Kurse konst.]],tbl_Kurse[[#This Row],[Kurse indiv.]])</f>
        <v>5082.07</v>
      </c>
      <c r="C74" s="17" vm="71">
        <v>5082.07</v>
      </c>
      <c r="D74" s="17">
        <f t="shared" si="1"/>
        <v>125.70749000000001</v>
      </c>
    </row>
    <row r="75" spans="1:4" x14ac:dyDescent="0.45">
      <c r="A75" s="15">
        <v>38657</v>
      </c>
      <c r="B75" s="17" vm="72">
        <f>IF(Kurse="konstant",tbl_Kurse[[#This Row],[Kurse konst.]],tbl_Kurse[[#This Row],[Kurse indiv.]])</f>
        <v>4922.55</v>
      </c>
      <c r="C75" s="17" vm="72">
        <v>4922.55</v>
      </c>
      <c r="D75" s="17">
        <f t="shared" si="1"/>
        <v>126.11902000000001</v>
      </c>
    </row>
    <row r="76" spans="1:4" x14ac:dyDescent="0.45">
      <c r="A76" s="15">
        <v>38687</v>
      </c>
      <c r="B76" s="17" vm="73">
        <f>IF(Kurse="konstant",tbl_Kurse[[#This Row],[Kurse konst.]],tbl_Kurse[[#This Row],[Kurse indiv.]])</f>
        <v>5266.55</v>
      </c>
      <c r="C76" s="17" vm="73">
        <v>5266.55</v>
      </c>
      <c r="D76" s="17">
        <f t="shared" si="1"/>
        <v>126.53189999999999</v>
      </c>
    </row>
    <row r="77" spans="1:4" x14ac:dyDescent="0.45">
      <c r="A77" s="15">
        <v>38718</v>
      </c>
      <c r="B77" s="17" vm="74">
        <f>IF(Kurse="konstant",tbl_Kurse[[#This Row],[Kurse konst.]],tbl_Kurse[[#This Row],[Kurse indiv.]])</f>
        <v>5449.98</v>
      </c>
      <c r="C77" s="17" vm="74">
        <v>5449.98</v>
      </c>
      <c r="D77" s="17">
        <f t="shared" si="1"/>
        <v>126.94613</v>
      </c>
    </row>
    <row r="78" spans="1:4" x14ac:dyDescent="0.45">
      <c r="A78" s="15">
        <v>38749</v>
      </c>
      <c r="B78" s="17" vm="75">
        <f>IF(Kurse="konstant",tbl_Kurse[[#This Row],[Kurse konst.]],tbl_Kurse[[#This Row],[Kurse indiv.]])</f>
        <v>5726.53</v>
      </c>
      <c r="C78" s="17" vm="75">
        <v>5726.53</v>
      </c>
      <c r="D78" s="17">
        <f t="shared" si="1"/>
        <v>127.36172000000001</v>
      </c>
    </row>
    <row r="79" spans="1:4" x14ac:dyDescent="0.45">
      <c r="A79" s="15">
        <v>38777</v>
      </c>
      <c r="B79" s="17" vm="76">
        <f>IF(Kurse="konstant",tbl_Kurse[[#This Row],[Kurse konst.]],tbl_Kurse[[#This Row],[Kurse indiv.]])</f>
        <v>5866.61</v>
      </c>
      <c r="C79" s="17" vm="76">
        <v>5866.61</v>
      </c>
      <c r="D79" s="17">
        <f t="shared" si="1"/>
        <v>127.77867000000001</v>
      </c>
    </row>
    <row r="80" spans="1:4" x14ac:dyDescent="0.45">
      <c r="A80" s="15">
        <v>38808</v>
      </c>
      <c r="B80" s="17" vm="77">
        <f>IF(Kurse="konstant",tbl_Kurse[[#This Row],[Kurse konst.]],tbl_Kurse[[#This Row],[Kurse indiv.]])</f>
        <v>6024.05</v>
      </c>
      <c r="C80" s="17" vm="77">
        <v>6024.05</v>
      </c>
      <c r="D80" s="17">
        <f t="shared" si="1"/>
        <v>128.19698</v>
      </c>
    </row>
    <row r="81" spans="1:4" x14ac:dyDescent="0.45">
      <c r="A81" s="15">
        <v>38838</v>
      </c>
      <c r="B81" s="17" vm="78">
        <f>IF(Kurse="konstant",tbl_Kurse[[#This Row],[Kurse konst.]],tbl_Kurse[[#This Row],[Kurse indiv.]])</f>
        <v>6051.29</v>
      </c>
      <c r="C81" s="17" vm="78">
        <v>6051.29</v>
      </c>
      <c r="D81" s="17">
        <f t="shared" si="1"/>
        <v>128.61666</v>
      </c>
    </row>
    <row r="82" spans="1:4" x14ac:dyDescent="0.45">
      <c r="A82" s="15">
        <v>38869</v>
      </c>
      <c r="B82" s="17" vm="79">
        <f>IF(Kurse="konstant",tbl_Kurse[[#This Row],[Kurse konst.]],tbl_Kurse[[#This Row],[Kurse indiv.]])</f>
        <v>5707.59</v>
      </c>
      <c r="C82" s="17" vm="79">
        <v>5707.59</v>
      </c>
      <c r="D82" s="17">
        <f t="shared" si="1"/>
        <v>129.03772000000001</v>
      </c>
    </row>
    <row r="83" spans="1:4" x14ac:dyDescent="0.45">
      <c r="A83" s="15">
        <v>38899</v>
      </c>
      <c r="B83" s="17" vm="80">
        <f>IF(Kurse="konstant",tbl_Kurse[[#This Row],[Kurse konst.]],tbl_Kurse[[#This Row],[Kurse indiv.]])</f>
        <v>5712.69</v>
      </c>
      <c r="C83" s="17" vm="80">
        <v>5712.69</v>
      </c>
      <c r="D83" s="17">
        <f t="shared" si="1"/>
        <v>129.46016</v>
      </c>
    </row>
    <row r="84" spans="1:4" x14ac:dyDescent="0.45">
      <c r="A84" s="15">
        <v>38930</v>
      </c>
      <c r="B84" s="17" vm="81">
        <f>IF(Kurse="konstant",tbl_Kurse[[#This Row],[Kurse konst.]],tbl_Kurse[[#This Row],[Kurse indiv.]])</f>
        <v>5596.74</v>
      </c>
      <c r="C84" s="17" vm="81">
        <v>5596.74</v>
      </c>
      <c r="D84" s="17">
        <f t="shared" si="1"/>
        <v>129.88398000000001</v>
      </c>
    </row>
    <row r="85" spans="1:4" x14ac:dyDescent="0.45">
      <c r="A85" s="15">
        <v>38961</v>
      </c>
      <c r="B85" s="17" vm="82">
        <f>IF(Kurse="konstant",tbl_Kurse[[#This Row],[Kurse konst.]],tbl_Kurse[[#This Row],[Kurse indiv.]])</f>
        <v>5876.54</v>
      </c>
      <c r="C85" s="17" vm="82">
        <v>5876.54</v>
      </c>
      <c r="D85" s="17">
        <f t="shared" si="1"/>
        <v>130.30919</v>
      </c>
    </row>
    <row r="86" spans="1:4" x14ac:dyDescent="0.45">
      <c r="A86" s="15">
        <v>38991</v>
      </c>
      <c r="B86" s="17" vm="83">
        <f>IF(Kurse="konstant",tbl_Kurse[[#This Row],[Kurse konst.]],tbl_Kurse[[#This Row],[Kurse indiv.]])</f>
        <v>5999.46</v>
      </c>
      <c r="C86" s="17" vm="83">
        <v>5999.46</v>
      </c>
      <c r="D86" s="17">
        <f t="shared" si="1"/>
        <v>130.73579000000001</v>
      </c>
    </row>
    <row r="87" spans="1:4" x14ac:dyDescent="0.45">
      <c r="A87" s="15">
        <v>39022</v>
      </c>
      <c r="B87" s="17" vm="84">
        <f>IF(Kurse="konstant",tbl_Kurse[[#This Row],[Kurse konst.]],tbl_Kurse[[#This Row],[Kurse indiv.]])</f>
        <v>6291.9</v>
      </c>
      <c r="C87" s="17" vm="84">
        <v>6291.9</v>
      </c>
      <c r="D87" s="17">
        <f t="shared" si="1"/>
        <v>131.16378</v>
      </c>
    </row>
    <row r="88" spans="1:4" x14ac:dyDescent="0.45">
      <c r="A88" s="15">
        <v>39052</v>
      </c>
      <c r="B88" s="17" vm="85">
        <f>IF(Kurse="konstant",tbl_Kurse[[#This Row],[Kurse konst.]],tbl_Kurse[[#This Row],[Kurse indiv.]])</f>
        <v>6241.13</v>
      </c>
      <c r="C88" s="17" vm="85">
        <v>6241.13</v>
      </c>
      <c r="D88" s="17">
        <f t="shared" si="1"/>
        <v>131.59317999999999</v>
      </c>
    </row>
    <row r="89" spans="1:4" x14ac:dyDescent="0.45">
      <c r="A89" s="15">
        <v>39083</v>
      </c>
      <c r="B89" s="17" vm="86">
        <f>IF(Kurse="konstant",tbl_Kurse[[#This Row],[Kurse konst.]],tbl_Kurse[[#This Row],[Kurse indiv.]])</f>
        <v>6681.13</v>
      </c>
      <c r="C89" s="17" vm="86">
        <v>6681.13</v>
      </c>
      <c r="D89" s="17">
        <f t="shared" si="1"/>
        <v>132.02397999999999</v>
      </c>
    </row>
    <row r="90" spans="1:4" x14ac:dyDescent="0.45">
      <c r="A90" s="15">
        <v>39114</v>
      </c>
      <c r="B90" s="17" vm="87">
        <f>IF(Kurse="konstant",tbl_Kurse[[#This Row],[Kurse konst.]],tbl_Kurse[[#This Row],[Kurse indiv.]])</f>
        <v>6851.28</v>
      </c>
      <c r="C90" s="17" vm="87">
        <v>6851.28</v>
      </c>
      <c r="D90" s="17">
        <f t="shared" si="1"/>
        <v>132.45618999999999</v>
      </c>
    </row>
    <row r="91" spans="1:4" x14ac:dyDescent="0.45">
      <c r="A91" s="15">
        <v>39142</v>
      </c>
      <c r="B91" s="17" vm="88">
        <f>IF(Kurse="konstant",tbl_Kurse[[#This Row],[Kurse konst.]],tbl_Kurse[[#This Row],[Kurse indiv.]])</f>
        <v>6640.24</v>
      </c>
      <c r="C91" s="17" vm="88">
        <v>6640.24</v>
      </c>
      <c r="D91" s="17">
        <f t="shared" si="1"/>
        <v>132.88981999999999</v>
      </c>
    </row>
    <row r="92" spans="1:4" x14ac:dyDescent="0.45">
      <c r="A92" s="15">
        <v>39173</v>
      </c>
      <c r="B92" s="17" vm="89">
        <f>IF(Kurse="konstant",tbl_Kurse[[#This Row],[Kurse konst.]],tbl_Kurse[[#This Row],[Kurse indiv.]])</f>
        <v>6937.17</v>
      </c>
      <c r="C92" s="17" vm="89">
        <v>6937.17</v>
      </c>
      <c r="D92" s="17">
        <f t="shared" si="1"/>
        <v>133.32487</v>
      </c>
    </row>
    <row r="93" spans="1:4" x14ac:dyDescent="0.45">
      <c r="A93" s="15">
        <v>39203</v>
      </c>
      <c r="B93" s="17" vm="90">
        <f>IF(Kurse="konstant",tbl_Kurse[[#This Row],[Kurse konst.]],tbl_Kurse[[#This Row],[Kurse indiv.]])</f>
        <v>7455.93</v>
      </c>
      <c r="C93" s="17" vm="90">
        <v>7455.93</v>
      </c>
      <c r="D93" s="17">
        <f t="shared" si="1"/>
        <v>133.76133999999999</v>
      </c>
    </row>
    <row r="94" spans="1:4" x14ac:dyDescent="0.45">
      <c r="A94" s="15">
        <v>39234</v>
      </c>
      <c r="B94" s="17" vm="91">
        <f>IF(Kurse="konstant",tbl_Kurse[[#This Row],[Kurse konst.]],tbl_Kurse[[#This Row],[Kurse indiv.]])</f>
        <v>7987.85</v>
      </c>
      <c r="C94" s="17" vm="91">
        <v>7987.85</v>
      </c>
      <c r="D94" s="17">
        <f t="shared" si="1"/>
        <v>134.19924</v>
      </c>
    </row>
    <row r="95" spans="1:4" x14ac:dyDescent="0.45">
      <c r="A95" s="15">
        <v>39264</v>
      </c>
      <c r="B95" s="17" vm="92">
        <f>IF(Kurse="konstant",tbl_Kurse[[#This Row],[Kurse konst.]],tbl_Kurse[[#This Row],[Kurse indiv.]])</f>
        <v>7958.24</v>
      </c>
      <c r="C95" s="17" vm="92">
        <v>7958.24</v>
      </c>
      <c r="D95" s="17">
        <f t="shared" si="1"/>
        <v>134.63856999999999</v>
      </c>
    </row>
    <row r="96" spans="1:4" x14ac:dyDescent="0.45">
      <c r="A96" s="15">
        <v>39295</v>
      </c>
      <c r="B96" s="17" vm="93">
        <f>IF(Kurse="konstant",tbl_Kurse[[#This Row],[Kurse konst.]],tbl_Kurse[[#This Row],[Kurse indiv.]])</f>
        <v>7473.93</v>
      </c>
      <c r="C96" s="17" vm="93">
        <v>7473.93</v>
      </c>
      <c r="D96" s="17">
        <f t="shared" si="1"/>
        <v>135.07934</v>
      </c>
    </row>
    <row r="97" spans="1:4" x14ac:dyDescent="0.45">
      <c r="A97" s="15">
        <v>39326</v>
      </c>
      <c r="B97" s="17" vm="94">
        <f>IF(Kurse="konstant",tbl_Kurse[[#This Row],[Kurse konst.]],tbl_Kurse[[#This Row],[Kurse indiv.]])</f>
        <v>7648.58</v>
      </c>
      <c r="C97" s="17" vm="94">
        <v>7648.58</v>
      </c>
      <c r="D97" s="17">
        <f t="shared" si="1"/>
        <v>135.52154999999999</v>
      </c>
    </row>
    <row r="98" spans="1:4" x14ac:dyDescent="0.45">
      <c r="A98" s="15">
        <v>39356</v>
      </c>
      <c r="B98" s="17" vm="95">
        <f>IF(Kurse="konstant",tbl_Kurse[[#This Row],[Kurse konst.]],tbl_Kurse[[#This Row],[Kurse indiv.]])</f>
        <v>7922.42</v>
      </c>
      <c r="C98" s="17" vm="95">
        <v>7922.42</v>
      </c>
      <c r="D98" s="17">
        <f t="shared" si="1"/>
        <v>135.96521000000001</v>
      </c>
    </row>
    <row r="99" spans="1:4" x14ac:dyDescent="0.45">
      <c r="A99" s="15">
        <v>39387</v>
      </c>
      <c r="B99" s="17" vm="96">
        <f>IF(Kurse="konstant",tbl_Kurse[[#This Row],[Kurse konst.]],tbl_Kurse[[#This Row],[Kurse indiv.]])</f>
        <v>7880.85</v>
      </c>
      <c r="C99" s="17" vm="96">
        <v>7880.85</v>
      </c>
      <c r="D99" s="17">
        <f t="shared" si="1"/>
        <v>136.41032000000001</v>
      </c>
    </row>
    <row r="100" spans="1:4" x14ac:dyDescent="0.45">
      <c r="A100" s="15">
        <v>39417</v>
      </c>
      <c r="B100" s="17" vm="97">
        <f>IF(Kurse="konstant",tbl_Kurse[[#This Row],[Kurse konst.]],tbl_Kurse[[#This Row],[Kurse indiv.]])</f>
        <v>7837.26</v>
      </c>
      <c r="C100" s="17" vm="97">
        <v>7837.26</v>
      </c>
      <c r="D100" s="17">
        <f t="shared" si="1"/>
        <v>136.85688999999999</v>
      </c>
    </row>
    <row r="101" spans="1:4" x14ac:dyDescent="0.45">
      <c r="A101" s="15">
        <v>39448</v>
      </c>
      <c r="B101" s="17" vm="98">
        <f>IF(Kurse="konstant",tbl_Kurse[[#This Row],[Kurse konst.]],tbl_Kurse[[#This Row],[Kurse indiv.]])</f>
        <v>7949.11</v>
      </c>
      <c r="C101" s="17" vm="98">
        <v>7949.11</v>
      </c>
      <c r="D101" s="17">
        <f t="shared" si="1"/>
        <v>137.30492000000001</v>
      </c>
    </row>
    <row r="102" spans="1:4" x14ac:dyDescent="0.45">
      <c r="A102" s="15">
        <v>39479</v>
      </c>
      <c r="B102" s="17" vm="99">
        <f>IF(Kurse="konstant",tbl_Kurse[[#This Row],[Kurse konst.]],tbl_Kurse[[#This Row],[Kurse indiv.]])</f>
        <v>6968.67</v>
      </c>
      <c r="C102" s="17" vm="99">
        <v>6968.67</v>
      </c>
      <c r="D102" s="17">
        <f t="shared" si="1"/>
        <v>137.75442000000001</v>
      </c>
    </row>
    <row r="103" spans="1:4" x14ac:dyDescent="0.45">
      <c r="A103" s="15">
        <v>39508</v>
      </c>
      <c r="B103" s="17" vm="100">
        <f>IF(Kurse="konstant",tbl_Kurse[[#This Row],[Kurse konst.]],tbl_Kurse[[#This Row],[Kurse indiv.]])</f>
        <v>6689.95</v>
      </c>
      <c r="C103" s="17" vm="100">
        <v>6689.95</v>
      </c>
      <c r="D103" s="17">
        <f t="shared" si="1"/>
        <v>138.20538999999999</v>
      </c>
    </row>
    <row r="104" spans="1:4" x14ac:dyDescent="0.45">
      <c r="A104" s="15">
        <v>39539</v>
      </c>
      <c r="B104" s="17" vm="101">
        <f>IF(Kurse="konstant",tbl_Kurse[[#This Row],[Kurse konst.]],tbl_Kurse[[#This Row],[Kurse indiv.]])</f>
        <v>6720.33</v>
      </c>
      <c r="C104" s="17" vm="101">
        <v>6720.33</v>
      </c>
      <c r="D104" s="17">
        <f t="shared" si="1"/>
        <v>138.65783999999999</v>
      </c>
    </row>
    <row r="105" spans="1:4" x14ac:dyDescent="0.45">
      <c r="A105" s="15">
        <v>39569</v>
      </c>
      <c r="B105" s="17" vm="102">
        <f>IF(Kurse="konstant",tbl_Kurse[[#This Row],[Kurse konst.]],tbl_Kurse[[#This Row],[Kurse indiv.]])</f>
        <v>7043.23</v>
      </c>
      <c r="C105" s="17" vm="102">
        <v>7043.23</v>
      </c>
      <c r="D105" s="17">
        <f t="shared" si="1"/>
        <v>139.11177000000001</v>
      </c>
    </row>
    <row r="106" spans="1:4" x14ac:dyDescent="0.45">
      <c r="A106" s="15">
        <v>39600</v>
      </c>
      <c r="B106" s="17" vm="103">
        <f>IF(Kurse="konstant",tbl_Kurse[[#This Row],[Kurse konst.]],tbl_Kurse[[#This Row],[Kurse indiv.]])</f>
        <v>7008.77</v>
      </c>
      <c r="C106" s="17" vm="103">
        <v>7008.77</v>
      </c>
      <c r="D106" s="17">
        <f t="shared" si="1"/>
        <v>139.56719000000001</v>
      </c>
    </row>
    <row r="107" spans="1:4" x14ac:dyDescent="0.45">
      <c r="A107" s="15">
        <v>39630</v>
      </c>
      <c r="B107" s="17" vm="104">
        <f>IF(Kurse="konstant",tbl_Kurse[[#This Row],[Kurse konst.]],tbl_Kurse[[#This Row],[Kurse indiv.]])</f>
        <v>6315.94</v>
      </c>
      <c r="C107" s="17" vm="104">
        <v>6315.94</v>
      </c>
      <c r="D107" s="17">
        <f t="shared" si="1"/>
        <v>140.0241</v>
      </c>
    </row>
    <row r="108" spans="1:4" x14ac:dyDescent="0.45">
      <c r="A108" s="15">
        <v>39661</v>
      </c>
      <c r="B108" s="17" vm="105">
        <f>IF(Kurse="konstant",tbl_Kurse[[#This Row],[Kurse konst.]],tbl_Kurse[[#This Row],[Kurse indiv.]])</f>
        <v>6396.46</v>
      </c>
      <c r="C108" s="17" vm="105">
        <v>6396.46</v>
      </c>
      <c r="D108" s="17">
        <f t="shared" si="1"/>
        <v>140.48249999999999</v>
      </c>
    </row>
    <row r="109" spans="1:4" x14ac:dyDescent="0.45">
      <c r="A109" s="15">
        <v>39692</v>
      </c>
      <c r="B109" s="17" vm="106">
        <f>IF(Kurse="konstant",tbl_Kurse[[#This Row],[Kurse konst.]],tbl_Kurse[[#This Row],[Kurse indiv.]])</f>
        <v>6421.8</v>
      </c>
      <c r="C109" s="17" vm="106">
        <v>6421.8</v>
      </c>
      <c r="D109" s="17">
        <f t="shared" si="1"/>
        <v>140.94239999999999</v>
      </c>
    </row>
    <row r="110" spans="1:4" x14ac:dyDescent="0.45">
      <c r="A110" s="15">
        <v>39722</v>
      </c>
      <c r="B110" s="17" vm="107">
        <f>IF(Kurse="konstant",tbl_Kurse[[#This Row],[Kurse konst.]],tbl_Kurse[[#This Row],[Kurse indiv.]])</f>
        <v>5806.33</v>
      </c>
      <c r="C110" s="17" vm="107">
        <v>5806.33</v>
      </c>
      <c r="D110" s="17">
        <f t="shared" si="1"/>
        <v>141.40380999999999</v>
      </c>
    </row>
    <row r="111" spans="1:4" x14ac:dyDescent="0.45">
      <c r="A111" s="15">
        <v>39753</v>
      </c>
      <c r="B111" s="17" vm="108">
        <f>IF(Kurse="konstant",tbl_Kurse[[#This Row],[Kurse konst.]],tbl_Kurse[[#This Row],[Kurse indiv.]])</f>
        <v>5026.84</v>
      </c>
      <c r="C111" s="17" vm="108">
        <v>5026.84</v>
      </c>
      <c r="D111" s="17">
        <f t="shared" si="1"/>
        <v>141.86672999999999</v>
      </c>
    </row>
    <row r="112" spans="1:4" x14ac:dyDescent="0.45">
      <c r="A112" s="15">
        <v>39783</v>
      </c>
      <c r="B112" s="17" vm="109">
        <f>IF(Kurse="konstant",tbl_Kurse[[#This Row],[Kurse konst.]],tbl_Kurse[[#This Row],[Kurse indiv.]])</f>
        <v>4394.79</v>
      </c>
      <c r="C112" s="17" vm="109">
        <v>4394.79</v>
      </c>
      <c r="D112" s="17">
        <f t="shared" si="1"/>
        <v>142.33116000000001</v>
      </c>
    </row>
    <row r="113" spans="1:4" x14ac:dyDescent="0.45">
      <c r="A113" s="15">
        <v>39814</v>
      </c>
      <c r="B113" s="17" vm="110">
        <f>IF(Kurse="konstant",tbl_Kurse[[#This Row],[Kurse konst.]],tbl_Kurse[[#This Row],[Kurse indiv.]])</f>
        <v>4973.07</v>
      </c>
      <c r="C113" s="17" vm="110">
        <v>4973.07</v>
      </c>
      <c r="D113" s="17">
        <f t="shared" si="1"/>
        <v>142.79712000000001</v>
      </c>
    </row>
    <row r="114" spans="1:4" x14ac:dyDescent="0.45">
      <c r="A114" s="15">
        <v>39845</v>
      </c>
      <c r="B114" s="17" vm="111">
        <f>IF(Kurse="konstant",tbl_Kurse[[#This Row],[Kurse konst.]],tbl_Kurse[[#This Row],[Kurse indiv.]])</f>
        <v>4271.04</v>
      </c>
      <c r="C114" s="17" vm="111">
        <v>4271.04</v>
      </c>
      <c r="D114" s="17">
        <f t="shared" si="1"/>
        <v>143.2646</v>
      </c>
    </row>
    <row r="115" spans="1:4" x14ac:dyDescent="0.45">
      <c r="A115" s="15">
        <v>39873</v>
      </c>
      <c r="B115" s="17" vm="112">
        <f>IF(Kurse="konstant",tbl_Kurse[[#This Row],[Kurse konst.]],tbl_Kurse[[#This Row],[Kurse indiv.]])</f>
        <v>3710.07</v>
      </c>
      <c r="C115" s="17" vm="112">
        <v>3710.07</v>
      </c>
      <c r="D115" s="17">
        <f t="shared" si="1"/>
        <v>143.73361</v>
      </c>
    </row>
    <row r="116" spans="1:4" x14ac:dyDescent="0.45">
      <c r="A116" s="15">
        <v>39904</v>
      </c>
      <c r="B116" s="17" vm="113">
        <f>IF(Kurse="konstant",tbl_Kurse[[#This Row],[Kurse konst.]],tbl_Kurse[[#This Row],[Kurse indiv.]])</f>
        <v>4131.07</v>
      </c>
      <c r="C116" s="17" vm="113">
        <v>4131.07</v>
      </c>
      <c r="D116" s="17">
        <f t="shared" si="1"/>
        <v>144.20416</v>
      </c>
    </row>
    <row r="117" spans="1:4" x14ac:dyDescent="0.45">
      <c r="A117" s="15">
        <v>39934</v>
      </c>
      <c r="B117" s="17" vm="114">
        <f>IF(Kurse="konstant",tbl_Kurse[[#This Row],[Kurse konst.]],tbl_Kurse[[#This Row],[Kurse indiv.]])</f>
        <v>4902.45</v>
      </c>
      <c r="C117" s="17" vm="114">
        <v>4902.45</v>
      </c>
      <c r="D117" s="17">
        <f t="shared" si="1"/>
        <v>144.67625000000001</v>
      </c>
    </row>
    <row r="118" spans="1:4" x14ac:dyDescent="0.45">
      <c r="A118" s="15">
        <v>39965</v>
      </c>
      <c r="B118" s="17" vm="115">
        <f>IF(Kurse="konstant",tbl_Kurse[[#This Row],[Kurse konst.]],tbl_Kurse[[#This Row],[Kurse indiv.]])</f>
        <v>5142.5600000000004</v>
      </c>
      <c r="C118" s="17" vm="115">
        <v>5142.5600000000004</v>
      </c>
      <c r="D118" s="17">
        <f t="shared" si="1"/>
        <v>145.14988</v>
      </c>
    </row>
    <row r="119" spans="1:4" x14ac:dyDescent="0.45">
      <c r="A119" s="15">
        <v>39995</v>
      </c>
      <c r="B119" s="17" vm="116">
        <f>IF(Kurse="konstant",tbl_Kurse[[#This Row],[Kurse konst.]],tbl_Kurse[[#This Row],[Kurse indiv.]])</f>
        <v>4905.4399999999996</v>
      </c>
      <c r="C119" s="17" vm="116">
        <v>4905.4399999999996</v>
      </c>
      <c r="D119" s="17">
        <f t="shared" si="1"/>
        <v>145.62505999999999</v>
      </c>
    </row>
    <row r="120" spans="1:4" x14ac:dyDescent="0.45">
      <c r="A120" s="15">
        <v>40026</v>
      </c>
      <c r="B120" s="17" vm="117">
        <f>IF(Kurse="konstant",tbl_Kurse[[#This Row],[Kurse konst.]],tbl_Kurse[[#This Row],[Kurse indiv.]])</f>
        <v>5426.85</v>
      </c>
      <c r="C120" s="17" vm="117">
        <v>5426.85</v>
      </c>
      <c r="D120" s="17">
        <f t="shared" si="1"/>
        <v>146.1018</v>
      </c>
    </row>
    <row r="121" spans="1:4" x14ac:dyDescent="0.45">
      <c r="A121" s="15">
        <v>40057</v>
      </c>
      <c r="B121" s="17" vm="118">
        <f>IF(Kurse="konstant",tbl_Kurse[[#This Row],[Kurse konst.]],tbl_Kurse[[#This Row],[Kurse indiv.]])</f>
        <v>5327.29</v>
      </c>
      <c r="C121" s="17" vm="118">
        <v>5327.29</v>
      </c>
      <c r="D121" s="17">
        <f t="shared" si="1"/>
        <v>146.58009999999999</v>
      </c>
    </row>
    <row r="122" spans="1:4" x14ac:dyDescent="0.45">
      <c r="A122" s="15">
        <v>40087</v>
      </c>
      <c r="B122" s="17" vm="119">
        <f>IF(Kurse="konstant",tbl_Kurse[[#This Row],[Kurse konst.]],tbl_Kurse[[#This Row],[Kurse indiv.]])</f>
        <v>5554.55</v>
      </c>
      <c r="C122" s="17" vm="119">
        <v>5554.55</v>
      </c>
      <c r="D122" s="17">
        <f t="shared" si="1"/>
        <v>147.05996999999999</v>
      </c>
    </row>
    <row r="123" spans="1:4" x14ac:dyDescent="0.45">
      <c r="A123" s="15">
        <v>40118</v>
      </c>
      <c r="B123" s="17" vm="120">
        <f>IF(Kurse="konstant",tbl_Kurse[[#This Row],[Kurse konst.]],tbl_Kurse[[#This Row],[Kurse indiv.]])</f>
        <v>5430.82</v>
      </c>
      <c r="C123" s="17" vm="120">
        <v>5430.82</v>
      </c>
      <c r="D123" s="17">
        <f t="shared" si="1"/>
        <v>147.54141000000001</v>
      </c>
    </row>
    <row r="124" spans="1:4" x14ac:dyDescent="0.45">
      <c r="A124" s="15">
        <v>40148</v>
      </c>
      <c r="B124" s="17" vm="121">
        <f>IF(Kurse="konstant",tbl_Kurse[[#This Row],[Kurse konst.]],tbl_Kurse[[#This Row],[Kurse indiv.]])</f>
        <v>5776.61</v>
      </c>
      <c r="C124" s="17" vm="121">
        <v>5776.61</v>
      </c>
      <c r="D124" s="17">
        <f t="shared" si="1"/>
        <v>148.02441999999999</v>
      </c>
    </row>
    <row r="125" spans="1:4" x14ac:dyDescent="0.45">
      <c r="A125" s="15">
        <v>40179</v>
      </c>
      <c r="B125" s="17" vm="122">
        <f>IF(Kurse="konstant",tbl_Kurse[[#This Row],[Kurse konst.]],tbl_Kurse[[#This Row],[Kurse indiv.]])</f>
        <v>6048.3</v>
      </c>
      <c r="C125" s="17" vm="122">
        <v>6048.3</v>
      </c>
      <c r="D125" s="17">
        <f t="shared" si="1"/>
        <v>148.50900999999999</v>
      </c>
    </row>
    <row r="126" spans="1:4" x14ac:dyDescent="0.45">
      <c r="A126" s="15">
        <v>40210</v>
      </c>
      <c r="B126" s="17" vm="123">
        <f>IF(Kurse="konstant",tbl_Kurse[[#This Row],[Kurse konst.]],tbl_Kurse[[#This Row],[Kurse indiv.]])</f>
        <v>5654.48</v>
      </c>
      <c r="C126" s="17" vm="123">
        <v>5654.48</v>
      </c>
      <c r="D126" s="17">
        <f t="shared" si="1"/>
        <v>148.99519000000001</v>
      </c>
    </row>
    <row r="127" spans="1:4" x14ac:dyDescent="0.45">
      <c r="A127" s="15">
        <v>40238</v>
      </c>
      <c r="B127" s="17" vm="124">
        <f>IF(Kurse="konstant",tbl_Kurse[[#This Row],[Kurse konst.]],tbl_Kurse[[#This Row],[Kurse indiv.]])</f>
        <v>5713.51</v>
      </c>
      <c r="C127" s="17" vm="124">
        <v>5713.51</v>
      </c>
      <c r="D127" s="17">
        <f t="shared" si="1"/>
        <v>149.48295999999999</v>
      </c>
    </row>
    <row r="128" spans="1:4" x14ac:dyDescent="0.45">
      <c r="A128" s="15">
        <v>40269</v>
      </c>
      <c r="B128" s="17" vm="125">
        <f>IF(Kurse="konstant",tbl_Kurse[[#This Row],[Kurse konst.]],tbl_Kurse[[#This Row],[Kurse indiv.]])</f>
        <v>6235.56</v>
      </c>
      <c r="C128" s="17" vm="125">
        <v>6235.56</v>
      </c>
      <c r="D128" s="17">
        <f t="shared" si="1"/>
        <v>149.97233</v>
      </c>
    </row>
    <row r="129" spans="1:4" x14ac:dyDescent="0.45">
      <c r="A129" s="15">
        <v>40299</v>
      </c>
      <c r="B129" s="17" vm="126">
        <f>IF(Kurse="konstant",tbl_Kurse[[#This Row],[Kurse konst.]],tbl_Kurse[[#This Row],[Kurse indiv.]])</f>
        <v>6166.92</v>
      </c>
      <c r="C129" s="17" vm="126">
        <v>6166.92</v>
      </c>
      <c r="D129" s="17">
        <f t="shared" si="1"/>
        <v>150.4633</v>
      </c>
    </row>
    <row r="130" spans="1:4" x14ac:dyDescent="0.45">
      <c r="A130" s="15">
        <v>40330</v>
      </c>
      <c r="B130" s="17" vm="127">
        <f>IF(Kurse="konstant",tbl_Kurse[[#This Row],[Kurse konst.]],tbl_Kurse[[#This Row],[Kurse indiv.]])</f>
        <v>5981.27</v>
      </c>
      <c r="C130" s="17" vm="127">
        <v>5981.27</v>
      </c>
      <c r="D130" s="17">
        <f t="shared" si="1"/>
        <v>150.95588000000001</v>
      </c>
    </row>
    <row r="131" spans="1:4" x14ac:dyDescent="0.45">
      <c r="A131" s="15">
        <v>40360</v>
      </c>
      <c r="B131" s="17" vm="128">
        <f>IF(Kurse="konstant",tbl_Kurse[[#This Row],[Kurse konst.]],tbl_Kurse[[#This Row],[Kurse indiv.]])</f>
        <v>5857.43</v>
      </c>
      <c r="C131" s="17" vm="128">
        <v>5857.43</v>
      </c>
      <c r="D131" s="17">
        <f t="shared" si="1"/>
        <v>151.45007000000001</v>
      </c>
    </row>
    <row r="132" spans="1:4" x14ac:dyDescent="0.45">
      <c r="A132" s="15">
        <v>40391</v>
      </c>
      <c r="B132" s="17" vm="129">
        <f>IF(Kurse="konstant",tbl_Kurse[[#This Row],[Kurse konst.]],tbl_Kurse[[#This Row],[Kurse indiv.]])</f>
        <v>6292.13</v>
      </c>
      <c r="C132" s="17" vm="129">
        <v>6292.13</v>
      </c>
      <c r="D132" s="17">
        <f t="shared" si="1"/>
        <v>151.94587999999999</v>
      </c>
    </row>
    <row r="133" spans="1:4" x14ac:dyDescent="0.45">
      <c r="A133" s="15">
        <v>40422</v>
      </c>
      <c r="B133" s="17" vm="130">
        <f>IF(Kurse="konstant",tbl_Kurse[[#This Row],[Kurse konst.]],tbl_Kurse[[#This Row],[Kurse indiv.]])</f>
        <v>6083.9</v>
      </c>
      <c r="C133" s="17" vm="130">
        <v>6083.9</v>
      </c>
      <c r="D133" s="17">
        <f t="shared" si="1"/>
        <v>152.44331</v>
      </c>
    </row>
    <row r="134" spans="1:4" x14ac:dyDescent="0.45">
      <c r="A134" s="15">
        <v>40452</v>
      </c>
      <c r="B134" s="17" vm="131">
        <f>IF(Kurse="konstant",tbl_Kurse[[#This Row],[Kurse konst.]],tbl_Kurse[[#This Row],[Kurse indiv.]])</f>
        <v>6211.34</v>
      </c>
      <c r="C134" s="17" vm="131">
        <v>6211.34</v>
      </c>
      <c r="D134" s="17">
        <f t="shared" ref="D134:D197" si="2">ROUND(D133*(1+Performance)^(1/12),5)</f>
        <v>152.94237000000001</v>
      </c>
    </row>
    <row r="135" spans="1:4" x14ac:dyDescent="0.45">
      <c r="A135" s="15">
        <v>40483</v>
      </c>
      <c r="B135" s="17" vm="132">
        <f>IF(Kurse="konstant",tbl_Kurse[[#This Row],[Kurse konst.]],tbl_Kurse[[#This Row],[Kurse indiv.]])</f>
        <v>6604.86</v>
      </c>
      <c r="C135" s="17" vm="132">
        <v>6604.86</v>
      </c>
      <c r="D135" s="17">
        <f t="shared" si="2"/>
        <v>153.44306</v>
      </c>
    </row>
    <row r="136" spans="1:4" x14ac:dyDescent="0.45">
      <c r="A136" s="15">
        <v>40513</v>
      </c>
      <c r="B136" s="17" vm="133">
        <f>IF(Kurse="konstant",tbl_Kurse[[#This Row],[Kurse konst.]],tbl_Kurse[[#This Row],[Kurse indiv.]])</f>
        <v>6866.63</v>
      </c>
      <c r="C136" s="17" vm="133">
        <v>6866.63</v>
      </c>
      <c r="D136" s="17">
        <f t="shared" si="2"/>
        <v>153.94539</v>
      </c>
    </row>
    <row r="137" spans="1:4" x14ac:dyDescent="0.45">
      <c r="A137" s="15">
        <v>40544</v>
      </c>
      <c r="B137" s="17" vm="134">
        <f>IF(Kurse="konstant",tbl_Kurse[[#This Row],[Kurse konst.]],tbl_Kurse[[#This Row],[Kurse indiv.]])</f>
        <v>6989.74</v>
      </c>
      <c r="C137" s="17" vm="134">
        <v>6989.74</v>
      </c>
      <c r="D137" s="17">
        <f t="shared" si="2"/>
        <v>154.44936999999999</v>
      </c>
    </row>
    <row r="138" spans="1:4" x14ac:dyDescent="0.45">
      <c r="A138" s="15">
        <v>40575</v>
      </c>
      <c r="B138" s="17" vm="135">
        <f>IF(Kurse="konstant",tbl_Kurse[[#This Row],[Kurse konst.]],tbl_Kurse[[#This Row],[Kurse indiv.]])</f>
        <v>7184.27</v>
      </c>
      <c r="C138" s="17" vm="135">
        <v>7184.27</v>
      </c>
      <c r="D138" s="17">
        <f t="shared" si="2"/>
        <v>154.95500000000001</v>
      </c>
    </row>
    <row r="139" spans="1:4" x14ac:dyDescent="0.45">
      <c r="A139" s="15">
        <v>40603</v>
      </c>
      <c r="B139" s="17" vm="136">
        <f>IF(Kurse="konstant",tbl_Kurse[[#This Row],[Kurse konst.]],tbl_Kurse[[#This Row],[Kurse indiv.]])</f>
        <v>7223.3</v>
      </c>
      <c r="C139" s="17" vm="136">
        <v>7223.3</v>
      </c>
      <c r="D139" s="17">
        <f t="shared" si="2"/>
        <v>155.46227999999999</v>
      </c>
    </row>
    <row r="140" spans="1:4" x14ac:dyDescent="0.45">
      <c r="A140" s="15">
        <v>40634</v>
      </c>
      <c r="B140" s="17" vm="137">
        <f>IF(Kurse="konstant",tbl_Kurse[[#This Row],[Kurse konst.]],tbl_Kurse[[#This Row],[Kurse indiv.]])</f>
        <v>7179.81</v>
      </c>
      <c r="C140" s="17" vm="137">
        <v>7179.81</v>
      </c>
      <c r="D140" s="17">
        <f t="shared" si="2"/>
        <v>155.97121999999999</v>
      </c>
    </row>
    <row r="141" spans="1:4" x14ac:dyDescent="0.45">
      <c r="A141" s="15">
        <v>40664</v>
      </c>
      <c r="B141" s="17" vm="138">
        <f>IF(Kurse="konstant",tbl_Kurse[[#This Row],[Kurse konst.]],tbl_Kurse[[#This Row],[Kurse indiv.]])</f>
        <v>7527.64</v>
      </c>
      <c r="C141" s="17" vm="138">
        <v>7527.64</v>
      </c>
      <c r="D141" s="17">
        <f t="shared" si="2"/>
        <v>156.48183</v>
      </c>
    </row>
    <row r="142" spans="1:4" x14ac:dyDescent="0.45">
      <c r="A142" s="15">
        <v>40695</v>
      </c>
      <c r="B142" s="17" vm="139">
        <f>IF(Kurse="konstant",tbl_Kurse[[#This Row],[Kurse konst.]],tbl_Kurse[[#This Row],[Kurse indiv.]])</f>
        <v>7217.43</v>
      </c>
      <c r="C142" s="17" vm="139">
        <v>7217.43</v>
      </c>
      <c r="D142" s="17">
        <f t="shared" si="2"/>
        <v>156.99411000000001</v>
      </c>
    </row>
    <row r="143" spans="1:4" x14ac:dyDescent="0.45">
      <c r="A143" s="15">
        <v>40725</v>
      </c>
      <c r="B143" s="17" vm="140">
        <f>IF(Kurse="konstant",tbl_Kurse[[#This Row],[Kurse konst.]],tbl_Kurse[[#This Row],[Kurse indiv.]])</f>
        <v>7419.44</v>
      </c>
      <c r="C143" s="17" vm="140">
        <v>7419.44</v>
      </c>
      <c r="D143" s="17">
        <f t="shared" si="2"/>
        <v>157.50807</v>
      </c>
    </row>
    <row r="144" spans="1:4" x14ac:dyDescent="0.45">
      <c r="A144" s="15">
        <v>40756</v>
      </c>
      <c r="B144" s="17" vm="141">
        <f>IF(Kurse="konstant",tbl_Kurse[[#This Row],[Kurse konst.]],tbl_Kurse[[#This Row],[Kurse indiv.]])</f>
        <v>6953.98</v>
      </c>
      <c r="C144" s="17" vm="141">
        <v>6953.98</v>
      </c>
      <c r="D144" s="17">
        <f t="shared" si="2"/>
        <v>158.02370999999999</v>
      </c>
    </row>
    <row r="145" spans="1:4" x14ac:dyDescent="0.45">
      <c r="A145" s="15">
        <v>40787</v>
      </c>
      <c r="B145" s="17" vm="142">
        <f>IF(Kurse="konstant",tbl_Kurse[[#This Row],[Kurse konst.]],tbl_Kurse[[#This Row],[Kurse indiv.]])</f>
        <v>5730.63</v>
      </c>
      <c r="C145" s="17" vm="142">
        <v>5730.63</v>
      </c>
      <c r="D145" s="17">
        <f t="shared" si="2"/>
        <v>158.54104000000001</v>
      </c>
    </row>
    <row r="146" spans="1:4" x14ac:dyDescent="0.45">
      <c r="A146" s="15">
        <v>40817</v>
      </c>
      <c r="B146" s="17" vm="143">
        <f>IF(Kurse="konstant",tbl_Kurse[[#This Row],[Kurse konst.]],tbl_Kurse[[#This Row],[Kurse indiv.]])</f>
        <v>5376.7</v>
      </c>
      <c r="C146" s="17" vm="143">
        <v>5376.7</v>
      </c>
      <c r="D146" s="17">
        <f t="shared" si="2"/>
        <v>159.06005999999999</v>
      </c>
    </row>
    <row r="147" spans="1:4" x14ac:dyDescent="0.45">
      <c r="A147" s="15">
        <v>40848</v>
      </c>
      <c r="B147" s="17" vm="144">
        <f>IF(Kurse="konstant",tbl_Kurse[[#This Row],[Kurse konst.]],tbl_Kurse[[#This Row],[Kurse indiv.]])</f>
        <v>5834.51</v>
      </c>
      <c r="C147" s="17" vm="144">
        <v>5834.51</v>
      </c>
      <c r="D147" s="17">
        <f t="shared" si="2"/>
        <v>159.58078</v>
      </c>
    </row>
    <row r="148" spans="1:4" x14ac:dyDescent="0.45">
      <c r="A148" s="15">
        <v>40878</v>
      </c>
      <c r="B148" s="17" vm="145">
        <f>IF(Kurse="konstant",tbl_Kurse[[#This Row],[Kurse konst.]],tbl_Kurse[[#This Row],[Kurse indiv.]])</f>
        <v>6035.88</v>
      </c>
      <c r="C148" s="17" vm="145">
        <v>6035.88</v>
      </c>
      <c r="D148" s="17">
        <f t="shared" si="2"/>
        <v>160.10320999999999</v>
      </c>
    </row>
    <row r="149" spans="1:4" x14ac:dyDescent="0.45">
      <c r="A149" s="15">
        <v>40909</v>
      </c>
      <c r="B149" s="17" vm="146">
        <f>IF(Kurse="konstant",tbl_Kurse[[#This Row],[Kurse konst.]],tbl_Kurse[[#This Row],[Kurse indiv.]])</f>
        <v>6075.52</v>
      </c>
      <c r="C149" s="17" vm="146">
        <v>6075.52</v>
      </c>
      <c r="D149" s="17">
        <f t="shared" si="2"/>
        <v>160.62735000000001</v>
      </c>
    </row>
    <row r="150" spans="1:4" x14ac:dyDescent="0.45">
      <c r="A150" s="15">
        <v>40940</v>
      </c>
      <c r="B150" s="17" vm="147">
        <f>IF(Kurse="konstant",tbl_Kurse[[#This Row],[Kurse konst.]],tbl_Kurse[[#This Row],[Kurse indiv.]])</f>
        <v>6616.64</v>
      </c>
      <c r="C150" s="17" vm="147">
        <v>6616.64</v>
      </c>
      <c r="D150" s="17">
        <f t="shared" si="2"/>
        <v>161.1532</v>
      </c>
    </row>
    <row r="151" spans="1:4" x14ac:dyDescent="0.45">
      <c r="A151" s="15">
        <v>40969</v>
      </c>
      <c r="B151" s="17" vm="148">
        <f>IF(Kurse="konstant",tbl_Kurse[[#This Row],[Kurse konst.]],tbl_Kurse[[#This Row],[Kurse indiv.]])</f>
        <v>6941.77</v>
      </c>
      <c r="C151" s="17" vm="148">
        <v>6941.77</v>
      </c>
      <c r="D151" s="17">
        <f t="shared" si="2"/>
        <v>161.68077</v>
      </c>
    </row>
    <row r="152" spans="1:4" x14ac:dyDescent="0.45">
      <c r="A152" s="15">
        <v>41000</v>
      </c>
      <c r="B152" s="17" vm="149">
        <f>IF(Kurse="konstant",tbl_Kurse[[#This Row],[Kurse konst.]],tbl_Kurse[[#This Row],[Kurse indiv.]])</f>
        <v>7056.65</v>
      </c>
      <c r="C152" s="17" vm="149">
        <v>7056.65</v>
      </c>
      <c r="D152" s="17">
        <f t="shared" si="2"/>
        <v>162.21007</v>
      </c>
    </row>
    <row r="153" spans="1:4" x14ac:dyDescent="0.45">
      <c r="A153" s="15">
        <v>41030</v>
      </c>
      <c r="B153" s="17" vm="150">
        <f>IF(Kurse="konstant",tbl_Kurse[[#This Row],[Kurse konst.]],tbl_Kurse[[#This Row],[Kurse indiv.]])</f>
        <v>6710.77</v>
      </c>
      <c r="C153" s="17" vm="150">
        <v>6710.77</v>
      </c>
      <c r="D153" s="17">
        <f t="shared" si="2"/>
        <v>162.74109999999999</v>
      </c>
    </row>
    <row r="154" spans="1:4" x14ac:dyDescent="0.45">
      <c r="A154" s="15">
        <v>41061</v>
      </c>
      <c r="B154" s="17" vm="151">
        <f>IF(Kurse="konstant",tbl_Kurse[[#This Row],[Kurse konst.]],tbl_Kurse[[#This Row],[Kurse indiv.]])</f>
        <v>6050.29</v>
      </c>
      <c r="C154" s="17" vm="151">
        <v>6050.29</v>
      </c>
      <c r="D154" s="17">
        <f t="shared" si="2"/>
        <v>163.27386999999999</v>
      </c>
    </row>
    <row r="155" spans="1:4" x14ac:dyDescent="0.45">
      <c r="A155" s="15">
        <v>41091</v>
      </c>
      <c r="B155" s="17" vm="152">
        <f>IF(Kurse="konstant",tbl_Kurse[[#This Row],[Kurse konst.]],tbl_Kurse[[#This Row],[Kurse indiv.]])</f>
        <v>6496.08</v>
      </c>
      <c r="C155" s="17" vm="152">
        <v>6496.08</v>
      </c>
      <c r="D155" s="17">
        <f t="shared" si="2"/>
        <v>163.80839</v>
      </c>
    </row>
    <row r="156" spans="1:4" x14ac:dyDescent="0.45">
      <c r="A156" s="15">
        <v>41122</v>
      </c>
      <c r="B156" s="17" vm="153">
        <f>IF(Kurse="konstant",tbl_Kurse[[#This Row],[Kurse konst.]],tbl_Kurse[[#This Row],[Kurse indiv.]])</f>
        <v>6754.46</v>
      </c>
      <c r="C156" s="17" vm="153">
        <v>6754.46</v>
      </c>
      <c r="D156" s="17">
        <f t="shared" si="2"/>
        <v>164.34466</v>
      </c>
    </row>
    <row r="157" spans="1:4" x14ac:dyDescent="0.45">
      <c r="A157" s="15">
        <v>41153</v>
      </c>
      <c r="B157" s="17" vm="154">
        <f>IF(Kurse="konstant",tbl_Kurse[[#This Row],[Kurse konst.]],tbl_Kurse[[#This Row],[Kurse indiv.]])</f>
        <v>7014.83</v>
      </c>
      <c r="C157" s="17" vm="154">
        <v>7014.83</v>
      </c>
      <c r="D157" s="17">
        <f t="shared" si="2"/>
        <v>164.88267999999999</v>
      </c>
    </row>
    <row r="158" spans="1:4" x14ac:dyDescent="0.45">
      <c r="A158" s="15">
        <v>41183</v>
      </c>
      <c r="B158" s="17" vm="155">
        <f>IF(Kurse="konstant",tbl_Kurse[[#This Row],[Kurse konst.]],tbl_Kurse[[#This Row],[Kurse indiv.]])</f>
        <v>7326.73</v>
      </c>
      <c r="C158" s="17" vm="155">
        <v>7326.73</v>
      </c>
      <c r="D158" s="17">
        <f t="shared" si="2"/>
        <v>165.42246</v>
      </c>
    </row>
    <row r="159" spans="1:4" x14ac:dyDescent="0.45">
      <c r="A159" s="15">
        <v>41214</v>
      </c>
      <c r="B159" s="17" vm="156">
        <f>IF(Kurse="konstant",tbl_Kurse[[#This Row],[Kurse konst.]],tbl_Kurse[[#This Row],[Kurse indiv.]])</f>
        <v>7335.67</v>
      </c>
      <c r="C159" s="17" vm="156">
        <v>7335.67</v>
      </c>
      <c r="D159" s="17">
        <f t="shared" si="2"/>
        <v>165.96401</v>
      </c>
    </row>
    <row r="160" spans="1:4" x14ac:dyDescent="0.45">
      <c r="A160" s="15">
        <v>41244</v>
      </c>
      <c r="B160" s="17" vm="157">
        <f>IF(Kurse="konstant",tbl_Kurse[[#This Row],[Kurse konst.]],tbl_Kurse[[#This Row],[Kurse indiv.]])</f>
        <v>7435.21</v>
      </c>
      <c r="C160" s="17" vm="157">
        <v>7435.21</v>
      </c>
      <c r="D160" s="17">
        <f t="shared" si="2"/>
        <v>166.50733</v>
      </c>
    </row>
    <row r="161" spans="1:4" x14ac:dyDescent="0.45">
      <c r="A161" s="15">
        <v>41275</v>
      </c>
      <c r="B161" s="17" vm="158">
        <f>IF(Kurse="konstant",tbl_Kurse[[#This Row],[Kurse konst.]],tbl_Kurse[[#This Row],[Kurse indiv.]])</f>
        <v>7778.78</v>
      </c>
      <c r="C161" s="17" vm="158">
        <v>7778.78</v>
      </c>
      <c r="D161" s="17">
        <f t="shared" si="2"/>
        <v>167.05242999999999</v>
      </c>
    </row>
    <row r="162" spans="1:4" x14ac:dyDescent="0.45">
      <c r="A162" s="15">
        <v>41306</v>
      </c>
      <c r="B162" s="17" vm="159">
        <f>IF(Kurse="konstant",tbl_Kurse[[#This Row],[Kurse konst.]],tbl_Kurse[[#This Row],[Kurse indiv.]])</f>
        <v>7833.39</v>
      </c>
      <c r="C162" s="17" vm="159">
        <v>7833.39</v>
      </c>
      <c r="D162" s="17">
        <f t="shared" si="2"/>
        <v>167.59932000000001</v>
      </c>
    </row>
    <row r="163" spans="1:4" x14ac:dyDescent="0.45">
      <c r="A163" s="15">
        <v>41334</v>
      </c>
      <c r="B163" s="17" vm="160">
        <f>IF(Kurse="konstant",tbl_Kurse[[#This Row],[Kurse konst.]],tbl_Kurse[[#This Row],[Kurse indiv.]])</f>
        <v>7708.16</v>
      </c>
      <c r="C163" s="17" vm="160">
        <v>7708.16</v>
      </c>
      <c r="D163" s="17">
        <f t="shared" si="2"/>
        <v>168.148</v>
      </c>
    </row>
    <row r="164" spans="1:4" x14ac:dyDescent="0.45">
      <c r="A164" s="15">
        <v>41365</v>
      </c>
      <c r="B164" s="17" vm="161">
        <f>IF(Kurse="konstant",tbl_Kurse[[#This Row],[Kurse konst.]],tbl_Kurse[[#This Row],[Kurse indiv.]])</f>
        <v>7943.87</v>
      </c>
      <c r="C164" s="17" vm="161">
        <v>7943.87</v>
      </c>
      <c r="D164" s="17">
        <f t="shared" si="2"/>
        <v>168.69846999999999</v>
      </c>
    </row>
    <row r="165" spans="1:4" x14ac:dyDescent="0.45">
      <c r="A165" s="15">
        <v>41395</v>
      </c>
      <c r="B165" s="17" vm="162">
        <f>IF(Kurse="konstant",tbl_Kurse[[#This Row],[Kurse konst.]],tbl_Kurse[[#This Row],[Kurse indiv.]])</f>
        <v>7961.71</v>
      </c>
      <c r="C165" s="17" vm="162">
        <v>7961.71</v>
      </c>
      <c r="D165" s="17">
        <f t="shared" si="2"/>
        <v>169.25074000000001</v>
      </c>
    </row>
    <row r="166" spans="1:4" x14ac:dyDescent="0.45">
      <c r="A166" s="15">
        <v>41426</v>
      </c>
      <c r="B166" s="17" vm="163">
        <f>IF(Kurse="konstant",tbl_Kurse[[#This Row],[Kurse konst.]],tbl_Kurse[[#This Row],[Kurse indiv.]])</f>
        <v>8285.7999999999993</v>
      </c>
      <c r="C166" s="17" vm="163">
        <v>8285.7999999999993</v>
      </c>
      <c r="D166" s="17">
        <f t="shared" si="2"/>
        <v>169.80482000000001</v>
      </c>
    </row>
    <row r="167" spans="1:4" x14ac:dyDescent="0.45">
      <c r="A167" s="15">
        <v>41456</v>
      </c>
      <c r="B167" s="17" vm="164">
        <f>IF(Kurse="konstant",tbl_Kurse[[#This Row],[Kurse konst.]],tbl_Kurse[[#This Row],[Kurse indiv.]])</f>
        <v>7983.92</v>
      </c>
      <c r="C167" s="17" vm="164">
        <v>7983.92</v>
      </c>
      <c r="D167" s="17">
        <f t="shared" si="2"/>
        <v>170.36071999999999</v>
      </c>
    </row>
    <row r="168" spans="1:4" x14ac:dyDescent="0.45">
      <c r="A168" s="15">
        <v>41487</v>
      </c>
      <c r="B168" s="17" vm="165">
        <f>IF(Kurse="konstant",tbl_Kurse[[#This Row],[Kurse konst.]],tbl_Kurse[[#This Row],[Kurse indiv.]])</f>
        <v>8410.73</v>
      </c>
      <c r="C168" s="17" vm="165">
        <v>8410.73</v>
      </c>
      <c r="D168" s="17">
        <f t="shared" si="2"/>
        <v>170.91844</v>
      </c>
    </row>
    <row r="169" spans="1:4" x14ac:dyDescent="0.45">
      <c r="A169" s="15">
        <v>41518</v>
      </c>
      <c r="B169" s="17" vm="166">
        <f>IF(Kurse="konstant",tbl_Kurse[[#This Row],[Kurse konst.]],tbl_Kurse[[#This Row],[Kurse indiv.]])</f>
        <v>8243.8700000000008</v>
      </c>
      <c r="C169" s="17" vm="166">
        <v>8243.8700000000008</v>
      </c>
      <c r="D169" s="17">
        <f t="shared" si="2"/>
        <v>171.47798</v>
      </c>
    </row>
    <row r="170" spans="1:4" x14ac:dyDescent="0.45">
      <c r="A170" s="15">
        <v>41548</v>
      </c>
      <c r="B170" s="17" vm="167">
        <f>IF(Kurse="konstant",tbl_Kurse[[#This Row],[Kurse konst.]],tbl_Kurse[[#This Row],[Kurse indiv.]])</f>
        <v>8689.14</v>
      </c>
      <c r="C170" s="17" vm="167">
        <v>8689.14</v>
      </c>
      <c r="D170" s="17">
        <f t="shared" si="2"/>
        <v>172.03935000000001</v>
      </c>
    </row>
    <row r="171" spans="1:4" x14ac:dyDescent="0.45">
      <c r="A171" s="15">
        <v>41579</v>
      </c>
      <c r="B171" s="17" vm="168">
        <f>IF(Kurse="konstant",tbl_Kurse[[#This Row],[Kurse konst.]],tbl_Kurse[[#This Row],[Kurse indiv.]])</f>
        <v>9007.83</v>
      </c>
      <c r="C171" s="17" vm="168">
        <v>9007.83</v>
      </c>
      <c r="D171" s="17">
        <f t="shared" si="2"/>
        <v>172.60256000000001</v>
      </c>
    </row>
    <row r="172" spans="1:4" x14ac:dyDescent="0.45">
      <c r="A172" s="15">
        <v>41609</v>
      </c>
      <c r="B172" s="17" vm="169">
        <f>IF(Kurse="konstant",tbl_Kurse[[#This Row],[Kurse konst.]],tbl_Kurse[[#This Row],[Kurse indiv.]])</f>
        <v>9401.9599999999991</v>
      </c>
      <c r="C172" s="17" vm="169">
        <v>9401.9599999999991</v>
      </c>
      <c r="D172" s="17">
        <f t="shared" si="2"/>
        <v>173.16762</v>
      </c>
    </row>
    <row r="173" spans="1:4" x14ac:dyDescent="0.45">
      <c r="A173" s="15">
        <v>41640</v>
      </c>
      <c r="B173" s="17" vm="170">
        <f>IF(Kurse="konstant",tbl_Kurse[[#This Row],[Kurse konst.]],tbl_Kurse[[#This Row],[Kurse indiv.]])</f>
        <v>9400.0400000000009</v>
      </c>
      <c r="C173" s="17" vm="170">
        <v>9400.0400000000009</v>
      </c>
      <c r="D173" s="17">
        <f t="shared" si="2"/>
        <v>173.73453000000001</v>
      </c>
    </row>
    <row r="174" spans="1:4" x14ac:dyDescent="0.45">
      <c r="A174" s="15">
        <v>41671</v>
      </c>
      <c r="B174" s="17" vm="171">
        <f>IF(Kurse="konstant",tbl_Kurse[[#This Row],[Kurse konst.]],tbl_Kurse[[#This Row],[Kurse indiv.]])</f>
        <v>9186.52</v>
      </c>
      <c r="C174" s="17" vm="171">
        <v>9186.52</v>
      </c>
      <c r="D174" s="17">
        <f t="shared" si="2"/>
        <v>174.30329</v>
      </c>
    </row>
    <row r="175" spans="1:4" x14ac:dyDescent="0.45">
      <c r="A175" s="15">
        <v>41699</v>
      </c>
      <c r="B175" s="17" vm="172">
        <f>IF(Kurse="konstant",tbl_Kurse[[#This Row],[Kurse konst.]],tbl_Kurse[[#This Row],[Kurse indiv.]])</f>
        <v>9358.89</v>
      </c>
      <c r="C175" s="17" vm="172">
        <v>9358.89</v>
      </c>
      <c r="D175" s="17">
        <f t="shared" si="2"/>
        <v>174.87391</v>
      </c>
    </row>
    <row r="176" spans="1:4" x14ac:dyDescent="0.45">
      <c r="A176" s="15">
        <v>41730</v>
      </c>
      <c r="B176" s="17" vm="173">
        <f>IF(Kurse="konstant",tbl_Kurse[[#This Row],[Kurse konst.]],tbl_Kurse[[#This Row],[Kurse indiv.]])</f>
        <v>9603.7099999999991</v>
      </c>
      <c r="C176" s="17" vm="173">
        <v>9603.7099999999991</v>
      </c>
      <c r="D176" s="17">
        <f t="shared" si="2"/>
        <v>175.44640000000001</v>
      </c>
    </row>
    <row r="177" spans="1:4" x14ac:dyDescent="0.45">
      <c r="A177" s="15">
        <v>41760</v>
      </c>
      <c r="B177" s="17" vm="174">
        <f>IF(Kurse="konstant",tbl_Kurse[[#This Row],[Kurse konst.]],tbl_Kurse[[#This Row],[Kurse indiv.]])</f>
        <v>9556.02</v>
      </c>
      <c r="C177" s="17" vm="174">
        <v>9556.02</v>
      </c>
      <c r="D177" s="17">
        <f t="shared" si="2"/>
        <v>176.02077</v>
      </c>
    </row>
    <row r="178" spans="1:4" x14ac:dyDescent="0.45">
      <c r="A178" s="15">
        <v>41791</v>
      </c>
      <c r="B178" s="17" vm="175">
        <f>IF(Kurse="konstant",tbl_Kurse[[#This Row],[Kurse konst.]],tbl_Kurse[[#This Row],[Kurse indiv.]])</f>
        <v>9950.1200000000008</v>
      </c>
      <c r="C178" s="17" vm="175">
        <v>9950.1200000000008</v>
      </c>
      <c r="D178" s="17">
        <f t="shared" si="2"/>
        <v>176.59701999999999</v>
      </c>
    </row>
    <row r="179" spans="1:4" x14ac:dyDescent="0.45">
      <c r="A179" s="15">
        <v>41821</v>
      </c>
      <c r="B179" s="17" vm="176">
        <f>IF(Kurse="konstant",tbl_Kurse[[#This Row],[Kurse konst.]],tbl_Kurse[[#This Row],[Kurse indiv.]])</f>
        <v>9902.41</v>
      </c>
      <c r="C179" s="17" vm="176">
        <v>9902.41</v>
      </c>
      <c r="D179" s="17">
        <f t="shared" si="2"/>
        <v>177.17515</v>
      </c>
    </row>
    <row r="180" spans="1:4" x14ac:dyDescent="0.45">
      <c r="A180" s="15">
        <v>41852</v>
      </c>
      <c r="B180" s="17" vm="177">
        <f>IF(Kurse="konstant",tbl_Kurse[[#This Row],[Kurse konst.]],tbl_Kurse[[#This Row],[Kurse indiv.]])</f>
        <v>9210.08</v>
      </c>
      <c r="C180" s="17" vm="177">
        <v>9210.08</v>
      </c>
      <c r="D180" s="17">
        <f t="shared" si="2"/>
        <v>177.75518</v>
      </c>
    </row>
    <row r="181" spans="1:4" x14ac:dyDescent="0.45">
      <c r="A181" s="15">
        <v>41883</v>
      </c>
      <c r="B181" s="17" vm="178">
        <f>IF(Kurse="konstant",tbl_Kurse[[#This Row],[Kurse konst.]],tbl_Kurse[[#This Row],[Kurse indiv.]])</f>
        <v>9479.0300000000007</v>
      </c>
      <c r="C181" s="17" vm="178">
        <v>9479.0300000000007</v>
      </c>
      <c r="D181" s="17">
        <f t="shared" si="2"/>
        <v>178.33709999999999</v>
      </c>
    </row>
    <row r="182" spans="1:4" x14ac:dyDescent="0.45">
      <c r="A182" s="15">
        <v>41913</v>
      </c>
      <c r="B182" s="17" vm="179">
        <f>IF(Kurse="konstant",tbl_Kurse[[#This Row],[Kurse konst.]],tbl_Kurse[[#This Row],[Kurse indiv.]])</f>
        <v>9382.0300000000007</v>
      </c>
      <c r="C182" s="17" vm="179">
        <v>9382.0300000000007</v>
      </c>
      <c r="D182" s="17">
        <f t="shared" si="2"/>
        <v>178.92093</v>
      </c>
    </row>
    <row r="183" spans="1:4" x14ac:dyDescent="0.45">
      <c r="A183" s="15">
        <v>41944</v>
      </c>
      <c r="B183" s="17" vm="180">
        <f>IF(Kurse="konstant",tbl_Kurse[[#This Row],[Kurse konst.]],tbl_Kurse[[#This Row],[Kurse indiv.]])</f>
        <v>9251.7000000000007</v>
      </c>
      <c r="C183" s="17" vm="180">
        <v>9251.7000000000007</v>
      </c>
      <c r="D183" s="17">
        <f t="shared" si="2"/>
        <v>179.50667000000001</v>
      </c>
    </row>
    <row r="184" spans="1:4" x14ac:dyDescent="0.45">
      <c r="A184" s="15">
        <v>41974</v>
      </c>
      <c r="B184" s="17" vm="181">
        <f>IF(Kurse="konstant",tbl_Kurse[[#This Row],[Kurse konst.]],tbl_Kurse[[#This Row],[Kurse indiv.]])</f>
        <v>9963.51</v>
      </c>
      <c r="C184" s="17" vm="181">
        <v>9963.51</v>
      </c>
      <c r="D184" s="17">
        <f t="shared" si="2"/>
        <v>180.09433000000001</v>
      </c>
    </row>
    <row r="185" spans="1:4" x14ac:dyDescent="0.45">
      <c r="A185" s="15">
        <v>42005</v>
      </c>
      <c r="B185" s="17" vm="182">
        <f>IF(Kurse="konstant",tbl_Kurse[[#This Row],[Kurse konst.]],tbl_Kurse[[#This Row],[Kurse indiv.]])</f>
        <v>9764.73</v>
      </c>
      <c r="C185" s="17" vm="182">
        <v>9764.73</v>
      </c>
      <c r="D185" s="17">
        <f t="shared" si="2"/>
        <v>180.68391</v>
      </c>
    </row>
    <row r="186" spans="1:4" x14ac:dyDescent="0.45">
      <c r="A186" s="15">
        <v>42036</v>
      </c>
      <c r="B186" s="17" vm="183">
        <f>IF(Kurse="konstant",tbl_Kurse[[#This Row],[Kurse konst.]],tbl_Kurse[[#This Row],[Kurse indiv.]])</f>
        <v>10828.01</v>
      </c>
      <c r="C186" s="17" vm="183">
        <v>10828.01</v>
      </c>
      <c r="D186" s="17">
        <f t="shared" si="2"/>
        <v>181.27542</v>
      </c>
    </row>
    <row r="187" spans="1:4" x14ac:dyDescent="0.45">
      <c r="A187" s="15">
        <v>42064</v>
      </c>
      <c r="B187" s="17" vm="184">
        <f>IF(Kurse="konstant",tbl_Kurse[[#This Row],[Kurse konst.]],tbl_Kurse[[#This Row],[Kurse indiv.]])</f>
        <v>11410.36</v>
      </c>
      <c r="C187" s="17" vm="184">
        <v>11410.36</v>
      </c>
      <c r="D187" s="17">
        <f t="shared" si="2"/>
        <v>181.86886999999999</v>
      </c>
    </row>
    <row r="188" spans="1:4" x14ac:dyDescent="0.45">
      <c r="A188" s="15">
        <v>42095</v>
      </c>
      <c r="B188" s="17" vm="185">
        <f>IF(Kurse="konstant",tbl_Kurse[[#This Row],[Kurse konst.]],tbl_Kurse[[#This Row],[Kurse indiv.]])</f>
        <v>12001.38</v>
      </c>
      <c r="C188" s="17" vm="185">
        <v>12001.38</v>
      </c>
      <c r="D188" s="17">
        <f t="shared" si="2"/>
        <v>182.46426</v>
      </c>
    </row>
    <row r="189" spans="1:4" x14ac:dyDescent="0.45">
      <c r="A189" s="15">
        <v>42125</v>
      </c>
      <c r="B189" s="17" vm="186">
        <f>IF(Kurse="konstant",tbl_Kurse[[#This Row],[Kurse konst.]],tbl_Kurse[[#This Row],[Kurse indiv.]])</f>
        <v>11619.85</v>
      </c>
      <c r="C189" s="17" vm="186">
        <v>11619.85</v>
      </c>
      <c r="D189" s="17">
        <f t="shared" si="2"/>
        <v>183.0616</v>
      </c>
    </row>
    <row r="190" spans="1:4" x14ac:dyDescent="0.45">
      <c r="A190" s="15">
        <v>42156</v>
      </c>
      <c r="B190" s="17" vm="187">
        <f>IF(Kurse="konstant",tbl_Kurse[[#This Row],[Kurse konst.]],tbl_Kurse[[#This Row],[Kurse indiv.]])</f>
        <v>11436.05</v>
      </c>
      <c r="C190" s="17" vm="187">
        <v>11436.05</v>
      </c>
      <c r="D190" s="17">
        <f t="shared" si="2"/>
        <v>183.6609</v>
      </c>
    </row>
    <row r="191" spans="1:4" x14ac:dyDescent="0.45">
      <c r="A191" s="15">
        <v>42186</v>
      </c>
      <c r="B191" s="17" vm="188">
        <f>IF(Kurse="konstant",tbl_Kurse[[#This Row],[Kurse konst.]],tbl_Kurse[[#This Row],[Kurse indiv.]])</f>
        <v>11180.5</v>
      </c>
      <c r="C191" s="17" vm="188">
        <v>11180.5</v>
      </c>
      <c r="D191" s="17">
        <f t="shared" si="2"/>
        <v>184.26215999999999</v>
      </c>
    </row>
    <row r="192" spans="1:4" x14ac:dyDescent="0.45">
      <c r="A192" s="15">
        <v>42217</v>
      </c>
      <c r="B192" s="17" vm="189">
        <f>IF(Kurse="konstant",tbl_Kurse[[#This Row],[Kurse konst.]],tbl_Kurse[[#This Row],[Kurse indiv.]])</f>
        <v>11443.72</v>
      </c>
      <c r="C192" s="17" vm="189">
        <v>11443.72</v>
      </c>
      <c r="D192" s="17">
        <f t="shared" si="2"/>
        <v>184.86538999999999</v>
      </c>
    </row>
    <row r="193" spans="1:4" x14ac:dyDescent="0.45">
      <c r="A193" s="15">
        <v>42248</v>
      </c>
      <c r="B193" s="17" vm="190">
        <f>IF(Kurse="konstant",tbl_Kurse[[#This Row],[Kurse konst.]],tbl_Kurse[[#This Row],[Kurse indiv.]])</f>
        <v>10015.57</v>
      </c>
      <c r="C193" s="17" vm="190">
        <v>10015.57</v>
      </c>
      <c r="D193" s="17">
        <f t="shared" si="2"/>
        <v>185.47058999999999</v>
      </c>
    </row>
    <row r="194" spans="1:4" x14ac:dyDescent="0.45">
      <c r="A194" s="15">
        <v>42278</v>
      </c>
      <c r="B194" s="17" vm="191">
        <f>IF(Kurse="konstant",tbl_Kurse[[#This Row],[Kurse konst.]],tbl_Kurse[[#This Row],[Kurse indiv.]])</f>
        <v>9509.25</v>
      </c>
      <c r="C194" s="17" vm="191">
        <v>9509.25</v>
      </c>
      <c r="D194" s="17">
        <f t="shared" si="2"/>
        <v>186.07776999999999</v>
      </c>
    </row>
    <row r="195" spans="1:4" x14ac:dyDescent="0.45">
      <c r="A195" s="15">
        <v>42309</v>
      </c>
      <c r="B195" s="17" vm="192">
        <f>IF(Kurse="konstant",tbl_Kurse[[#This Row],[Kurse konst.]],tbl_Kurse[[#This Row],[Kurse indiv.]])</f>
        <v>10950.67</v>
      </c>
      <c r="C195" s="17" vm="192">
        <v>10950.67</v>
      </c>
      <c r="D195" s="17">
        <f t="shared" si="2"/>
        <v>186.68693999999999</v>
      </c>
    </row>
    <row r="196" spans="1:4" x14ac:dyDescent="0.45">
      <c r="A196" s="15">
        <v>42339</v>
      </c>
      <c r="B196" s="17" vm="193">
        <f>IF(Kurse="konstant",tbl_Kurse[[#This Row],[Kurse konst.]],tbl_Kurse[[#This Row],[Kurse indiv.]])</f>
        <v>11261.24</v>
      </c>
      <c r="C196" s="17" vm="193">
        <v>11261.24</v>
      </c>
      <c r="D196" s="17">
        <f t="shared" si="2"/>
        <v>187.29810000000001</v>
      </c>
    </row>
    <row r="197" spans="1:4" x14ac:dyDescent="0.45">
      <c r="A197" s="15">
        <v>42370</v>
      </c>
      <c r="B197" s="17" vm="194">
        <f>IF(Kurse="konstant",tbl_Kurse[[#This Row],[Kurse konst.]],tbl_Kurse[[#This Row],[Kurse indiv.]])</f>
        <v>10283.44</v>
      </c>
      <c r="C197" s="17" vm="194">
        <v>10283.44</v>
      </c>
      <c r="D197" s="17">
        <f t="shared" si="2"/>
        <v>187.91127</v>
      </c>
    </row>
    <row r="198" spans="1:4" x14ac:dyDescent="0.45">
      <c r="A198" s="15">
        <v>42401</v>
      </c>
      <c r="B198" s="17" vm="195">
        <f>IF(Kurse="konstant",tbl_Kurse[[#This Row],[Kurse konst.]],tbl_Kurse[[#This Row],[Kurse indiv.]])</f>
        <v>9757.8799999999992</v>
      </c>
      <c r="C198" s="17" vm="195">
        <v>9757.8799999999992</v>
      </c>
      <c r="D198" s="17">
        <f t="shared" ref="D198:D261" si="3">ROUND(D197*(1+Performance)^(1/12),5)</f>
        <v>188.52644000000001</v>
      </c>
    </row>
    <row r="199" spans="1:4" x14ac:dyDescent="0.45">
      <c r="A199" s="15">
        <v>42430</v>
      </c>
      <c r="B199" s="17" vm="196">
        <f>IF(Kurse="konstant",tbl_Kurse[[#This Row],[Kurse konst.]],tbl_Kurse[[#This Row],[Kurse indiv.]])</f>
        <v>9717.16</v>
      </c>
      <c r="C199" s="17" vm="196">
        <v>9717.16</v>
      </c>
      <c r="D199" s="17">
        <f t="shared" si="3"/>
        <v>189.14363</v>
      </c>
    </row>
    <row r="200" spans="1:4" x14ac:dyDescent="0.45">
      <c r="A200" s="15">
        <v>42461</v>
      </c>
      <c r="B200" s="17" vm="197">
        <f>IF(Kurse="konstant",tbl_Kurse[[#This Row],[Kurse konst.]],tbl_Kurse[[#This Row],[Kurse indiv.]])</f>
        <v>9794.64</v>
      </c>
      <c r="C200" s="17" vm="197">
        <v>9794.64</v>
      </c>
      <c r="D200" s="17">
        <f t="shared" si="3"/>
        <v>189.76284000000001</v>
      </c>
    </row>
    <row r="201" spans="1:4" x14ac:dyDescent="0.45">
      <c r="A201" s="15">
        <v>42491</v>
      </c>
      <c r="B201" s="17" vm="198">
        <f>IF(Kurse="konstant",tbl_Kurse[[#This Row],[Kurse konst.]],tbl_Kurse[[#This Row],[Kurse indiv.]])</f>
        <v>10123.27</v>
      </c>
      <c r="C201" s="17" vm="198">
        <v>10123.27</v>
      </c>
      <c r="D201" s="17">
        <f t="shared" si="3"/>
        <v>190.38407000000001</v>
      </c>
    </row>
    <row r="202" spans="1:4" x14ac:dyDescent="0.45">
      <c r="A202" s="15">
        <v>42522</v>
      </c>
      <c r="B202" s="17" vm="199">
        <f>IF(Kurse="konstant",tbl_Kurse[[#This Row],[Kurse konst.]],tbl_Kurse[[#This Row],[Kurse indiv.]])</f>
        <v>10204.44</v>
      </c>
      <c r="C202" s="17" vm="199">
        <v>10204.44</v>
      </c>
      <c r="D202" s="17">
        <f t="shared" si="3"/>
        <v>191.00734</v>
      </c>
    </row>
    <row r="203" spans="1:4" x14ac:dyDescent="0.45">
      <c r="A203" s="15">
        <v>42552</v>
      </c>
      <c r="B203" s="17" vm="200">
        <f>IF(Kurse="konstant",tbl_Kurse[[#This Row],[Kurse konst.]],tbl_Kurse[[#This Row],[Kurse indiv.]])</f>
        <v>9776.1200000000008</v>
      </c>
      <c r="C203" s="17" vm="200">
        <v>9776.1200000000008</v>
      </c>
      <c r="D203" s="17">
        <f t="shared" si="3"/>
        <v>191.63265000000001</v>
      </c>
    </row>
    <row r="204" spans="1:4" x14ac:dyDescent="0.45">
      <c r="A204" s="15">
        <v>42583</v>
      </c>
      <c r="B204" s="17" vm="201">
        <f>IF(Kurse="konstant",tbl_Kurse[[#This Row],[Kurse konst.]],tbl_Kurse[[#This Row],[Kurse indiv.]])</f>
        <v>10330.52</v>
      </c>
      <c r="C204" s="17" vm="201">
        <v>10330.52</v>
      </c>
      <c r="D204" s="17">
        <f t="shared" si="3"/>
        <v>192.26000999999999</v>
      </c>
    </row>
    <row r="205" spans="1:4" x14ac:dyDescent="0.45">
      <c r="A205" s="15">
        <v>42614</v>
      </c>
      <c r="B205" s="17" vm="202">
        <f>IF(Kurse="konstant",tbl_Kurse[[#This Row],[Kurse konst.]],tbl_Kurse[[#This Row],[Kurse indiv.]])</f>
        <v>10534.31</v>
      </c>
      <c r="C205" s="17" vm="202">
        <v>10534.31</v>
      </c>
      <c r="D205" s="17">
        <f t="shared" si="3"/>
        <v>192.88942</v>
      </c>
    </row>
    <row r="206" spans="1:4" x14ac:dyDescent="0.45">
      <c r="A206" s="15">
        <v>42644</v>
      </c>
      <c r="B206" s="17" vm="203">
        <f>IF(Kurse="konstant",tbl_Kurse[[#This Row],[Kurse konst.]],tbl_Kurse[[#This Row],[Kurse indiv.]])</f>
        <v>10619.61</v>
      </c>
      <c r="C206" s="17" vm="203">
        <v>10619.61</v>
      </c>
      <c r="D206" s="17">
        <f t="shared" si="3"/>
        <v>193.52089000000001</v>
      </c>
    </row>
    <row r="207" spans="1:4" x14ac:dyDescent="0.45">
      <c r="A207" s="15">
        <v>42675</v>
      </c>
      <c r="B207" s="17" vm="204">
        <f>IF(Kurse="konstant",tbl_Kurse[[#This Row],[Kurse konst.]],tbl_Kurse[[#This Row],[Kurse indiv.]])</f>
        <v>10526.16</v>
      </c>
      <c r="C207" s="17" vm="204">
        <v>10526.16</v>
      </c>
      <c r="D207" s="17">
        <f t="shared" si="3"/>
        <v>194.15442999999999</v>
      </c>
    </row>
    <row r="208" spans="1:4" x14ac:dyDescent="0.45">
      <c r="A208" s="15">
        <v>42705</v>
      </c>
      <c r="B208" s="17" vm="205">
        <f>IF(Kurse="konstant",tbl_Kurse[[#This Row],[Kurse konst.]],tbl_Kurse[[#This Row],[Kurse indiv.]])</f>
        <v>10534.05</v>
      </c>
      <c r="C208" s="17" vm="205">
        <v>10534.05</v>
      </c>
      <c r="D208" s="17">
        <f t="shared" si="3"/>
        <v>194.79004</v>
      </c>
    </row>
    <row r="209" spans="1:4" x14ac:dyDescent="0.45">
      <c r="A209" s="15">
        <v>42736</v>
      </c>
      <c r="B209" s="17" vm="206">
        <f>IF(Kurse="konstant",tbl_Kurse[[#This Row],[Kurse konst.]],tbl_Kurse[[#This Row],[Kurse indiv.]])</f>
        <v>11598.33</v>
      </c>
      <c r="C209" s="17" vm="206">
        <v>11598.33</v>
      </c>
      <c r="D209" s="17">
        <f t="shared" si="3"/>
        <v>195.42773</v>
      </c>
    </row>
    <row r="210" spans="1:4" x14ac:dyDescent="0.45">
      <c r="A210" s="15">
        <v>42767</v>
      </c>
      <c r="B210" s="17" vm="207">
        <f>IF(Kurse="konstant",tbl_Kurse[[#This Row],[Kurse konst.]],tbl_Kurse[[#This Row],[Kurse indiv.]])</f>
        <v>11659.5</v>
      </c>
      <c r="C210" s="17" vm="207">
        <v>11659.5</v>
      </c>
      <c r="D210" s="17">
        <f t="shared" si="3"/>
        <v>196.06751</v>
      </c>
    </row>
    <row r="211" spans="1:4" x14ac:dyDescent="0.45">
      <c r="A211" s="15">
        <v>42795</v>
      </c>
      <c r="B211" s="17" vm="208">
        <f>IF(Kurse="konstant",tbl_Kurse[[#This Row],[Kurse konst.]],tbl_Kurse[[#This Row],[Kurse indiv.]])</f>
        <v>12067.19</v>
      </c>
      <c r="C211" s="17" vm="208">
        <v>12067.19</v>
      </c>
      <c r="D211" s="17">
        <f t="shared" si="3"/>
        <v>196.70938000000001</v>
      </c>
    </row>
    <row r="212" spans="1:4" x14ac:dyDescent="0.45">
      <c r="A212" s="15">
        <v>42826</v>
      </c>
      <c r="B212" s="17" vm="209">
        <f>IF(Kurse="konstant",tbl_Kurse[[#This Row],[Kurse konst.]],tbl_Kurse[[#This Row],[Kurse indiv.]])</f>
        <v>12257.2</v>
      </c>
      <c r="C212" s="17" vm="209">
        <v>12257.2</v>
      </c>
      <c r="D212" s="17">
        <f t="shared" si="3"/>
        <v>197.35336000000001</v>
      </c>
    </row>
    <row r="213" spans="1:4" x14ac:dyDescent="0.45">
      <c r="A213" s="15">
        <v>42856</v>
      </c>
      <c r="B213" s="17" vm="210">
        <f>IF(Kurse="konstant",tbl_Kurse[[#This Row],[Kurse konst.]],tbl_Kurse[[#This Row],[Kurse indiv.]])</f>
        <v>12507.9</v>
      </c>
      <c r="C213" s="17" vm="210">
        <v>12507.9</v>
      </c>
      <c r="D213" s="17">
        <f t="shared" si="3"/>
        <v>197.99943999999999</v>
      </c>
    </row>
    <row r="214" spans="1:4" x14ac:dyDescent="0.45">
      <c r="A214" s="15">
        <v>42887</v>
      </c>
      <c r="B214" s="17" vm="211">
        <f>IF(Kurse="konstant",tbl_Kurse[[#This Row],[Kurse konst.]],tbl_Kurse[[#This Row],[Kurse indiv.]])</f>
        <v>12664.92</v>
      </c>
      <c r="C214" s="17" vm="211">
        <v>12664.92</v>
      </c>
      <c r="D214" s="17">
        <f t="shared" si="3"/>
        <v>198.64764</v>
      </c>
    </row>
    <row r="215" spans="1:4" x14ac:dyDescent="0.45">
      <c r="A215" s="15">
        <v>42917</v>
      </c>
      <c r="B215" s="17" vm="212">
        <f>IF(Kurse="konstant",tbl_Kurse[[#This Row],[Kurse konst.]],tbl_Kurse[[#This Row],[Kurse indiv.]])</f>
        <v>12475.31</v>
      </c>
      <c r="C215" s="17" vm="212">
        <v>12475.31</v>
      </c>
      <c r="D215" s="17">
        <f t="shared" si="3"/>
        <v>199.29795999999999</v>
      </c>
    </row>
    <row r="216" spans="1:4" x14ac:dyDescent="0.45">
      <c r="A216" s="15">
        <v>42948</v>
      </c>
      <c r="B216" s="17" vm="213">
        <f>IF(Kurse="konstant",tbl_Kurse[[#This Row],[Kurse konst.]],tbl_Kurse[[#This Row],[Kurse indiv.]])</f>
        <v>12251.29</v>
      </c>
      <c r="C216" s="17" vm="213">
        <v>12251.29</v>
      </c>
      <c r="D216" s="17">
        <f t="shared" si="3"/>
        <v>199.95041000000001</v>
      </c>
    </row>
    <row r="217" spans="1:4" x14ac:dyDescent="0.45">
      <c r="A217" s="15">
        <v>42979</v>
      </c>
      <c r="B217" s="17" vm="214">
        <f>IF(Kurse="konstant",tbl_Kurse[[#This Row],[Kurse konst.]],tbl_Kurse[[#This Row],[Kurse indiv.]])</f>
        <v>12142.64</v>
      </c>
      <c r="C217" s="17" vm="214">
        <v>12142.64</v>
      </c>
      <c r="D217" s="17">
        <f t="shared" si="3"/>
        <v>200.60499999999999</v>
      </c>
    </row>
    <row r="218" spans="1:4" x14ac:dyDescent="0.45">
      <c r="A218" s="15">
        <v>43009</v>
      </c>
      <c r="B218" s="17" vm="215">
        <f>IF(Kurse="konstant",tbl_Kurse[[#This Row],[Kurse konst.]],tbl_Kurse[[#This Row],[Kurse indiv.]])</f>
        <v>12902.65</v>
      </c>
      <c r="C218" s="17" vm="215">
        <v>12902.65</v>
      </c>
      <c r="D218" s="17">
        <f t="shared" si="3"/>
        <v>201.26173</v>
      </c>
    </row>
    <row r="219" spans="1:4" x14ac:dyDescent="0.45">
      <c r="A219" s="15">
        <v>43040</v>
      </c>
      <c r="B219" s="17" vm="216">
        <f>IF(Kurse="konstant",tbl_Kurse[[#This Row],[Kurse konst.]],tbl_Kurse[[#This Row],[Kurse indiv.]])</f>
        <v>13465.51</v>
      </c>
      <c r="C219" s="17" vm="216">
        <v>13465.51</v>
      </c>
      <c r="D219" s="17">
        <f t="shared" si="3"/>
        <v>201.92061000000001</v>
      </c>
    </row>
    <row r="220" spans="1:4" x14ac:dyDescent="0.45">
      <c r="A220" s="15">
        <v>43070</v>
      </c>
      <c r="B220" s="17" vm="217">
        <f>IF(Kurse="konstant",tbl_Kurse[[#This Row],[Kurse konst.]],tbl_Kurse[[#This Row],[Kurse indiv.]])</f>
        <v>12861.49</v>
      </c>
      <c r="C220" s="17" vm="217">
        <v>12861.49</v>
      </c>
      <c r="D220" s="17">
        <f t="shared" si="3"/>
        <v>202.58165</v>
      </c>
    </row>
    <row r="221" spans="1:4" x14ac:dyDescent="0.45">
      <c r="A221" s="15">
        <v>43101</v>
      </c>
      <c r="B221" s="17" vm="218">
        <f>IF(Kurse="konstant",tbl_Kurse[[#This Row],[Kurse konst.]],tbl_Kurse[[#This Row],[Kurse indiv.]])</f>
        <v>12871.39</v>
      </c>
      <c r="C221" s="17" vm="218">
        <v>12871.39</v>
      </c>
      <c r="D221" s="17">
        <f t="shared" si="3"/>
        <v>203.24485000000001</v>
      </c>
    </row>
    <row r="222" spans="1:4" x14ac:dyDescent="0.45">
      <c r="A222" s="15">
        <v>43132</v>
      </c>
      <c r="B222" s="17" vm="219">
        <f>IF(Kurse="konstant",tbl_Kurse[[#This Row],[Kurse konst.]],tbl_Kurse[[#This Row],[Kurse indiv.]])</f>
        <v>13003.9</v>
      </c>
      <c r="C222" s="17" vm="219">
        <v>13003.9</v>
      </c>
      <c r="D222" s="17">
        <f t="shared" si="3"/>
        <v>203.91022000000001</v>
      </c>
    </row>
    <row r="223" spans="1:4" x14ac:dyDescent="0.45">
      <c r="A223" s="15">
        <v>43160</v>
      </c>
      <c r="B223" s="17" vm="220">
        <f>IF(Kurse="konstant",tbl_Kurse[[#This Row],[Kurse konst.]],tbl_Kurse[[#This Row],[Kurse indiv.]])</f>
        <v>12190.94</v>
      </c>
      <c r="C223" s="17" vm="220">
        <v>12190.94</v>
      </c>
      <c r="D223" s="17">
        <f t="shared" si="3"/>
        <v>204.57776999999999</v>
      </c>
    </row>
    <row r="224" spans="1:4" x14ac:dyDescent="0.45">
      <c r="A224" s="15">
        <v>43191</v>
      </c>
      <c r="B224" s="17" vm="221">
        <f>IF(Kurse="konstant",tbl_Kurse[[#This Row],[Kurse konst.]],tbl_Kurse[[#This Row],[Kurse indiv.]])</f>
        <v>12002.45</v>
      </c>
      <c r="C224" s="17" vm="221">
        <v>12002.45</v>
      </c>
      <c r="D224" s="17">
        <f t="shared" si="3"/>
        <v>205.2475</v>
      </c>
    </row>
    <row r="225" spans="1:4" x14ac:dyDescent="0.45">
      <c r="A225" s="15">
        <v>43221</v>
      </c>
      <c r="B225" s="17" vm="222">
        <f>IF(Kurse="konstant",tbl_Kurse[[#This Row],[Kurse konst.]],tbl_Kurse[[#This Row],[Kurse indiv.]])</f>
        <v>12802.25</v>
      </c>
      <c r="C225" s="17" vm="222">
        <v>12802.25</v>
      </c>
      <c r="D225" s="17">
        <f t="shared" si="3"/>
        <v>205.91943000000001</v>
      </c>
    </row>
    <row r="226" spans="1:4" x14ac:dyDescent="0.45">
      <c r="A226" s="15">
        <v>43252</v>
      </c>
      <c r="B226" s="17" vm="223">
        <f>IF(Kurse="konstant",tbl_Kurse[[#This Row],[Kurse konst.]],tbl_Kurse[[#This Row],[Kurse indiv.]])</f>
        <v>12724.27</v>
      </c>
      <c r="C226" s="17" vm="223">
        <v>12724.27</v>
      </c>
      <c r="D226" s="17">
        <f t="shared" si="3"/>
        <v>206.59356</v>
      </c>
    </row>
    <row r="227" spans="1:4" x14ac:dyDescent="0.45">
      <c r="A227" s="15">
        <v>43282</v>
      </c>
      <c r="B227" s="17" vm="224">
        <f>IF(Kurse="konstant",tbl_Kurse[[#This Row],[Kurse konst.]],tbl_Kurse[[#This Row],[Kurse indiv.]])</f>
        <v>12238.17</v>
      </c>
      <c r="C227" s="17" vm="224">
        <v>12238.17</v>
      </c>
      <c r="D227" s="17">
        <f t="shared" si="3"/>
        <v>207.26989</v>
      </c>
    </row>
    <row r="228" spans="1:4" x14ac:dyDescent="0.45">
      <c r="A228" s="15">
        <v>43313</v>
      </c>
      <c r="B228" s="17" vm="225">
        <f>IF(Kurse="konstant",tbl_Kurse[[#This Row],[Kurse konst.]],tbl_Kurse[[#This Row],[Kurse indiv.]])</f>
        <v>12737.05</v>
      </c>
      <c r="C228" s="17" vm="225">
        <v>12737.05</v>
      </c>
      <c r="D228" s="17">
        <f t="shared" si="3"/>
        <v>207.94844000000001</v>
      </c>
    </row>
    <row r="229" spans="1:4" x14ac:dyDescent="0.45">
      <c r="A229" s="15">
        <v>43344</v>
      </c>
      <c r="B229" s="17" vm="226">
        <f>IF(Kurse="konstant",tbl_Kurse[[#This Row],[Kurse konst.]],tbl_Kurse[[#This Row],[Kurse indiv.]])</f>
        <v>12346.41</v>
      </c>
      <c r="C229" s="17" vm="226">
        <v>12346.41</v>
      </c>
      <c r="D229" s="17">
        <f t="shared" si="3"/>
        <v>208.62921</v>
      </c>
    </row>
    <row r="230" spans="1:4" x14ac:dyDescent="0.45">
      <c r="A230" s="15">
        <v>43374</v>
      </c>
      <c r="B230" s="17" vm="227">
        <f>IF(Kurse="konstant",tbl_Kurse[[#This Row],[Kurse konst.]],tbl_Kurse[[#This Row],[Kurse indiv.]])</f>
        <v>12339.03</v>
      </c>
      <c r="C230" s="17" vm="227">
        <v>12339.03</v>
      </c>
      <c r="D230" s="17">
        <f t="shared" si="3"/>
        <v>209.31220999999999</v>
      </c>
    </row>
    <row r="231" spans="1:4" x14ac:dyDescent="0.45">
      <c r="A231" s="15">
        <v>43405</v>
      </c>
      <c r="B231" s="17" vm="228">
        <f>IF(Kurse="konstant",tbl_Kurse[[#This Row],[Kurse konst.]],tbl_Kurse[[#This Row],[Kurse indiv.]])</f>
        <v>11468.54</v>
      </c>
      <c r="C231" s="17" vm="228">
        <v>11468.54</v>
      </c>
      <c r="D231" s="17">
        <f t="shared" si="3"/>
        <v>209.99744000000001</v>
      </c>
    </row>
    <row r="232" spans="1:4" x14ac:dyDescent="0.45">
      <c r="A232" s="15">
        <v>43435</v>
      </c>
      <c r="B232" s="17" vm="229">
        <f>IF(Kurse="konstant",tbl_Kurse[[#This Row],[Kurse konst.]],tbl_Kurse[[#This Row],[Kurse indiv.]])</f>
        <v>11465.46</v>
      </c>
      <c r="C232" s="17" vm="229">
        <v>11465.46</v>
      </c>
      <c r="D232" s="17">
        <f t="shared" si="3"/>
        <v>210.68492000000001</v>
      </c>
    </row>
    <row r="233" spans="1:4" x14ac:dyDescent="0.45">
      <c r="A233" s="15">
        <v>43466</v>
      </c>
      <c r="B233" s="17" vm="230">
        <f>IF(Kurse="konstant",tbl_Kurse[[#This Row],[Kurse konst.]],tbl_Kurse[[#This Row],[Kurse indiv.]])</f>
        <v>10580.19</v>
      </c>
      <c r="C233" s="17" vm="230">
        <v>10580.19</v>
      </c>
      <c r="D233" s="17">
        <f t="shared" si="3"/>
        <v>211.37465</v>
      </c>
    </row>
    <row r="234" spans="1:4" x14ac:dyDescent="0.45">
      <c r="A234" s="15">
        <v>43497</v>
      </c>
      <c r="B234" s="17" vm="231">
        <f>IF(Kurse="konstant",tbl_Kurse[[#This Row],[Kurse konst.]],tbl_Kurse[[#This Row],[Kurse indiv.]])</f>
        <v>11180.66</v>
      </c>
      <c r="C234" s="17" vm="231">
        <v>11180.66</v>
      </c>
      <c r="D234" s="17">
        <f t="shared" si="3"/>
        <v>212.06664000000001</v>
      </c>
    </row>
    <row r="235" spans="1:4" x14ac:dyDescent="0.45">
      <c r="A235" s="15">
        <v>43525</v>
      </c>
      <c r="B235" s="17" vm="232">
        <f>IF(Kurse="konstant",tbl_Kurse[[#This Row],[Kurse konst.]],tbl_Kurse[[#This Row],[Kurse indiv.]])</f>
        <v>11601.68</v>
      </c>
      <c r="C235" s="17" vm="232">
        <v>11601.68</v>
      </c>
      <c r="D235" s="17">
        <f t="shared" si="3"/>
        <v>212.76088999999999</v>
      </c>
    </row>
    <row r="236" spans="1:4" x14ac:dyDescent="0.45">
      <c r="A236" s="15">
        <v>43556</v>
      </c>
      <c r="B236" s="17" vm="233">
        <f>IF(Kurse="konstant",tbl_Kurse[[#This Row],[Kurse konst.]],tbl_Kurse[[#This Row],[Kurse indiv.]])</f>
        <v>11681.99</v>
      </c>
      <c r="C236" s="17" vm="233">
        <v>11681.99</v>
      </c>
      <c r="D236" s="17">
        <f t="shared" si="3"/>
        <v>213.45741000000001</v>
      </c>
    </row>
    <row r="237" spans="1:4" x14ac:dyDescent="0.45">
      <c r="A237" s="15">
        <v>43586</v>
      </c>
      <c r="B237" s="17" vm="234">
        <f>IF(Kurse="konstant",tbl_Kurse[[#This Row],[Kurse konst.]],tbl_Kurse[[#This Row],[Kurse indiv.]])</f>
        <v>12345.42</v>
      </c>
      <c r="C237" s="17" vm="234">
        <v>12345.42</v>
      </c>
      <c r="D237" s="17">
        <f t="shared" si="3"/>
        <v>214.15620999999999</v>
      </c>
    </row>
    <row r="238" spans="1:4" x14ac:dyDescent="0.45">
      <c r="A238" s="15">
        <v>43617</v>
      </c>
      <c r="B238" s="17" vm="235">
        <f>IF(Kurse="konstant",tbl_Kurse[[#This Row],[Kurse konst.]],tbl_Kurse[[#This Row],[Kurse indiv.]])</f>
        <v>11792.81</v>
      </c>
      <c r="C238" s="17" vm="235">
        <v>11792.81</v>
      </c>
      <c r="D238" s="17">
        <f t="shared" si="3"/>
        <v>214.85730000000001</v>
      </c>
    </row>
    <row r="239" spans="1:4" x14ac:dyDescent="0.45">
      <c r="A239" s="15">
        <v>43647</v>
      </c>
      <c r="B239" s="17" vm="236">
        <f>IF(Kurse="konstant",tbl_Kurse[[#This Row],[Kurse konst.]],tbl_Kurse[[#This Row],[Kurse indiv.]])</f>
        <v>12521.38</v>
      </c>
      <c r="C239" s="17" vm="236">
        <v>12521.38</v>
      </c>
      <c r="D239" s="17">
        <f t="shared" si="3"/>
        <v>215.56068999999999</v>
      </c>
    </row>
    <row r="240" spans="1:4" x14ac:dyDescent="0.45">
      <c r="A240" s="15">
        <v>43678</v>
      </c>
      <c r="B240" s="17" vm="237">
        <f>IF(Kurse="konstant",tbl_Kurse[[#This Row],[Kurse konst.]],tbl_Kurse[[#This Row],[Kurse indiv.]])</f>
        <v>12253.15</v>
      </c>
      <c r="C240" s="17" vm="237">
        <v>12253.15</v>
      </c>
      <c r="D240" s="17">
        <f t="shared" si="3"/>
        <v>216.26638</v>
      </c>
    </row>
    <row r="241" spans="1:4" x14ac:dyDescent="0.45">
      <c r="A241" s="15">
        <v>43709</v>
      </c>
      <c r="B241" s="17" vm="238">
        <f>IF(Kurse="konstant",tbl_Kurse[[#This Row],[Kurse konst.]],tbl_Kurse[[#This Row],[Kurse indiv.]])</f>
        <v>11953.78</v>
      </c>
      <c r="C241" s="17" vm="238">
        <v>11953.78</v>
      </c>
      <c r="D241" s="17">
        <f t="shared" si="3"/>
        <v>216.97438</v>
      </c>
    </row>
    <row r="242" spans="1:4" x14ac:dyDescent="0.45">
      <c r="A242" s="15">
        <v>43739</v>
      </c>
      <c r="B242" s="17" vm="239">
        <f>IF(Kurse="konstant",tbl_Kurse[[#This Row],[Kurse konst.]],tbl_Kurse[[#This Row],[Kurse indiv.]])</f>
        <v>12263.83</v>
      </c>
      <c r="C242" s="17" vm="239">
        <v>12263.83</v>
      </c>
      <c r="D242" s="17">
        <f t="shared" si="3"/>
        <v>217.68469999999999</v>
      </c>
    </row>
    <row r="243" spans="1:4" x14ac:dyDescent="0.45">
      <c r="A243" s="15">
        <v>43770</v>
      </c>
      <c r="B243" s="17" vm="240">
        <f>IF(Kurse="konstant",tbl_Kurse[[#This Row],[Kurse konst.]],tbl_Kurse[[#This Row],[Kurse indiv.]])</f>
        <v>12961.05</v>
      </c>
      <c r="C243" s="17" vm="240">
        <v>12961.05</v>
      </c>
      <c r="D243" s="17">
        <f t="shared" si="3"/>
        <v>218.39734000000001</v>
      </c>
    </row>
    <row r="244" spans="1:4" x14ac:dyDescent="0.45">
      <c r="A244" s="15">
        <v>43800</v>
      </c>
      <c r="B244" s="17" vm="241">
        <f>IF(Kurse="konstant",tbl_Kurse[[#This Row],[Kurse konst.]],tbl_Kurse[[#This Row],[Kurse indiv.]])</f>
        <v>12964.68</v>
      </c>
      <c r="C244" s="17" vm="241">
        <v>12964.68</v>
      </c>
      <c r="D244" s="17">
        <f t="shared" si="3"/>
        <v>219.11232000000001</v>
      </c>
    </row>
    <row r="245" spans="1:4" x14ac:dyDescent="0.45">
      <c r="A245" s="15">
        <v>43831</v>
      </c>
      <c r="B245" s="17" vm="242">
        <f>IF(Kurse="konstant",tbl_Kurse[[#This Row],[Kurse konst.]],tbl_Kurse[[#This Row],[Kurse indiv.]])</f>
        <v>13385.93</v>
      </c>
      <c r="C245" s="17" vm="242">
        <v>13385.93</v>
      </c>
      <c r="D245" s="17">
        <f t="shared" si="3"/>
        <v>219.82964000000001</v>
      </c>
    </row>
    <row r="246" spans="1:4" x14ac:dyDescent="0.45">
      <c r="A246" s="15">
        <v>43862</v>
      </c>
      <c r="B246" s="17" vm="243">
        <f>IF(Kurse="konstant",tbl_Kurse[[#This Row],[Kurse konst.]],tbl_Kurse[[#This Row],[Kurse indiv.]])</f>
        <v>13045.19</v>
      </c>
      <c r="C246" s="17" vm="243">
        <v>13045.19</v>
      </c>
      <c r="D246" s="17">
        <f t="shared" si="3"/>
        <v>220.54930999999999</v>
      </c>
    </row>
    <row r="247" spans="1:4" x14ac:dyDescent="0.45">
      <c r="A247" s="15">
        <v>43891</v>
      </c>
      <c r="B247" s="17" vm="244">
        <f>IF(Kurse="konstant",tbl_Kurse[[#This Row],[Kurse konst.]],tbl_Kurse[[#This Row],[Kurse indiv.]])</f>
        <v>11857.87</v>
      </c>
      <c r="C247" s="17" vm="244">
        <v>11857.87</v>
      </c>
      <c r="D247" s="17">
        <f t="shared" si="3"/>
        <v>221.27133000000001</v>
      </c>
    </row>
    <row r="248" spans="1:4" x14ac:dyDescent="0.45">
      <c r="A248" s="15">
        <v>43922</v>
      </c>
      <c r="B248" s="17" vm="245">
        <f>IF(Kurse="konstant",tbl_Kurse[[#This Row],[Kurse konst.]],tbl_Kurse[[#This Row],[Kurse indiv.]])</f>
        <v>9544.75</v>
      </c>
      <c r="C248" s="17" vm="245">
        <v>9544.75</v>
      </c>
      <c r="D248" s="17">
        <f t="shared" si="3"/>
        <v>221.99571</v>
      </c>
    </row>
    <row r="249" spans="1:4" x14ac:dyDescent="0.45">
      <c r="A249" s="15">
        <v>43952</v>
      </c>
      <c r="B249" s="17" vm="246">
        <f>IF(Kurse="konstant",tbl_Kurse[[#This Row],[Kurse konst.]],tbl_Kurse[[#This Row],[Kurse indiv.]])</f>
        <v>10466.799999999999</v>
      </c>
      <c r="C249" s="17" vm="246">
        <v>10466.799999999999</v>
      </c>
      <c r="D249" s="17">
        <f t="shared" si="3"/>
        <v>222.72246999999999</v>
      </c>
    </row>
    <row r="250" spans="1:4" x14ac:dyDescent="0.45">
      <c r="A250" s="15">
        <v>43983</v>
      </c>
      <c r="B250" s="17" vm="247">
        <f>IF(Kurse="konstant",tbl_Kurse[[#This Row],[Kurse konst.]],tbl_Kurse[[#This Row],[Kurse indiv.]])</f>
        <v>12021.28</v>
      </c>
      <c r="C250" s="17" vm="247">
        <v>12021.28</v>
      </c>
      <c r="D250" s="17">
        <f t="shared" si="3"/>
        <v>223.45160999999999</v>
      </c>
    </row>
    <row r="251" spans="1:4" x14ac:dyDescent="0.45">
      <c r="A251" s="15">
        <v>44013</v>
      </c>
      <c r="B251" s="17" vm="248">
        <f>IF(Kurse="konstant",tbl_Kurse[[#This Row],[Kurse konst.]],tbl_Kurse[[#This Row],[Kurse indiv.]])</f>
        <v>12260.57</v>
      </c>
      <c r="C251" s="17" vm="248">
        <v>12260.57</v>
      </c>
      <c r="D251" s="17">
        <f t="shared" si="3"/>
        <v>224.18313000000001</v>
      </c>
    </row>
    <row r="252" spans="1:4" x14ac:dyDescent="0.45">
      <c r="A252" s="15">
        <v>44044</v>
      </c>
      <c r="B252" s="17" vm="249">
        <f>IF(Kurse="konstant",tbl_Kurse[[#This Row],[Kurse konst.]],tbl_Kurse[[#This Row],[Kurse indiv.]])</f>
        <v>12646.98</v>
      </c>
      <c r="C252" s="17" vm="249">
        <v>12646.98</v>
      </c>
      <c r="D252" s="17">
        <f t="shared" si="3"/>
        <v>224.91704999999999</v>
      </c>
    </row>
    <row r="253" spans="1:4" x14ac:dyDescent="0.45">
      <c r="A253" s="15">
        <v>44075</v>
      </c>
      <c r="B253" s="17" vm="250">
        <f>IF(Kurse="konstant",tbl_Kurse[[#This Row],[Kurse konst.]],tbl_Kurse[[#This Row],[Kurse indiv.]])</f>
        <v>12974.25</v>
      </c>
      <c r="C253" s="17" vm="250">
        <v>12974.25</v>
      </c>
      <c r="D253" s="17">
        <f t="shared" si="3"/>
        <v>225.65337</v>
      </c>
    </row>
    <row r="254" spans="1:4" x14ac:dyDescent="0.45">
      <c r="A254" s="15">
        <v>44105</v>
      </c>
      <c r="B254" s="17" vm="251">
        <f>IF(Kurse="konstant",tbl_Kurse[[#This Row],[Kurse konst.]],tbl_Kurse[[#This Row],[Kurse indiv.]])</f>
        <v>12730.77</v>
      </c>
      <c r="C254" s="17" vm="251">
        <v>12730.77</v>
      </c>
      <c r="D254" s="17">
        <f t="shared" si="3"/>
        <v>226.3921</v>
      </c>
    </row>
    <row r="255" spans="1:4" x14ac:dyDescent="0.45">
      <c r="A255" s="15">
        <v>44136</v>
      </c>
      <c r="B255" s="17" vm="252">
        <f>IF(Kurse="konstant",tbl_Kurse[[#This Row],[Kurse konst.]],tbl_Kurse[[#This Row],[Kurse indiv.]])</f>
        <v>11788.28</v>
      </c>
      <c r="C255" s="17" vm="252">
        <v>11788.28</v>
      </c>
      <c r="D255" s="17">
        <f t="shared" si="3"/>
        <v>227.13325</v>
      </c>
    </row>
    <row r="256" spans="1:4" x14ac:dyDescent="0.45">
      <c r="A256" s="15">
        <v>44166</v>
      </c>
      <c r="B256" s="17" vm="253">
        <f>IF(Kurse="konstant",tbl_Kurse[[#This Row],[Kurse konst.]],tbl_Kurse[[#This Row],[Kurse indiv.]])</f>
        <v>13382.3</v>
      </c>
      <c r="C256" s="17" vm="253">
        <v>13382.3</v>
      </c>
      <c r="D256" s="17">
        <f t="shared" si="3"/>
        <v>227.87683000000001</v>
      </c>
    </row>
    <row r="257" spans="1:4" x14ac:dyDescent="0.45">
      <c r="A257" s="15">
        <v>44197</v>
      </c>
      <c r="B257" s="17" vm="254">
        <f>IF(Kurse="konstant",tbl_Kurse[[#This Row],[Kurse konst.]],tbl_Kurse[[#This Row],[Kurse indiv.]])</f>
        <v>13726.74</v>
      </c>
      <c r="C257" s="17" vm="254">
        <v>13726.74</v>
      </c>
      <c r="D257" s="17">
        <f t="shared" si="3"/>
        <v>228.62284</v>
      </c>
    </row>
    <row r="258" spans="1:4" x14ac:dyDescent="0.45">
      <c r="A258" s="15">
        <v>44228</v>
      </c>
      <c r="B258" s="17" vm="255">
        <f>IF(Kurse="konstant",tbl_Kurse[[#This Row],[Kurse konst.]],tbl_Kurse[[#This Row],[Kurse indiv.]])</f>
        <v>13622.02</v>
      </c>
      <c r="C258" s="17" vm="255">
        <v>13622.02</v>
      </c>
      <c r="D258" s="17">
        <f t="shared" si="3"/>
        <v>229.37128999999999</v>
      </c>
    </row>
    <row r="259" spans="1:4" x14ac:dyDescent="0.45">
      <c r="A259" s="15">
        <v>44256</v>
      </c>
      <c r="B259" s="17" vm="256">
        <f>IF(Kurse="konstant",tbl_Kurse[[#This Row],[Kurse konst.]],tbl_Kurse[[#This Row],[Kurse indiv.]])</f>
        <v>14012.82</v>
      </c>
      <c r="C259" s="17" vm="256">
        <v>14012.82</v>
      </c>
      <c r="D259" s="17">
        <f t="shared" si="3"/>
        <v>230.12218999999999</v>
      </c>
    </row>
    <row r="260" spans="1:4" x14ac:dyDescent="0.45">
      <c r="A260" s="15">
        <v>44287</v>
      </c>
      <c r="B260" s="17" vm="257">
        <f>IF(Kurse="konstant",tbl_Kurse[[#This Row],[Kurse konst.]],tbl_Kurse[[#This Row],[Kurse indiv.]])</f>
        <v>15107.17</v>
      </c>
      <c r="C260" s="17" vm="257">
        <v>15107.17</v>
      </c>
      <c r="D260" s="17">
        <f t="shared" si="3"/>
        <v>230.87555</v>
      </c>
    </row>
    <row r="261" spans="1:4" x14ac:dyDescent="0.45">
      <c r="A261" s="15">
        <v>44317</v>
      </c>
      <c r="B261" s="17" vm="258">
        <f>IF(Kurse="konstant",tbl_Kurse[[#This Row],[Kurse konst.]],tbl_Kurse[[#This Row],[Kurse indiv.]])</f>
        <v>15236.47</v>
      </c>
      <c r="C261" s="17" vm="258">
        <v>15236.47</v>
      </c>
      <c r="D261" s="17">
        <f t="shared" si="3"/>
        <v>231.63138000000001</v>
      </c>
    </row>
    <row r="262" spans="1:4" x14ac:dyDescent="0.45">
      <c r="A262" s="15">
        <v>44348</v>
      </c>
      <c r="B262" s="17" vm="259">
        <f>IF(Kurse="konstant",tbl_Kurse[[#This Row],[Kurse konst.]],tbl_Kurse[[#This Row],[Kurse indiv.]])</f>
        <v>15567.36</v>
      </c>
      <c r="C262" s="17" vm="259">
        <v>15567.36</v>
      </c>
      <c r="D262" s="17">
        <f t="shared" ref="D262:D325" si="4">ROUND(D261*(1+Performance)^(1/12),5)</f>
        <v>232.38968</v>
      </c>
    </row>
    <row r="263" spans="1:4" x14ac:dyDescent="0.45">
      <c r="A263" s="15">
        <v>44378</v>
      </c>
      <c r="B263" s="17" vm="260">
        <f>IF(Kurse="konstant",tbl_Kurse[[#This Row],[Kurse konst.]],tbl_Kurse[[#This Row],[Kurse indiv.]])</f>
        <v>15603.81</v>
      </c>
      <c r="C263" s="17" vm="260">
        <v>15603.81</v>
      </c>
      <c r="D263" s="17">
        <f t="shared" si="4"/>
        <v>233.15046000000001</v>
      </c>
    </row>
    <row r="264" spans="1:4" x14ac:dyDescent="0.45">
      <c r="A264" s="15">
        <v>44409</v>
      </c>
      <c r="B264" s="17" vm="261">
        <f>IF(Kurse="konstant",tbl_Kurse[[#This Row],[Kurse konst.]],tbl_Kurse[[#This Row],[Kurse indiv.]])</f>
        <v>15568.73</v>
      </c>
      <c r="C264" s="17" vm="261">
        <v>15568.73</v>
      </c>
      <c r="D264" s="17">
        <f t="shared" si="4"/>
        <v>233.91372999999999</v>
      </c>
    </row>
    <row r="265" spans="1:4" x14ac:dyDescent="0.45">
      <c r="A265" s="15">
        <v>44440</v>
      </c>
      <c r="B265" s="17" vm="262">
        <f>IF(Kurse="konstant",tbl_Kurse[[#This Row],[Kurse konst.]],tbl_Kurse[[#This Row],[Kurse indiv.]])</f>
        <v>15824.29</v>
      </c>
      <c r="C265" s="17" vm="262">
        <v>15824.29</v>
      </c>
      <c r="D265" s="17">
        <f t="shared" si="4"/>
        <v>234.67949999999999</v>
      </c>
    </row>
    <row r="266" spans="1:4" x14ac:dyDescent="0.45">
      <c r="A266" s="15">
        <v>44470</v>
      </c>
      <c r="B266" s="17" vm="263">
        <f>IF(Kurse="konstant",tbl_Kurse[[#This Row],[Kurse konst.]],tbl_Kurse[[#This Row],[Kurse indiv.]])</f>
        <v>15156.44</v>
      </c>
      <c r="C266" s="17" vm="263">
        <v>15156.44</v>
      </c>
      <c r="D266" s="17">
        <f t="shared" si="4"/>
        <v>235.44777999999999</v>
      </c>
    </row>
    <row r="267" spans="1:4" x14ac:dyDescent="0.45">
      <c r="A267" s="15">
        <v>44501</v>
      </c>
      <c r="B267" s="17" vm="264">
        <f>IF(Kurse="konstant",tbl_Kurse[[#This Row],[Kurse konst.]],tbl_Kurse[[#This Row],[Kurse indiv.]])</f>
        <v>15806.29</v>
      </c>
      <c r="C267" s="17" vm="264">
        <v>15806.29</v>
      </c>
      <c r="D267" s="17">
        <f t="shared" si="4"/>
        <v>236.21857</v>
      </c>
    </row>
    <row r="268" spans="1:4" x14ac:dyDescent="0.45">
      <c r="A268" s="15">
        <v>44531</v>
      </c>
      <c r="B268" s="17" vm="265">
        <f>IF(Kurse="konstant",tbl_Kurse[[#This Row],[Kurse konst.]],tbl_Kurse[[#This Row],[Kurse indiv.]])</f>
        <v>15472.67</v>
      </c>
      <c r="C268" s="17" vm="265">
        <v>15472.67</v>
      </c>
      <c r="D268" s="17">
        <f t="shared" si="4"/>
        <v>236.99189000000001</v>
      </c>
    </row>
    <row r="269" spans="1:4" x14ac:dyDescent="0.45">
      <c r="A269" s="15">
        <v>44562</v>
      </c>
      <c r="B269" s="17" vm="266">
        <f>IF(Kurse="konstant",tbl_Kurse[[#This Row],[Kurse konst.]],tbl_Kurse[[#This Row],[Kurse indiv.]])</f>
        <v>16020.73</v>
      </c>
      <c r="C269" s="17" vm="266">
        <v>16020.73</v>
      </c>
      <c r="D269" s="17">
        <f t="shared" si="4"/>
        <v>237.76774</v>
      </c>
    </row>
    <row r="270" spans="1:4" x14ac:dyDescent="0.45">
      <c r="A270" s="15">
        <v>44593</v>
      </c>
      <c r="B270" s="17" vm="267">
        <f>IF(Kurse="konstant",tbl_Kurse[[#This Row],[Kurse konst.]],tbl_Kurse[[#This Row],[Kurse indiv.]])</f>
        <v>15619.39</v>
      </c>
      <c r="C270" s="17" vm="267">
        <v>15619.39</v>
      </c>
      <c r="D270" s="17">
        <f t="shared" si="4"/>
        <v>238.54613000000001</v>
      </c>
    </row>
    <row r="271" spans="1:4" x14ac:dyDescent="0.45">
      <c r="A271" s="15">
        <v>44621</v>
      </c>
      <c r="B271" s="17" vm="268">
        <f>IF(Kurse="konstant",tbl_Kurse[[#This Row],[Kurse konst.]],tbl_Kurse[[#This Row],[Kurse indiv.]])</f>
        <v>13904.85</v>
      </c>
      <c r="C271" s="17" vm="268">
        <v>13904.85</v>
      </c>
      <c r="D271" s="17">
        <f t="shared" si="4"/>
        <v>239.32706999999999</v>
      </c>
    </row>
    <row r="272" spans="1:4" x14ac:dyDescent="0.45">
      <c r="A272" s="15">
        <v>44652</v>
      </c>
      <c r="B272" s="17" vm="269">
        <f>IF(Kurse="konstant",tbl_Kurse[[#This Row],[Kurse konst.]],tbl_Kurse[[#This Row],[Kurse indiv.]])</f>
        <v>14446.48</v>
      </c>
      <c r="C272" s="17" vm="269">
        <v>14446.48</v>
      </c>
      <c r="D272" s="17">
        <f t="shared" si="4"/>
        <v>240.11055999999999</v>
      </c>
    </row>
    <row r="273" spans="1:4" x14ac:dyDescent="0.45">
      <c r="A273" s="15">
        <v>44682</v>
      </c>
      <c r="B273" s="17" vm="270">
        <f>IF(Kurse="konstant",tbl_Kurse[[#This Row],[Kurse konst.]],tbl_Kurse[[#This Row],[Kurse indiv.]])</f>
        <v>13939.07</v>
      </c>
      <c r="C273" s="17" vm="270">
        <v>13939.07</v>
      </c>
      <c r="D273" s="17">
        <f t="shared" si="4"/>
        <v>240.89662000000001</v>
      </c>
    </row>
    <row r="274" spans="1:4" x14ac:dyDescent="0.45">
      <c r="A274" s="15">
        <v>44713</v>
      </c>
      <c r="B274" s="17" vm="271">
        <f>IF(Kurse="konstant",tbl_Kurse[[#This Row],[Kurse konst.]],tbl_Kurse[[#This Row],[Kurse indiv.]])</f>
        <v>14340.47</v>
      </c>
      <c r="C274" s="17" vm="271">
        <v>14340.47</v>
      </c>
      <c r="D274" s="17">
        <f t="shared" si="4"/>
        <v>241.68525</v>
      </c>
    </row>
    <row r="275" spans="1:4" x14ac:dyDescent="0.45">
      <c r="A275" s="15">
        <v>44743</v>
      </c>
      <c r="B275" s="17" vm="272">
        <f>IF(Kurse="konstant",tbl_Kurse[[#This Row],[Kurse konst.]],tbl_Kurse[[#This Row],[Kurse indiv.]])</f>
        <v>12813.03</v>
      </c>
      <c r="C275" s="17" vm="272">
        <v>12813.03</v>
      </c>
      <c r="D275" s="17">
        <f t="shared" si="4"/>
        <v>242.47646</v>
      </c>
    </row>
    <row r="276" spans="1:4" x14ac:dyDescent="0.45">
      <c r="A276" s="15">
        <v>44774</v>
      </c>
      <c r="B276" s="17" vm="273">
        <f>IF(Kurse="konstant",tbl_Kurse[[#This Row],[Kurse konst.]],tbl_Kurse[[#This Row],[Kurse indiv.]])</f>
        <v>13479.63</v>
      </c>
      <c r="C276" s="17" vm="273">
        <v>13479.63</v>
      </c>
      <c r="D276" s="17">
        <f t="shared" si="4"/>
        <v>243.27026000000001</v>
      </c>
    </row>
    <row r="277" spans="1:4" x14ac:dyDescent="0.45">
      <c r="A277" s="15">
        <v>44805</v>
      </c>
      <c r="B277" s="17" vm="274">
        <f>IF(Kurse="konstant",tbl_Kurse[[#This Row],[Kurse konst.]],tbl_Kurse[[#This Row],[Kurse indiv.]])</f>
        <v>12630.23</v>
      </c>
      <c r="C277" s="17" vm="274">
        <v>12630.23</v>
      </c>
      <c r="D277" s="17">
        <f t="shared" si="4"/>
        <v>244.06666000000001</v>
      </c>
    </row>
    <row r="278" spans="1:4" x14ac:dyDescent="0.45">
      <c r="A278" s="15">
        <v>44835</v>
      </c>
      <c r="B278" s="17" vm="275">
        <f>IF(Kurse="konstant",tbl_Kurse[[#This Row],[Kurse konst.]],tbl_Kurse[[#This Row],[Kurse indiv.]])</f>
        <v>12209.48</v>
      </c>
      <c r="C278" s="17" vm="275">
        <v>12209.48</v>
      </c>
      <c r="D278" s="17">
        <f t="shared" si="4"/>
        <v>244.86566999999999</v>
      </c>
    </row>
    <row r="279" spans="1:4" x14ac:dyDescent="0.45">
      <c r="A279" s="15">
        <v>44866</v>
      </c>
      <c r="B279" s="17" vm="276">
        <f>IF(Kurse="konstant",tbl_Kurse[[#This Row],[Kurse konst.]],tbl_Kurse[[#This Row],[Kurse indiv.]])</f>
        <v>13338.74</v>
      </c>
      <c r="C279" s="17" vm="276">
        <v>13338.74</v>
      </c>
      <c r="D279" s="17">
        <f t="shared" si="4"/>
        <v>245.66730000000001</v>
      </c>
    </row>
    <row r="280" spans="1:4" x14ac:dyDescent="0.45">
      <c r="A280" s="15">
        <v>44896</v>
      </c>
      <c r="B280" s="17" vm="277">
        <f>IF(Kurse="konstant",tbl_Kurse[[#This Row],[Kurse konst.]],tbl_Kurse[[#This Row],[Kurse indiv.]])</f>
        <v>14490.3</v>
      </c>
      <c r="C280" s="17" vm="277">
        <v>14490.3</v>
      </c>
      <c r="D280" s="17">
        <f t="shared" si="4"/>
        <v>246.47155000000001</v>
      </c>
    </row>
    <row r="281" spans="1:4" x14ac:dyDescent="0.45">
      <c r="A281" s="15">
        <v>44927</v>
      </c>
      <c r="B281" s="17" vm="278">
        <f>IF(Kurse="konstant",tbl_Kurse[[#This Row],[Kurse konst.]],tbl_Kurse[[#This Row],[Kurse indiv.]])</f>
        <v>14069.26</v>
      </c>
      <c r="C281" s="17" vm="278">
        <v>14069.26</v>
      </c>
      <c r="D281" s="17">
        <f t="shared" si="4"/>
        <v>247.27842999999999</v>
      </c>
    </row>
    <row r="282" spans="1:4" x14ac:dyDescent="0.45">
      <c r="A282" s="15">
        <v>44958</v>
      </c>
      <c r="B282" s="17" vm="279">
        <f>IF(Kurse="konstant",tbl_Kurse[[#This Row],[Kurse konst.]],tbl_Kurse[[#This Row],[Kurse indiv.]])</f>
        <v>15180.74</v>
      </c>
      <c r="C282" s="17" vm="279">
        <v>15180.74</v>
      </c>
      <c r="D282" s="17">
        <f t="shared" si="4"/>
        <v>248.08796000000001</v>
      </c>
    </row>
    <row r="283" spans="1:4" x14ac:dyDescent="0.45">
      <c r="A283" s="15">
        <v>44986</v>
      </c>
      <c r="B283" s="17" vm="280">
        <f>IF(Kurse="konstant",tbl_Kurse[[#This Row],[Kurse konst.]],tbl_Kurse[[#This Row],[Kurse indiv.]])</f>
        <v>15305.02</v>
      </c>
      <c r="C283" s="17" vm="280">
        <v>15305.02</v>
      </c>
      <c r="D283" s="17">
        <f t="shared" si="4"/>
        <v>248.90013999999999</v>
      </c>
    </row>
    <row r="284" spans="1:4" x14ac:dyDescent="0.45">
      <c r="A284" s="15">
        <v>45017</v>
      </c>
      <c r="B284" s="17" vm="281">
        <f>IF(Kurse="konstant",tbl_Kurse[[#This Row],[Kurse konst.]],tbl_Kurse[[#This Row],[Kurse indiv.]])</f>
        <v>15580.92</v>
      </c>
      <c r="C284" s="17" vm="281">
        <v>15580.92</v>
      </c>
      <c r="D284" s="17">
        <f t="shared" si="4"/>
        <v>249.71496999999999</v>
      </c>
    </row>
    <row r="285" spans="1:4" x14ac:dyDescent="0.45">
      <c r="A285" s="15">
        <v>45047</v>
      </c>
      <c r="B285" s="17" vm="282">
        <f>IF(Kurse="konstant",tbl_Kurse[[#This Row],[Kurse konst.]],tbl_Kurse[[#This Row],[Kurse indiv.]])</f>
        <v>15726.94</v>
      </c>
      <c r="C285" s="17" vm="282">
        <v>15726.94</v>
      </c>
      <c r="D285" s="17">
        <f t="shared" si="4"/>
        <v>250.53246999999999</v>
      </c>
    </row>
    <row r="286" spans="1:4" x14ac:dyDescent="0.45">
      <c r="A286" s="15">
        <v>45078</v>
      </c>
      <c r="B286" s="17" vm="283">
        <f>IF(Kurse="konstant",tbl_Kurse[[#This Row],[Kurse konst.]],tbl_Kurse[[#This Row],[Kurse indiv.]])</f>
        <v>15853.66</v>
      </c>
      <c r="C286" s="17" vm="283">
        <v>15853.66</v>
      </c>
      <c r="D286" s="17">
        <f t="shared" si="4"/>
        <v>251.35265000000001</v>
      </c>
    </row>
    <row r="287" spans="1:4" x14ac:dyDescent="0.45">
      <c r="A287" s="15">
        <v>45108</v>
      </c>
      <c r="B287" s="17" vm="284">
        <f>IF(Kurse="konstant",tbl_Kurse[[#This Row],[Kurse konst.]],tbl_Kurse[[#This Row],[Kurse indiv.]])</f>
        <v>16081.04</v>
      </c>
      <c r="C287" s="17" vm="284">
        <v>16081.04</v>
      </c>
      <c r="D287" s="17">
        <f t="shared" si="4"/>
        <v>252.17551</v>
      </c>
    </row>
    <row r="288" spans="1:4" x14ac:dyDescent="0.45">
      <c r="A288" s="15">
        <v>45139</v>
      </c>
      <c r="B288" s="17" vm="285">
        <f>IF(Kurse="konstant",tbl_Kurse[[#This Row],[Kurse konst.]],tbl_Kurse[[#This Row],[Kurse indiv.]])</f>
        <v>16240.4</v>
      </c>
      <c r="C288" s="17" vm="285">
        <v>16240.4</v>
      </c>
      <c r="D288" s="17">
        <f t="shared" si="4"/>
        <v>253.00107</v>
      </c>
    </row>
    <row r="289" spans="1:4" x14ac:dyDescent="0.45">
      <c r="A289" s="15">
        <v>45170</v>
      </c>
      <c r="B289" s="17" vm="286">
        <f>IF(Kurse="konstant",tbl_Kurse[[#This Row],[Kurse konst.]],tbl_Kurse[[#This Row],[Kurse indiv.]])</f>
        <v>15840.34</v>
      </c>
      <c r="C289" s="17" vm="286">
        <v>15840.34</v>
      </c>
      <c r="D289" s="17">
        <f t="shared" si="4"/>
        <v>253.82933</v>
      </c>
    </row>
    <row r="290" spans="1:4" x14ac:dyDescent="0.45">
      <c r="A290" s="15">
        <v>45200</v>
      </c>
      <c r="B290" s="17" vm="287">
        <f>IF(Kurse="konstant",tbl_Kurse[[#This Row],[Kurse konst.]],tbl_Kurse[[#This Row],[Kurse indiv.]])</f>
        <v>15247.21</v>
      </c>
      <c r="C290" s="17" vm="287">
        <v>15247.21</v>
      </c>
      <c r="D290" s="17">
        <f t="shared" si="4"/>
        <v>254.66030000000001</v>
      </c>
    </row>
    <row r="291" spans="1:4" x14ac:dyDescent="0.45">
      <c r="A291" s="15">
        <v>45231</v>
      </c>
      <c r="B291" s="17" vm="288">
        <f>IF(Kurse="konstant",tbl_Kurse[[#This Row],[Kurse konst.]],tbl_Kurse[[#This Row],[Kurse indiv.]])</f>
        <v>14923.27</v>
      </c>
      <c r="C291" s="17" vm="288">
        <v>14923.27</v>
      </c>
      <c r="D291" s="17">
        <f t="shared" si="4"/>
        <v>255.49399</v>
      </c>
    </row>
    <row r="292" spans="1:4" x14ac:dyDescent="0.45">
      <c r="A292" s="15">
        <v>45261</v>
      </c>
      <c r="B292" s="17" vm="289">
        <f>IF(Kurse="konstant",tbl_Kurse[[#This Row],[Kurse konst.]],tbl_Kurse[[#This Row],[Kurse indiv.]])</f>
        <v>16397.52</v>
      </c>
      <c r="C292" s="17" vm="289">
        <v>16397.52</v>
      </c>
      <c r="D292" s="17">
        <f t="shared" si="4"/>
        <v>256.33040999999997</v>
      </c>
    </row>
    <row r="293" spans="1:4" x14ac:dyDescent="0.45">
      <c r="A293" s="15">
        <v>45292</v>
      </c>
      <c r="B293" s="17" vm="290">
        <f>IF(Kurse="konstant",tbl_Kurse[[#This Row],[Kurse konst.]],tbl_Kurse[[#This Row],[Kurse indiv.]])</f>
        <v>16769.36</v>
      </c>
      <c r="C293" s="17" vm="290">
        <v>16769.36</v>
      </c>
      <c r="D293" s="17">
        <f t="shared" si="4"/>
        <v>257.16957000000002</v>
      </c>
    </row>
    <row r="294" spans="1:4" x14ac:dyDescent="0.45">
      <c r="A294" s="15">
        <v>45323</v>
      </c>
      <c r="B294" s="17" vm="291">
        <f>IF(Kurse="konstant",tbl_Kurse[[#This Row],[Kurse konst.]],tbl_Kurse[[#This Row],[Kurse indiv.]])</f>
        <v>16859.04</v>
      </c>
      <c r="C294" s="17" vm="291">
        <v>16859.04</v>
      </c>
      <c r="D294" s="17">
        <f t="shared" si="4"/>
        <v>258.01148000000001</v>
      </c>
    </row>
    <row r="295" spans="1:4" x14ac:dyDescent="0.45">
      <c r="A295" s="15">
        <v>45352</v>
      </c>
      <c r="B295" s="17" vm="292">
        <f>IF(Kurse="konstant",tbl_Kurse[[#This Row],[Kurse konst.]],tbl_Kurse[[#This Row],[Kurse indiv.]])</f>
        <v>17735.07</v>
      </c>
      <c r="C295" s="17" vm="292">
        <v>17735.07</v>
      </c>
      <c r="D295" s="17">
        <f t="shared" si="4"/>
        <v>258.85613999999998</v>
      </c>
    </row>
    <row r="296" spans="1:4" x14ac:dyDescent="0.45">
      <c r="A296" s="15">
        <v>45383</v>
      </c>
      <c r="B296" s="17" vm="293">
        <f>IF(Kurse="konstant",tbl_Kurse[[#This Row],[Kurse konst.]],tbl_Kurse[[#This Row],[Kurse indiv.]])</f>
        <v>18283.13</v>
      </c>
      <c r="C296" s="17" vm="293">
        <v>18283.13</v>
      </c>
      <c r="D296" s="17">
        <f t="shared" si="4"/>
        <v>259.70357000000001</v>
      </c>
    </row>
    <row r="297" spans="1:4" x14ac:dyDescent="0.45">
      <c r="A297" s="15">
        <v>45413</v>
      </c>
      <c r="B297" s="17" vm="294">
        <f>IF(Kurse="konstant",tbl_Kurse[[#This Row],[Kurse konst.]],tbl_Kurse[[#This Row],[Kurse indiv.]])</f>
        <v>17896.5</v>
      </c>
      <c r="C297" s="17" vm="294">
        <v>17896.5</v>
      </c>
      <c r="D297" s="17">
        <f t="shared" si="4"/>
        <v>260.55376999999999</v>
      </c>
    </row>
    <row r="298" spans="1:4" x14ac:dyDescent="0.45">
      <c r="A298" s="15">
        <v>45444</v>
      </c>
      <c r="B298" s="17" vm="295">
        <f>IF(Kurse="konstant",tbl_Kurse[[#This Row],[Kurse konst.]],tbl_Kurse[[#This Row],[Kurse indiv.]])</f>
        <v>18608.16</v>
      </c>
      <c r="C298" s="17" vm="295">
        <v>18608.16</v>
      </c>
      <c r="D298" s="17">
        <f t="shared" si="4"/>
        <v>261.40676000000002</v>
      </c>
    </row>
    <row r="299" spans="1:4" x14ac:dyDescent="0.45">
      <c r="A299" s="15">
        <v>45474</v>
      </c>
      <c r="B299" s="17" vm="296">
        <f>IF(Kurse="konstant",tbl_Kurse[[#This Row],[Kurse konst.]],tbl_Kurse[[#This Row],[Kurse indiv.]])</f>
        <v>18290.66</v>
      </c>
      <c r="C299" s="17" vm="296">
        <v>18290.66</v>
      </c>
      <c r="D299" s="17">
        <f t="shared" si="4"/>
        <v>262.26254</v>
      </c>
    </row>
    <row r="300" spans="1:4" x14ac:dyDescent="0.45">
      <c r="A300" s="15">
        <v>45505</v>
      </c>
      <c r="B300" s="17" vm="297">
        <f>IF(Kurse="konstant",tbl_Kurse[[#This Row],[Kurse konst.]],tbl_Kurse[[#This Row],[Kurse indiv.]])</f>
        <v>18083.05</v>
      </c>
      <c r="C300" s="17" vm="297">
        <v>18083.05</v>
      </c>
      <c r="D300" s="17">
        <f t="shared" si="4"/>
        <v>263.12112000000002</v>
      </c>
    </row>
    <row r="301" spans="1:4" x14ac:dyDescent="0.45">
      <c r="A301" s="15">
        <v>45536</v>
      </c>
      <c r="B301" s="17" vm="298">
        <f>IF(Kurse="konstant",tbl_Kurse[[#This Row],[Kurse konst.]],tbl_Kurse[[#This Row],[Kurse indiv.]])</f>
        <v>18930.849999999999</v>
      </c>
      <c r="C301" s="17" vm="298">
        <v>18930.849999999999</v>
      </c>
      <c r="D301" s="17">
        <f t="shared" si="4"/>
        <v>263.98250999999999</v>
      </c>
    </row>
    <row r="302" spans="1:4" x14ac:dyDescent="0.45">
      <c r="A302" s="15">
        <v>45566</v>
      </c>
      <c r="B302" s="17" vm="299">
        <f>IF(Kurse="konstant",tbl_Kurse[[#This Row],[Kurse konst.]],tbl_Kurse[[#This Row],[Kurse indiv.]])</f>
        <v>19213.14</v>
      </c>
      <c r="C302" s="17" vm="299">
        <v>19213.14</v>
      </c>
      <c r="D302" s="17">
        <f t="shared" si="4"/>
        <v>264.84672</v>
      </c>
    </row>
    <row r="303" spans="1:4" x14ac:dyDescent="0.45">
      <c r="A303" s="15">
        <v>45597</v>
      </c>
      <c r="B303" s="17" vm="300">
        <f>IF(Kurse="konstant",tbl_Kurse[[#This Row],[Kurse konst.]],tbl_Kurse[[#This Row],[Kurse indiv.]])</f>
        <v>19254.97</v>
      </c>
      <c r="C303" s="17" vm="300">
        <v>19254.97</v>
      </c>
      <c r="D303" s="17">
        <f t="shared" si="4"/>
        <v>265.71375999999998</v>
      </c>
    </row>
    <row r="304" spans="1:4" x14ac:dyDescent="0.45">
      <c r="A304" s="15">
        <v>45627</v>
      </c>
      <c r="B304" s="17" vm="301">
        <f>IF(Kurse="konstant",tbl_Kurse[[#This Row],[Kurse konst.]],tbl_Kurse[[#This Row],[Kurse indiv.]])</f>
        <v>19933.62</v>
      </c>
      <c r="C304" s="17" vm="301">
        <v>19933.62</v>
      </c>
      <c r="D304" s="17">
        <f t="shared" si="4"/>
        <v>266.58364</v>
      </c>
    </row>
    <row r="305" spans="1:4" x14ac:dyDescent="0.45">
      <c r="A305" s="15">
        <v>45658</v>
      </c>
      <c r="B305" s="17" vm="302">
        <f>IF(Kurse="konstant",tbl_Kurse[[#This Row],[Kurse konst.]],tbl_Kurse[[#This Row],[Kurse indiv.]])</f>
        <v>20024.66</v>
      </c>
      <c r="C305" s="17" vm="302">
        <v>20024.66</v>
      </c>
      <c r="D305" s="17">
        <f t="shared" si="4"/>
        <v>267.45636999999999</v>
      </c>
    </row>
    <row r="306" spans="1:4" x14ac:dyDescent="0.45">
      <c r="A306" s="15">
        <v>45689</v>
      </c>
      <c r="B306" s="17" vm="303">
        <f>IF(Kurse="konstant",tbl_Kurse[[#This Row],[Kurse konst.]],tbl_Kurse[[#This Row],[Kurse indiv.]])</f>
        <v>21428.240000000002</v>
      </c>
      <c r="C306" s="17" vm="303">
        <v>21428.240000000002</v>
      </c>
      <c r="D306" s="17">
        <f t="shared" si="4"/>
        <v>268.33195000000001</v>
      </c>
    </row>
    <row r="307" spans="1:4" x14ac:dyDescent="0.45">
      <c r="A307" s="15">
        <v>45717</v>
      </c>
      <c r="B307" s="17" vm="304">
        <f>IF(Kurse="konstant",tbl_Kurse[[#This Row],[Kurse konst.]],tbl_Kurse[[#This Row],[Kurse indiv.]])</f>
        <v>23147.02</v>
      </c>
      <c r="C307" s="17" vm="304">
        <v>23147.02</v>
      </c>
      <c r="D307" s="17">
        <f t="shared" si="4"/>
        <v>269.21039999999999</v>
      </c>
    </row>
    <row r="308" spans="1:4" x14ac:dyDescent="0.45">
      <c r="A308" s="15">
        <v>45748</v>
      </c>
      <c r="B308" s="17" vm="305">
        <f>IF(Kurse="konstant",tbl_Kurse[[#This Row],[Kurse konst.]],tbl_Kurse[[#This Row],[Kurse indiv.]])</f>
        <v>22539.98</v>
      </c>
      <c r="C308" s="17" vm="305">
        <v>22539.98</v>
      </c>
      <c r="D308" s="17">
        <f t="shared" si="4"/>
        <v>270.09172000000001</v>
      </c>
    </row>
    <row r="309" spans="1:4" x14ac:dyDescent="0.45">
      <c r="A309" s="15">
        <v>45778</v>
      </c>
      <c r="B309" s="17" vm="306">
        <f>IF(Kurse="konstant",tbl_Kurse[[#This Row],[Kurse konst.]],tbl_Kurse[[#This Row],[Kurse indiv.]])</f>
        <v>23086.65</v>
      </c>
      <c r="C309" s="17" vm="306">
        <v>23086.65</v>
      </c>
      <c r="D309" s="17">
        <f t="shared" si="4"/>
        <v>270.97593000000001</v>
      </c>
    </row>
    <row r="310" spans="1:4" x14ac:dyDescent="0.45">
      <c r="A310" s="15">
        <v>45809</v>
      </c>
      <c r="B310" s="17" vm="307">
        <f>IF(Kurse="konstant",tbl_Kurse[[#This Row],[Kurse konst.]],tbl_Kurse[[#This Row],[Kurse indiv.]])</f>
        <v>23930.67</v>
      </c>
      <c r="C310" s="17" vm="307">
        <v>23930.67</v>
      </c>
      <c r="D310" s="17">
        <f t="shared" si="4"/>
        <v>271.86302999999998</v>
      </c>
    </row>
    <row r="311" spans="1:4" x14ac:dyDescent="0.45">
      <c r="A311" s="15">
        <v>45839</v>
      </c>
      <c r="B311" s="17" vm="308">
        <f>IF(Kurse="konstant",tbl_Kurse[[#This Row],[Kurse konst.]],tbl_Kurse[[#This Row],[Kurse indiv.]])</f>
        <v>23673.29</v>
      </c>
      <c r="C311" s="17" vm="308">
        <v>23673.29</v>
      </c>
      <c r="D311" s="17">
        <f t="shared" si="4"/>
        <v>272.75304</v>
      </c>
    </row>
    <row r="312" spans="1:4" x14ac:dyDescent="0.45">
      <c r="A312" s="15">
        <v>45870</v>
      </c>
      <c r="B312" s="17" vm="309">
        <f>IF(Kurse="konstant",tbl_Kurse[[#This Row],[Kurse konst.]],tbl_Kurse[[#This Row],[Kurse indiv.]])</f>
        <v>23425.97</v>
      </c>
      <c r="C312" s="17" vm="309">
        <v>23425.97</v>
      </c>
      <c r="D312" s="17">
        <f t="shared" si="4"/>
        <v>273.64596</v>
      </c>
    </row>
    <row r="313" spans="1:4" x14ac:dyDescent="0.45">
      <c r="A313" s="15">
        <v>45901</v>
      </c>
      <c r="B313" s="17" vm="310">
        <f>IF(Kurse="konstant",tbl_Kurse[[#This Row],[Kurse konst.]],tbl_Kurse[[#This Row],[Kurse indiv.]])</f>
        <v>24037.33</v>
      </c>
      <c r="C313" s="17" vm="310">
        <v>24037.33</v>
      </c>
      <c r="D313" s="17">
        <f t="shared" si="4"/>
        <v>274.54181</v>
      </c>
    </row>
    <row r="314" spans="1:4" x14ac:dyDescent="0.45">
      <c r="A314" s="15">
        <v>45931</v>
      </c>
      <c r="B314" s="17" vm="311">
        <f>IF(Kurse="konstant",tbl_Kurse[[#This Row],[Kurse konst.]],tbl_Kurse[[#This Row],[Kurse indiv.]])</f>
        <v>24113.62</v>
      </c>
      <c r="C314" s="17" vm="311">
        <v>24113.62</v>
      </c>
      <c r="D314" s="17">
        <f t="shared" si="4"/>
        <v>275.44058999999999</v>
      </c>
    </row>
    <row r="315" spans="1:4" x14ac:dyDescent="0.45">
      <c r="A315" s="15">
        <v>45962</v>
      </c>
      <c r="B315" s="17" vm="312">
        <f>IF(Kurse="konstant",tbl_Kurse[[#This Row],[Kurse konst.]],tbl_Kurse[[#This Row],[Kurse indiv.]])</f>
        <v>24132.41</v>
      </c>
      <c r="C315" s="17" vm="312">
        <v>24132.41</v>
      </c>
      <c r="D315" s="17">
        <f t="shared" si="4"/>
        <v>276.34231</v>
      </c>
    </row>
    <row r="316" spans="1:4" x14ac:dyDescent="0.45">
      <c r="A316" s="15">
        <v>45992</v>
      </c>
      <c r="B316" s="17" vm="313">
        <f>IF(Kurse="konstant",tbl_Kurse[[#This Row],[Kurse konst.]],tbl_Kurse[[#This Row],[Kurse indiv.]])</f>
        <v>23589.439999999999</v>
      </c>
      <c r="C316" s="17" vm="313">
        <v>23589.439999999999</v>
      </c>
      <c r="D316" s="17">
        <f t="shared" si="4"/>
        <v>277.24698000000001</v>
      </c>
    </row>
    <row r="317" spans="1:4" x14ac:dyDescent="0.45">
      <c r="A317" s="15">
        <v>46023</v>
      </c>
      <c r="B317" s="17" vm="314">
        <f>IF(Kurse="konstant",tbl_Kurse[[#This Row],[Kurse konst.]],tbl_Kurse[[#This Row],[Kurse indiv.]])</f>
        <v>24539.34</v>
      </c>
      <c r="C317" s="17" vm="314">
        <v>24539.34</v>
      </c>
      <c r="D317" s="17">
        <f t="shared" si="4"/>
        <v>278.15460999999999</v>
      </c>
    </row>
    <row r="318" spans="1:4" x14ac:dyDescent="0.45">
      <c r="A318" s="15">
        <v>46054</v>
      </c>
      <c r="B318" s="17" vm="315">
        <f>IF(Kurse="konstant",tbl_Kurse[[#This Row],[Kurse konst.]],tbl_Kurse[[#This Row],[Kurse indiv.]])</f>
        <v>24797.52</v>
      </c>
      <c r="C318" s="17" vm="315">
        <v>24797.52</v>
      </c>
      <c r="D318" s="17">
        <f t="shared" si="4"/>
        <v>279.06522000000001</v>
      </c>
    </row>
    <row r="319" spans="1:4" x14ac:dyDescent="0.45">
      <c r="A319" s="15">
        <v>46082</v>
      </c>
      <c r="B319" s="17" vm="316">
        <f>IF(Kurse="konstant",tbl_Kurse[[#This Row],[Kurse konst.]],tbl_Kurse[[#This Row],[Kurse indiv.]])</f>
        <v>24638</v>
      </c>
      <c r="C319" s="17" vm="316">
        <v>24638</v>
      </c>
      <c r="D319" s="17">
        <f t="shared" si="4"/>
        <v>279.97881000000001</v>
      </c>
    </row>
    <row r="320" spans="1:4" x14ac:dyDescent="0.45">
      <c r="A320" s="15">
        <v>46113</v>
      </c>
      <c r="B320" s="17" vm="317">
        <f>IF(Kurse="konstant",tbl_Kurse[[#This Row],[Kurse konst.]],tbl_Kurse[[#This Row],[Kurse indiv.]])</f>
        <v>23298.89</v>
      </c>
      <c r="C320" s="17" vm="317">
        <v>23298.89</v>
      </c>
      <c r="D320" s="17">
        <f t="shared" si="4"/>
        <v>280.89539000000002</v>
      </c>
    </row>
    <row r="321" spans="1:4" x14ac:dyDescent="0.45">
      <c r="A321" s="15">
        <v>46143</v>
      </c>
      <c r="B321" s="17" vm="318">
        <f>IF(Kurse="konstant",tbl_Kurse[[#This Row],[Kurse konst.]],tbl_Kurse[[#This Row],[Kurse indiv.]])</f>
        <v>23991.27</v>
      </c>
      <c r="C321" s="17" vm="318">
        <v>23991.27</v>
      </c>
      <c r="D321" s="17">
        <f t="shared" si="4"/>
        <v>281.81497000000002</v>
      </c>
    </row>
    <row r="322" spans="1:4" x14ac:dyDescent="0.45">
      <c r="A322" s="15">
        <v>46174</v>
      </c>
      <c r="B322" s="17">
        <f>IF(Kurse="konstant",tbl_Kurse[[#This Row],[Kurse konst.]],tbl_Kurse[[#This Row],[Kurse indiv.]])</f>
        <v>24034.34</v>
      </c>
      <c r="C322" s="17">
        <v>24034.34</v>
      </c>
      <c r="D322" s="17">
        <f t="shared" si="4"/>
        <v>282.73755999999997</v>
      </c>
    </row>
    <row r="323" spans="1:4" x14ac:dyDescent="0.45">
      <c r="A323" s="15">
        <v>46204</v>
      </c>
      <c r="B323" s="17">
        <f>IF(Kurse="konstant",tbl_Kurse[[#This Row],[Kurse konst.]],tbl_Kurse[[#This Row],[Kurse indiv.]])</f>
        <v>24195.96</v>
      </c>
      <c r="C323" s="17">
        <v>24195.96</v>
      </c>
      <c r="D323" s="17">
        <f t="shared" si="4"/>
        <v>283.66316999999998</v>
      </c>
    </row>
    <row r="324" spans="1:4" x14ac:dyDescent="0.45">
      <c r="A324" s="15">
        <v>46235</v>
      </c>
      <c r="B324" s="17">
        <f>IF(Kurse="konstant",tbl_Kurse[[#This Row],[Kurse konst.]],tbl_Kurse[[#This Row],[Kurse indiv.]])</f>
        <v>24393.51</v>
      </c>
      <c r="C324" s="17">
        <v>24393.51</v>
      </c>
      <c r="D324" s="17">
        <f t="shared" si="4"/>
        <v>284.59181000000001</v>
      </c>
    </row>
    <row r="325" spans="1:4" x14ac:dyDescent="0.45">
      <c r="A325" s="15">
        <v>46266</v>
      </c>
      <c r="B325" s="17">
        <f>IF(Kurse="konstant",tbl_Kurse[[#This Row],[Kurse konst.]],tbl_Kurse[[#This Row],[Kurse indiv.]])</f>
        <v>24592.68</v>
      </c>
      <c r="C325" s="17">
        <v>24592.68</v>
      </c>
      <c r="D325" s="17">
        <f t="shared" si="4"/>
        <v>285.52348999999998</v>
      </c>
    </row>
    <row r="326" spans="1:4" x14ac:dyDescent="0.45">
      <c r="A326" s="15">
        <v>46296</v>
      </c>
      <c r="B326" s="17">
        <f>IF(Kurse="konstant",tbl_Kurse[[#This Row],[Kurse konst.]],tbl_Kurse[[#This Row],[Kurse indiv.]])</f>
        <v>24793.48</v>
      </c>
      <c r="C326" s="17">
        <v>24793.48</v>
      </c>
      <c r="D326" s="17">
        <f t="shared" ref="D326:D389" si="5">ROUND(D325*(1+Performance)^(1/12),5)</f>
        <v>286.45821999999998</v>
      </c>
    </row>
    <row r="327" spans="1:4" x14ac:dyDescent="0.45">
      <c r="A327" s="15">
        <v>46327</v>
      </c>
      <c r="B327" s="17">
        <f>IF(Kurse="konstant",tbl_Kurse[[#This Row],[Kurse konst.]],tbl_Kurse[[#This Row],[Kurse indiv.]])</f>
        <v>24995.91</v>
      </c>
      <c r="C327" s="17">
        <v>24995.91</v>
      </c>
      <c r="D327" s="17">
        <f t="shared" si="5"/>
        <v>287.39600999999999</v>
      </c>
    </row>
    <row r="328" spans="1:4" x14ac:dyDescent="0.45">
      <c r="A328" s="15">
        <v>46357</v>
      </c>
      <c r="B328" s="17">
        <f>IF(Kurse="konstant",tbl_Kurse[[#This Row],[Kurse konst.]],tbl_Kurse[[#This Row],[Kurse indiv.]])</f>
        <v>25200</v>
      </c>
      <c r="C328" s="17">
        <v>25200</v>
      </c>
      <c r="D328" s="17">
        <f t="shared" si="5"/>
        <v>288.33686999999998</v>
      </c>
    </row>
    <row r="329" spans="1:4" x14ac:dyDescent="0.45">
      <c r="A329" s="15">
        <v>46388</v>
      </c>
      <c r="B329" s="17">
        <f>IF(Kurse="konstant",tbl_Kurse[[#This Row],[Kurse konst.]],tbl_Kurse[[#This Row],[Kurse indiv.]])</f>
        <v>25368.65</v>
      </c>
      <c r="C329" s="17">
        <v>25368.65</v>
      </c>
      <c r="D329" s="17">
        <f t="shared" si="5"/>
        <v>289.28080999999997</v>
      </c>
    </row>
    <row r="330" spans="1:4" x14ac:dyDescent="0.45">
      <c r="A330" s="15">
        <v>46419</v>
      </c>
      <c r="B330" s="17">
        <f>IF(Kurse="konstant",tbl_Kurse[[#This Row],[Kurse konst.]],tbl_Kurse[[#This Row],[Kurse indiv.]])</f>
        <v>25538.43</v>
      </c>
      <c r="C330" s="17">
        <v>25538.43</v>
      </c>
      <c r="D330" s="17">
        <f t="shared" si="5"/>
        <v>290.22784000000001</v>
      </c>
    </row>
    <row r="331" spans="1:4" x14ac:dyDescent="0.45">
      <c r="A331" s="15">
        <v>46447</v>
      </c>
      <c r="B331" s="17">
        <f>IF(Kurse="konstant",tbl_Kurse[[#This Row],[Kurse konst.]],tbl_Kurse[[#This Row],[Kurse indiv.]])</f>
        <v>25709.35</v>
      </c>
      <c r="C331" s="17">
        <v>25709.35</v>
      </c>
      <c r="D331" s="17">
        <f t="shared" si="5"/>
        <v>291.17797000000002</v>
      </c>
    </row>
    <row r="332" spans="1:4" x14ac:dyDescent="0.45">
      <c r="A332" s="15">
        <v>46478</v>
      </c>
      <c r="B332" s="17">
        <f>IF(Kurse="konstant",tbl_Kurse[[#This Row],[Kurse konst.]],tbl_Kurse[[#This Row],[Kurse indiv.]])</f>
        <v>25881.41</v>
      </c>
      <c r="C332" s="17">
        <v>25881.41</v>
      </c>
      <c r="D332" s="17">
        <f t="shared" si="5"/>
        <v>292.13121000000001</v>
      </c>
    </row>
    <row r="333" spans="1:4" x14ac:dyDescent="0.45">
      <c r="A333" s="15">
        <v>46508</v>
      </c>
      <c r="B333" s="17">
        <f>IF(Kurse="konstant",tbl_Kurse[[#This Row],[Kurse konst.]],tbl_Kurse[[#This Row],[Kurse indiv.]])</f>
        <v>26054.62</v>
      </c>
      <c r="C333" s="17">
        <v>26054.62</v>
      </c>
      <c r="D333" s="17">
        <f t="shared" si="5"/>
        <v>293.08757000000003</v>
      </c>
    </row>
    <row r="334" spans="1:4" x14ac:dyDescent="0.45">
      <c r="A334" s="15">
        <v>46539</v>
      </c>
      <c r="B334" s="17">
        <f>IF(Kurse="konstant",tbl_Kurse[[#This Row],[Kurse konst.]],tbl_Kurse[[#This Row],[Kurse indiv.]])</f>
        <v>26228.99</v>
      </c>
      <c r="C334" s="17">
        <v>26228.99</v>
      </c>
      <c r="D334" s="17">
        <f t="shared" si="5"/>
        <v>294.04705999999999</v>
      </c>
    </row>
    <row r="335" spans="1:4" x14ac:dyDescent="0.45">
      <c r="A335" s="15">
        <v>46569</v>
      </c>
      <c r="B335" s="17">
        <f>IF(Kurse="konstant",tbl_Kurse[[#This Row],[Kurse konst.]],tbl_Kurse[[#This Row],[Kurse indiv.]])</f>
        <v>26404.53</v>
      </c>
      <c r="C335" s="17">
        <v>26404.53</v>
      </c>
      <c r="D335" s="17">
        <f t="shared" si="5"/>
        <v>295.00968999999998</v>
      </c>
    </row>
    <row r="336" spans="1:4" x14ac:dyDescent="0.45">
      <c r="A336" s="15">
        <v>46600</v>
      </c>
      <c r="B336" s="17">
        <f>IF(Kurse="konstant",tbl_Kurse[[#This Row],[Kurse konst.]],tbl_Kurse[[#This Row],[Kurse indiv.]])</f>
        <v>26581.24</v>
      </c>
      <c r="C336" s="17">
        <v>26581.24</v>
      </c>
      <c r="D336" s="17">
        <f t="shared" si="5"/>
        <v>295.97546999999997</v>
      </c>
    </row>
    <row r="337" spans="1:4" x14ac:dyDescent="0.45">
      <c r="A337" s="15">
        <v>46631</v>
      </c>
      <c r="B337" s="17">
        <f>IF(Kurse="konstant",tbl_Kurse[[#This Row],[Kurse konst.]],tbl_Kurse[[#This Row],[Kurse indiv.]])</f>
        <v>26759.14</v>
      </c>
      <c r="C337" s="17">
        <v>26759.14</v>
      </c>
      <c r="D337" s="17">
        <f t="shared" si="5"/>
        <v>296.94441999999998</v>
      </c>
    </row>
    <row r="338" spans="1:4" x14ac:dyDescent="0.45">
      <c r="A338" s="15">
        <v>46661</v>
      </c>
      <c r="B338" s="17">
        <f>IF(Kurse="konstant",tbl_Kurse[[#This Row],[Kurse konst.]],tbl_Kurse[[#This Row],[Kurse indiv.]])</f>
        <v>26938.22</v>
      </c>
      <c r="C338" s="17">
        <v>26938.22</v>
      </c>
      <c r="D338" s="17">
        <f t="shared" si="5"/>
        <v>297.91654</v>
      </c>
    </row>
    <row r="339" spans="1:4" x14ac:dyDescent="0.45">
      <c r="A339" s="15">
        <v>46692</v>
      </c>
      <c r="B339" s="17">
        <f>IF(Kurse="konstant",tbl_Kurse[[#This Row],[Kurse konst.]],tbl_Kurse[[#This Row],[Kurse indiv.]])</f>
        <v>27118.51</v>
      </c>
      <c r="C339" s="17">
        <v>27118.51</v>
      </c>
      <c r="D339" s="17">
        <f t="shared" si="5"/>
        <v>298.89184</v>
      </c>
    </row>
    <row r="340" spans="1:4" x14ac:dyDescent="0.45">
      <c r="A340" s="15">
        <v>46722</v>
      </c>
      <c r="B340" s="17">
        <f>IF(Kurse="konstant",tbl_Kurse[[#This Row],[Kurse konst.]],tbl_Kurse[[#This Row],[Kurse indiv.]])</f>
        <v>27300</v>
      </c>
      <c r="C340" s="17">
        <v>27300</v>
      </c>
      <c r="D340" s="17">
        <f t="shared" si="5"/>
        <v>299.87033000000002</v>
      </c>
    </row>
    <row r="341" spans="1:4" x14ac:dyDescent="0.45">
      <c r="A341" s="15">
        <v>46753</v>
      </c>
      <c r="B341" s="17">
        <f>IF(Kurse="konstant",tbl_Kurse[[#This Row],[Kurse konst.]],tbl_Kurse[[#This Row],[Kurse indiv.]])</f>
        <v>27082.37</v>
      </c>
      <c r="C341" s="17">
        <v>27082.37</v>
      </c>
      <c r="D341" s="17">
        <f t="shared" si="5"/>
        <v>300.85203000000001</v>
      </c>
    </row>
    <row r="342" spans="1:4" x14ac:dyDescent="0.45">
      <c r="A342" s="15">
        <v>46784</v>
      </c>
      <c r="B342" s="17">
        <f>IF(Kurse="konstant",tbl_Kurse[[#This Row],[Kurse konst.]],tbl_Kurse[[#This Row],[Kurse indiv.]])</f>
        <v>26866.48</v>
      </c>
      <c r="C342" s="17">
        <v>26866.48</v>
      </c>
      <c r="D342" s="17">
        <f t="shared" si="5"/>
        <v>301.83694000000003</v>
      </c>
    </row>
    <row r="343" spans="1:4" x14ac:dyDescent="0.45">
      <c r="A343" s="15">
        <v>46813</v>
      </c>
      <c r="B343" s="17">
        <f>IF(Kurse="konstant",tbl_Kurse[[#This Row],[Kurse konst.]],tbl_Kurse[[#This Row],[Kurse indiv.]])</f>
        <v>26652.31</v>
      </c>
      <c r="C343" s="17">
        <v>26652.31</v>
      </c>
      <c r="D343" s="17">
        <f t="shared" si="5"/>
        <v>302.82508000000001</v>
      </c>
    </row>
    <row r="344" spans="1:4" x14ac:dyDescent="0.45">
      <c r="A344" s="15">
        <v>46844</v>
      </c>
      <c r="B344" s="17">
        <f>IF(Kurse="konstant",tbl_Kurse[[#This Row],[Kurse konst.]],tbl_Kurse[[#This Row],[Kurse indiv.]])</f>
        <v>26439.85</v>
      </c>
      <c r="C344" s="17">
        <v>26439.85</v>
      </c>
      <c r="D344" s="17">
        <f t="shared" si="5"/>
        <v>303.81644999999997</v>
      </c>
    </row>
    <row r="345" spans="1:4" x14ac:dyDescent="0.45">
      <c r="A345" s="15">
        <v>46874</v>
      </c>
      <c r="B345" s="17">
        <f>IF(Kurse="konstant",tbl_Kurse[[#This Row],[Kurse konst.]],tbl_Kurse[[#This Row],[Kurse indiv.]])</f>
        <v>26229.08</v>
      </c>
      <c r="C345" s="17">
        <v>26229.08</v>
      </c>
      <c r="D345" s="17">
        <f t="shared" si="5"/>
        <v>304.81106999999997</v>
      </c>
    </row>
    <row r="346" spans="1:4" x14ac:dyDescent="0.45">
      <c r="A346" s="15">
        <v>46905</v>
      </c>
      <c r="B346" s="17">
        <f>IF(Kurse="konstant",tbl_Kurse[[#This Row],[Kurse konst.]],tbl_Kurse[[#This Row],[Kurse indiv.]])</f>
        <v>26019.99</v>
      </c>
      <c r="C346" s="17">
        <v>26019.99</v>
      </c>
      <c r="D346" s="17">
        <f t="shared" si="5"/>
        <v>305.80894000000001</v>
      </c>
    </row>
    <row r="347" spans="1:4" x14ac:dyDescent="0.45">
      <c r="A347" s="15">
        <v>46935</v>
      </c>
      <c r="B347" s="17">
        <f>IF(Kurse="konstant",tbl_Kurse[[#This Row],[Kurse konst.]],tbl_Kurse[[#This Row],[Kurse indiv.]])</f>
        <v>25812.57</v>
      </c>
      <c r="C347" s="17">
        <v>25812.57</v>
      </c>
      <c r="D347" s="17">
        <f t="shared" si="5"/>
        <v>306.81008000000003</v>
      </c>
    </row>
    <row r="348" spans="1:4" x14ac:dyDescent="0.45">
      <c r="A348" s="15">
        <v>46966</v>
      </c>
      <c r="B348" s="17">
        <f>IF(Kurse="konstant",tbl_Kurse[[#This Row],[Kurse konst.]],tbl_Kurse[[#This Row],[Kurse indiv.]])</f>
        <v>25606.799999999999</v>
      </c>
      <c r="C348" s="17">
        <v>25606.799999999999</v>
      </c>
      <c r="D348" s="17">
        <f t="shared" si="5"/>
        <v>307.81450000000001</v>
      </c>
    </row>
    <row r="349" spans="1:4" x14ac:dyDescent="0.45">
      <c r="A349" s="15">
        <v>46997</v>
      </c>
      <c r="B349" s="17">
        <f>IF(Kurse="konstant",tbl_Kurse[[#This Row],[Kurse konst.]],tbl_Kurse[[#This Row],[Kurse indiv.]])</f>
        <v>25402.67</v>
      </c>
      <c r="C349" s="17">
        <v>25402.67</v>
      </c>
      <c r="D349" s="17">
        <f t="shared" si="5"/>
        <v>308.82220000000001</v>
      </c>
    </row>
    <row r="350" spans="1:4" x14ac:dyDescent="0.45">
      <c r="A350" s="15">
        <v>47027</v>
      </c>
      <c r="B350" s="17">
        <f>IF(Kurse="konstant",tbl_Kurse[[#This Row],[Kurse konst.]],tbl_Kurse[[#This Row],[Kurse indiv.]])</f>
        <v>25200.17</v>
      </c>
      <c r="C350" s="17">
        <v>25200.17</v>
      </c>
      <c r="D350" s="17">
        <f t="shared" si="5"/>
        <v>309.83319999999998</v>
      </c>
    </row>
    <row r="351" spans="1:4" x14ac:dyDescent="0.45">
      <c r="A351" s="15">
        <v>47058</v>
      </c>
      <c r="B351" s="17">
        <f>IF(Kurse="konstant",tbl_Kurse[[#This Row],[Kurse konst.]],tbl_Kurse[[#This Row],[Kurse indiv.]])</f>
        <v>24999.29</v>
      </c>
      <c r="C351" s="17">
        <v>24999.29</v>
      </c>
      <c r="D351" s="17">
        <f t="shared" si="5"/>
        <v>310.84751</v>
      </c>
    </row>
    <row r="352" spans="1:4" x14ac:dyDescent="0.45">
      <c r="A352" s="15">
        <v>47088</v>
      </c>
      <c r="B352" s="17">
        <f>IF(Kurse="konstant",tbl_Kurse[[#This Row],[Kurse konst.]],tbl_Kurse[[#This Row],[Kurse indiv.]])</f>
        <v>24800</v>
      </c>
      <c r="C352" s="17">
        <v>24800</v>
      </c>
      <c r="D352" s="17">
        <f t="shared" si="5"/>
        <v>311.86514</v>
      </c>
    </row>
    <row r="353" spans="1:4" x14ac:dyDescent="0.45">
      <c r="A353" s="15">
        <v>47119</v>
      </c>
      <c r="B353" s="17">
        <f>IF(Kurse="konstant",tbl_Kurse[[#This Row],[Kurse konst.]],tbl_Kurse[[#This Row],[Kurse indiv.]])</f>
        <v>25132.66</v>
      </c>
      <c r="C353" s="17">
        <v>25132.66</v>
      </c>
      <c r="D353" s="17">
        <f t="shared" si="5"/>
        <v>312.88610999999997</v>
      </c>
    </row>
    <row r="354" spans="1:4" x14ac:dyDescent="0.45">
      <c r="A354" s="15">
        <v>47150</v>
      </c>
      <c r="B354" s="17">
        <f>IF(Kurse="konstant",tbl_Kurse[[#This Row],[Kurse konst.]],tbl_Kurse[[#This Row],[Kurse indiv.]])</f>
        <v>25469.78</v>
      </c>
      <c r="C354" s="17">
        <v>25469.78</v>
      </c>
      <c r="D354" s="17">
        <f t="shared" si="5"/>
        <v>313.91041999999999</v>
      </c>
    </row>
    <row r="355" spans="1:4" x14ac:dyDescent="0.45">
      <c r="A355" s="15">
        <v>47178</v>
      </c>
      <c r="B355" s="17">
        <f>IF(Kurse="konstant",tbl_Kurse[[#This Row],[Kurse konst.]],tbl_Kurse[[#This Row],[Kurse indiv.]])</f>
        <v>25811.43</v>
      </c>
      <c r="C355" s="17">
        <v>25811.43</v>
      </c>
      <c r="D355" s="17">
        <f t="shared" si="5"/>
        <v>314.93808000000001</v>
      </c>
    </row>
    <row r="356" spans="1:4" x14ac:dyDescent="0.45">
      <c r="A356" s="15">
        <v>47209</v>
      </c>
      <c r="B356" s="17">
        <f>IF(Kurse="konstant",tbl_Kurse[[#This Row],[Kurse konst.]],tbl_Kurse[[#This Row],[Kurse indiv.]])</f>
        <v>26157.65</v>
      </c>
      <c r="C356" s="17">
        <v>26157.65</v>
      </c>
      <c r="D356" s="17">
        <f t="shared" si="5"/>
        <v>315.96911</v>
      </c>
    </row>
    <row r="357" spans="1:4" x14ac:dyDescent="0.45">
      <c r="A357" s="15">
        <v>47239</v>
      </c>
      <c r="B357" s="17">
        <f>IF(Kurse="konstant",tbl_Kurse[[#This Row],[Kurse konst.]],tbl_Kurse[[#This Row],[Kurse indiv.]])</f>
        <v>26508.52</v>
      </c>
      <c r="C357" s="17">
        <v>26508.52</v>
      </c>
      <c r="D357" s="17">
        <f t="shared" si="5"/>
        <v>317.00351000000001</v>
      </c>
    </row>
    <row r="358" spans="1:4" x14ac:dyDescent="0.45">
      <c r="A358" s="15">
        <v>47270</v>
      </c>
      <c r="B358" s="17">
        <f>IF(Kurse="konstant",tbl_Kurse[[#This Row],[Kurse konst.]],tbl_Kurse[[#This Row],[Kurse indiv.]])</f>
        <v>26864.1</v>
      </c>
      <c r="C358" s="17">
        <v>26864.1</v>
      </c>
      <c r="D358" s="17">
        <f t="shared" si="5"/>
        <v>318.04129999999998</v>
      </c>
    </row>
    <row r="359" spans="1:4" x14ac:dyDescent="0.45">
      <c r="A359" s="15">
        <v>47300</v>
      </c>
      <c r="B359" s="17">
        <f>IF(Kurse="konstant",tbl_Kurse[[#This Row],[Kurse konst.]],tbl_Kurse[[#This Row],[Kurse indiv.]])</f>
        <v>27224.45</v>
      </c>
      <c r="C359" s="17">
        <v>27224.45</v>
      </c>
      <c r="D359" s="17">
        <f t="shared" si="5"/>
        <v>319.08247999999998</v>
      </c>
    </row>
    <row r="360" spans="1:4" x14ac:dyDescent="0.45">
      <c r="A360" s="15">
        <v>47331</v>
      </c>
      <c r="B360" s="17">
        <f>IF(Kurse="konstant",tbl_Kurse[[#This Row],[Kurse konst.]],tbl_Kurse[[#This Row],[Kurse indiv.]])</f>
        <v>27589.63</v>
      </c>
      <c r="C360" s="17">
        <v>27589.63</v>
      </c>
      <c r="D360" s="17">
        <f t="shared" si="5"/>
        <v>320.12707</v>
      </c>
    </row>
    <row r="361" spans="1:4" x14ac:dyDescent="0.45">
      <c r="A361" s="15">
        <v>47362</v>
      </c>
      <c r="B361" s="17">
        <f>IF(Kurse="konstant",tbl_Kurse[[#This Row],[Kurse konst.]],tbl_Kurse[[#This Row],[Kurse indiv.]])</f>
        <v>27959.71</v>
      </c>
      <c r="C361" s="17">
        <v>27959.71</v>
      </c>
      <c r="D361" s="17">
        <f t="shared" si="5"/>
        <v>321.17507999999998</v>
      </c>
    </row>
    <row r="362" spans="1:4" x14ac:dyDescent="0.45">
      <c r="A362" s="15">
        <v>47392</v>
      </c>
      <c r="B362" s="17">
        <f>IF(Kurse="konstant",tbl_Kurse[[#This Row],[Kurse konst.]],tbl_Kurse[[#This Row],[Kurse indiv.]])</f>
        <v>28334.75</v>
      </c>
      <c r="C362" s="17">
        <v>28334.75</v>
      </c>
      <c r="D362" s="17">
        <f t="shared" si="5"/>
        <v>322.22651999999999</v>
      </c>
    </row>
    <row r="363" spans="1:4" x14ac:dyDescent="0.45">
      <c r="A363" s="15">
        <v>47423</v>
      </c>
      <c r="B363" s="17">
        <f>IF(Kurse="konstant",tbl_Kurse[[#This Row],[Kurse konst.]],tbl_Kurse[[#This Row],[Kurse indiv.]])</f>
        <v>28714.83</v>
      </c>
      <c r="C363" s="17">
        <v>28714.83</v>
      </c>
      <c r="D363" s="17">
        <f t="shared" si="5"/>
        <v>323.28140999999999</v>
      </c>
    </row>
    <row r="364" spans="1:4" x14ac:dyDescent="0.45">
      <c r="A364" s="15">
        <v>47453</v>
      </c>
      <c r="B364" s="17">
        <f>IF(Kurse="konstant",tbl_Kurse[[#This Row],[Kurse konst.]],tbl_Kurse[[#This Row],[Kurse indiv.]])</f>
        <v>29100</v>
      </c>
      <c r="C364" s="17">
        <v>29100</v>
      </c>
      <c r="D364" s="17">
        <f t="shared" si="5"/>
        <v>324.33974999999998</v>
      </c>
    </row>
    <row r="365" spans="1:4" x14ac:dyDescent="0.45">
      <c r="A365" s="15">
        <v>47484</v>
      </c>
      <c r="B365" s="17">
        <f>IF(Kurse="konstant",tbl_Kurse[[#This Row],[Kurse konst.]],tbl_Kurse[[#This Row],[Kurse indiv.]])</f>
        <v>29300.55</v>
      </c>
      <c r="C365" s="17">
        <v>29300.55</v>
      </c>
      <c r="D365" s="17">
        <f t="shared" si="5"/>
        <v>325.40154999999999</v>
      </c>
    </row>
    <row r="366" spans="1:4" x14ac:dyDescent="0.45">
      <c r="A366" s="15">
        <v>47515</v>
      </c>
      <c r="B366" s="17">
        <f>IF(Kurse="konstant",tbl_Kurse[[#This Row],[Kurse konst.]],tbl_Kurse[[#This Row],[Kurse indiv.]])</f>
        <v>29502.49</v>
      </c>
      <c r="C366" s="17">
        <v>29502.49</v>
      </c>
      <c r="D366" s="17">
        <f t="shared" si="5"/>
        <v>326.46683000000002</v>
      </c>
    </row>
    <row r="367" spans="1:4" x14ac:dyDescent="0.45">
      <c r="A367" s="15">
        <v>47543</v>
      </c>
      <c r="B367" s="17">
        <f>IF(Kurse="konstant",tbl_Kurse[[#This Row],[Kurse konst.]],tbl_Kurse[[#This Row],[Kurse indiv.]])</f>
        <v>29705.82</v>
      </c>
      <c r="C367" s="17">
        <v>29705.82</v>
      </c>
      <c r="D367" s="17">
        <f t="shared" si="5"/>
        <v>327.53559999999999</v>
      </c>
    </row>
    <row r="368" spans="1:4" x14ac:dyDescent="0.45">
      <c r="A368" s="15">
        <v>47574</v>
      </c>
      <c r="B368" s="17">
        <f>IF(Kurse="konstant",tbl_Kurse[[#This Row],[Kurse konst.]],tbl_Kurse[[#This Row],[Kurse indiv.]])</f>
        <v>29910.55</v>
      </c>
      <c r="C368" s="17">
        <v>29910.55</v>
      </c>
      <c r="D368" s="17">
        <f t="shared" si="5"/>
        <v>328.60786999999999</v>
      </c>
    </row>
    <row r="369" spans="1:4" x14ac:dyDescent="0.45">
      <c r="A369" s="15">
        <v>47604</v>
      </c>
      <c r="B369" s="17">
        <f>IF(Kurse="konstant",tbl_Kurse[[#This Row],[Kurse konst.]],tbl_Kurse[[#This Row],[Kurse indiv.]])</f>
        <v>30116.69</v>
      </c>
      <c r="C369" s="17">
        <v>30116.69</v>
      </c>
      <c r="D369" s="17">
        <f t="shared" si="5"/>
        <v>329.68365</v>
      </c>
    </row>
    <row r="370" spans="1:4" x14ac:dyDescent="0.45">
      <c r="A370" s="15">
        <v>47635</v>
      </c>
      <c r="B370" s="17">
        <f>IF(Kurse="konstant",tbl_Kurse[[#This Row],[Kurse konst.]],tbl_Kurse[[#This Row],[Kurse indiv.]])</f>
        <v>30324.25</v>
      </c>
      <c r="C370" s="17">
        <v>30324.25</v>
      </c>
      <c r="D370" s="17">
        <f t="shared" si="5"/>
        <v>330.76294999999999</v>
      </c>
    </row>
    <row r="371" spans="1:4" x14ac:dyDescent="0.45">
      <c r="A371" s="15">
        <v>47665</v>
      </c>
      <c r="B371" s="17">
        <f>IF(Kurse="konstant",tbl_Kurse[[#This Row],[Kurse konst.]],tbl_Kurse[[#This Row],[Kurse indiv.]])</f>
        <v>30533.24</v>
      </c>
      <c r="C371" s="17">
        <v>30533.24</v>
      </c>
      <c r="D371" s="17">
        <f t="shared" si="5"/>
        <v>331.84577999999999</v>
      </c>
    </row>
    <row r="372" spans="1:4" x14ac:dyDescent="0.45">
      <c r="A372" s="15">
        <v>47696</v>
      </c>
      <c r="B372" s="17">
        <f>IF(Kurse="konstant",tbl_Kurse[[#This Row],[Kurse konst.]],tbl_Kurse[[#This Row],[Kurse indiv.]])</f>
        <v>30743.67</v>
      </c>
      <c r="C372" s="17">
        <v>30743.67</v>
      </c>
      <c r="D372" s="17">
        <f t="shared" si="5"/>
        <v>332.93216000000001</v>
      </c>
    </row>
    <row r="373" spans="1:4" x14ac:dyDescent="0.45">
      <c r="A373" s="15">
        <v>47727</v>
      </c>
      <c r="B373" s="17">
        <f>IF(Kurse="konstant",tbl_Kurse[[#This Row],[Kurse konst.]],tbl_Kurse[[#This Row],[Kurse indiv.]])</f>
        <v>30955.55</v>
      </c>
      <c r="C373" s="17">
        <v>30955.55</v>
      </c>
      <c r="D373" s="17">
        <f t="shared" si="5"/>
        <v>334.02208999999999</v>
      </c>
    </row>
    <row r="374" spans="1:4" x14ac:dyDescent="0.45">
      <c r="A374" s="15">
        <v>47757</v>
      </c>
      <c r="B374" s="17">
        <f>IF(Kurse="konstant",tbl_Kurse[[#This Row],[Kurse konst.]],tbl_Kurse[[#This Row],[Kurse indiv.]])</f>
        <v>31168.89</v>
      </c>
      <c r="C374" s="17">
        <v>31168.89</v>
      </c>
      <c r="D374" s="17">
        <f t="shared" si="5"/>
        <v>335.11559</v>
      </c>
    </row>
    <row r="375" spans="1:4" x14ac:dyDescent="0.45">
      <c r="A375" s="15">
        <v>47788</v>
      </c>
      <c r="B375" s="17">
        <f>IF(Kurse="konstant",tbl_Kurse[[#This Row],[Kurse konst.]],tbl_Kurse[[#This Row],[Kurse indiv.]])</f>
        <v>31383.71</v>
      </c>
      <c r="C375" s="17">
        <v>31383.71</v>
      </c>
      <c r="D375" s="17">
        <f t="shared" si="5"/>
        <v>336.21267</v>
      </c>
    </row>
    <row r="376" spans="1:4" x14ac:dyDescent="0.45">
      <c r="A376" s="15">
        <v>47818</v>
      </c>
      <c r="B376" s="17">
        <f>IF(Kurse="konstant",tbl_Kurse[[#This Row],[Kurse konst.]],tbl_Kurse[[#This Row],[Kurse indiv.]])</f>
        <v>31600</v>
      </c>
      <c r="C376" s="17">
        <v>31600</v>
      </c>
      <c r="D376" s="17">
        <f t="shared" si="5"/>
        <v>337.31333999999998</v>
      </c>
    </row>
    <row r="377" spans="1:4" x14ac:dyDescent="0.45">
      <c r="A377" s="15">
        <v>47849</v>
      </c>
      <c r="B377" s="17">
        <f>IF(Kurse="konstant",tbl_Kurse[[#This Row],[Kurse konst.]],tbl_Kurse[[#This Row],[Kurse indiv.]])</f>
        <v>31730.34</v>
      </c>
      <c r="C377" s="17">
        <v>31730.34</v>
      </c>
      <c r="D377" s="17">
        <f t="shared" si="5"/>
        <v>338.41762</v>
      </c>
    </row>
    <row r="378" spans="1:4" x14ac:dyDescent="0.45">
      <c r="A378" s="15">
        <v>47880</v>
      </c>
      <c r="B378" s="17">
        <f>IF(Kurse="konstant",tbl_Kurse[[#This Row],[Kurse konst.]],tbl_Kurse[[#This Row],[Kurse indiv.]])</f>
        <v>31861.21</v>
      </c>
      <c r="C378" s="17">
        <v>31861.21</v>
      </c>
      <c r="D378" s="17">
        <f t="shared" si="5"/>
        <v>339.52551</v>
      </c>
    </row>
    <row r="379" spans="1:4" x14ac:dyDescent="0.45">
      <c r="A379" s="15">
        <v>47908</v>
      </c>
      <c r="B379" s="17">
        <f>IF(Kurse="konstant",tbl_Kurse[[#This Row],[Kurse konst.]],tbl_Kurse[[#This Row],[Kurse indiv.]])</f>
        <v>31992.62</v>
      </c>
      <c r="C379" s="17">
        <v>31992.62</v>
      </c>
      <c r="D379" s="17">
        <f t="shared" si="5"/>
        <v>340.63702999999998</v>
      </c>
    </row>
    <row r="380" spans="1:4" x14ac:dyDescent="0.45">
      <c r="A380" s="15">
        <v>47939</v>
      </c>
      <c r="B380" s="17">
        <f>IF(Kurse="konstant",tbl_Kurse[[#This Row],[Kurse konst.]],tbl_Kurse[[#This Row],[Kurse indiv.]])</f>
        <v>32124.58</v>
      </c>
      <c r="C380" s="17">
        <v>32124.58</v>
      </c>
      <c r="D380" s="17">
        <f t="shared" si="5"/>
        <v>341.75218999999998</v>
      </c>
    </row>
    <row r="381" spans="1:4" x14ac:dyDescent="0.45">
      <c r="A381" s="15">
        <v>47969</v>
      </c>
      <c r="B381" s="17">
        <f>IF(Kurse="konstant",tbl_Kurse[[#This Row],[Kurse konst.]],tbl_Kurse[[#This Row],[Kurse indiv.]])</f>
        <v>32257.08</v>
      </c>
      <c r="C381" s="17">
        <v>32257.08</v>
      </c>
      <c r="D381" s="17">
        <f t="shared" si="5"/>
        <v>342.87099999999998</v>
      </c>
    </row>
    <row r="382" spans="1:4" x14ac:dyDescent="0.45">
      <c r="A382" s="15">
        <v>48000</v>
      </c>
      <c r="B382" s="17">
        <f>IF(Kurse="konstant",tbl_Kurse[[#This Row],[Kurse konst.]],tbl_Kurse[[#This Row],[Kurse indiv.]])</f>
        <v>32390.12</v>
      </c>
      <c r="C382" s="17">
        <v>32390.12</v>
      </c>
      <c r="D382" s="17">
        <f t="shared" si="5"/>
        <v>343.99347</v>
      </c>
    </row>
    <row r="383" spans="1:4" x14ac:dyDescent="0.45">
      <c r="A383" s="15">
        <v>48030</v>
      </c>
      <c r="B383" s="17">
        <f>IF(Kurse="konstant",tbl_Kurse[[#This Row],[Kurse konst.]],tbl_Kurse[[#This Row],[Kurse indiv.]])</f>
        <v>32523.72</v>
      </c>
      <c r="C383" s="17">
        <v>32523.72</v>
      </c>
      <c r="D383" s="17">
        <f t="shared" si="5"/>
        <v>345.11962</v>
      </c>
    </row>
    <row r="384" spans="1:4" x14ac:dyDescent="0.45">
      <c r="A384" s="15">
        <v>48061</v>
      </c>
      <c r="B384" s="17">
        <f>IF(Kurse="konstant",tbl_Kurse[[#This Row],[Kurse konst.]],tbl_Kurse[[#This Row],[Kurse indiv.]])</f>
        <v>32657.86</v>
      </c>
      <c r="C384" s="17">
        <v>32657.86</v>
      </c>
      <c r="D384" s="17">
        <f t="shared" si="5"/>
        <v>346.24945000000002</v>
      </c>
    </row>
    <row r="385" spans="1:4" x14ac:dyDescent="0.45">
      <c r="A385" s="15">
        <v>48092</v>
      </c>
      <c r="B385" s="17">
        <f>IF(Kurse="konstant",tbl_Kurse[[#This Row],[Kurse konst.]],tbl_Kurse[[#This Row],[Kurse indiv.]])</f>
        <v>32792.559999999998</v>
      </c>
      <c r="C385" s="17">
        <v>32792.559999999998</v>
      </c>
      <c r="D385" s="17">
        <f t="shared" si="5"/>
        <v>347.38297999999998</v>
      </c>
    </row>
    <row r="386" spans="1:4" x14ac:dyDescent="0.45">
      <c r="A386" s="15">
        <v>48122</v>
      </c>
      <c r="B386" s="17">
        <f>IF(Kurse="konstant",tbl_Kurse[[#This Row],[Kurse konst.]],tbl_Kurse[[#This Row],[Kurse indiv.]])</f>
        <v>32927.82</v>
      </c>
      <c r="C386" s="17">
        <v>32927.82</v>
      </c>
      <c r="D386" s="17">
        <f t="shared" si="5"/>
        <v>348.52021999999999</v>
      </c>
    </row>
    <row r="387" spans="1:4" x14ac:dyDescent="0.45">
      <c r="A387" s="15">
        <v>48153</v>
      </c>
      <c r="B387" s="17">
        <f>IF(Kurse="konstant",tbl_Kurse[[#This Row],[Kurse konst.]],tbl_Kurse[[#This Row],[Kurse indiv.]])</f>
        <v>33063.629999999997</v>
      </c>
      <c r="C387" s="17">
        <v>33063.629999999997</v>
      </c>
      <c r="D387" s="17">
        <f t="shared" si="5"/>
        <v>349.66118</v>
      </c>
    </row>
    <row r="388" spans="1:4" x14ac:dyDescent="0.45">
      <c r="A388" s="15">
        <v>48183</v>
      </c>
      <c r="B388" s="17">
        <f>IF(Kurse="konstant",tbl_Kurse[[#This Row],[Kurse konst.]],tbl_Kurse[[#This Row],[Kurse indiv.]])</f>
        <v>33200</v>
      </c>
      <c r="C388" s="17">
        <v>33200</v>
      </c>
      <c r="D388" s="17">
        <f t="shared" si="5"/>
        <v>350.80588</v>
      </c>
    </row>
    <row r="389" spans="1:4" x14ac:dyDescent="0.45">
      <c r="A389" s="15">
        <v>48214</v>
      </c>
      <c r="B389" s="17">
        <f>IF(Kurse="konstant",tbl_Kurse[[#This Row],[Kurse konst.]],tbl_Kurse[[#This Row],[Kurse indiv.]])</f>
        <v>32920.769999999997</v>
      </c>
      <c r="C389" s="17">
        <v>32920.769999999997</v>
      </c>
      <c r="D389" s="17">
        <f t="shared" si="5"/>
        <v>351.95433000000003</v>
      </c>
    </row>
    <row r="390" spans="1:4" x14ac:dyDescent="0.45">
      <c r="A390" s="15">
        <v>48245</v>
      </c>
      <c r="B390" s="17">
        <f>IF(Kurse="konstant",tbl_Kurse[[#This Row],[Kurse konst.]],tbl_Kurse[[#This Row],[Kurse indiv.]])</f>
        <v>32643.89</v>
      </c>
      <c r="C390" s="17">
        <v>32643.89</v>
      </c>
      <c r="D390" s="17">
        <f t="shared" ref="D390:D453" si="6">ROUND(D389*(1+Performance)^(1/12),5)</f>
        <v>353.10654</v>
      </c>
    </row>
    <row r="391" spans="1:4" x14ac:dyDescent="0.45">
      <c r="A391" s="15">
        <v>48274</v>
      </c>
      <c r="B391" s="17">
        <f>IF(Kurse="konstant",tbl_Kurse[[#This Row],[Kurse konst.]],tbl_Kurse[[#This Row],[Kurse indiv.]])</f>
        <v>32369.34</v>
      </c>
      <c r="C391" s="17">
        <v>32369.34</v>
      </c>
      <c r="D391" s="17">
        <f t="shared" si="6"/>
        <v>354.26251999999999</v>
      </c>
    </row>
    <row r="392" spans="1:4" x14ac:dyDescent="0.45">
      <c r="A392" s="15">
        <v>48305</v>
      </c>
      <c r="B392" s="17">
        <f>IF(Kurse="konstant",tbl_Kurse[[#This Row],[Kurse konst.]],tbl_Kurse[[#This Row],[Kurse indiv.]])</f>
        <v>32097.1</v>
      </c>
      <c r="C392" s="17">
        <v>32097.1</v>
      </c>
      <c r="D392" s="17">
        <f t="shared" si="6"/>
        <v>355.42228</v>
      </c>
    </row>
    <row r="393" spans="1:4" x14ac:dyDescent="0.45">
      <c r="A393" s="15">
        <v>48335</v>
      </c>
      <c r="B393" s="17">
        <f>IF(Kurse="konstant",tbl_Kurse[[#This Row],[Kurse konst.]],tbl_Kurse[[#This Row],[Kurse indiv.]])</f>
        <v>31827.15</v>
      </c>
      <c r="C393" s="17">
        <v>31827.15</v>
      </c>
      <c r="D393" s="17">
        <f t="shared" si="6"/>
        <v>356.58584000000002</v>
      </c>
    </row>
    <row r="394" spans="1:4" x14ac:dyDescent="0.45">
      <c r="A394" s="15">
        <v>48366</v>
      </c>
      <c r="B394" s="17">
        <f>IF(Kurse="konstant",tbl_Kurse[[#This Row],[Kurse konst.]],tbl_Kurse[[#This Row],[Kurse indiv.]])</f>
        <v>31559.47</v>
      </c>
      <c r="C394" s="17">
        <v>31559.47</v>
      </c>
      <c r="D394" s="17">
        <f t="shared" si="6"/>
        <v>357.75321000000002</v>
      </c>
    </row>
    <row r="395" spans="1:4" x14ac:dyDescent="0.45">
      <c r="A395" s="15">
        <v>48396</v>
      </c>
      <c r="B395" s="17">
        <f>IF(Kurse="konstant",tbl_Kurse[[#This Row],[Kurse konst.]],tbl_Kurse[[#This Row],[Kurse indiv.]])</f>
        <v>31294.04</v>
      </c>
      <c r="C395" s="17">
        <v>31294.04</v>
      </c>
      <c r="D395" s="17">
        <f t="shared" si="6"/>
        <v>358.92439999999999</v>
      </c>
    </row>
    <row r="396" spans="1:4" x14ac:dyDescent="0.45">
      <c r="A396" s="15">
        <v>48427</v>
      </c>
      <c r="B396" s="17">
        <f>IF(Kurse="konstant",tbl_Kurse[[#This Row],[Kurse konst.]],tbl_Kurse[[#This Row],[Kurse indiv.]])</f>
        <v>31030.84</v>
      </c>
      <c r="C396" s="17">
        <v>31030.84</v>
      </c>
      <c r="D396" s="17">
        <f t="shared" si="6"/>
        <v>360.09942999999998</v>
      </c>
    </row>
    <row r="397" spans="1:4" x14ac:dyDescent="0.45">
      <c r="A397" s="15">
        <v>48458</v>
      </c>
      <c r="B397" s="17">
        <f>IF(Kurse="konstant",tbl_Kurse[[#This Row],[Kurse konst.]],tbl_Kurse[[#This Row],[Kurse indiv.]])</f>
        <v>30769.86</v>
      </c>
      <c r="C397" s="17">
        <v>30769.86</v>
      </c>
      <c r="D397" s="17">
        <f t="shared" si="6"/>
        <v>361.2783</v>
      </c>
    </row>
    <row r="398" spans="1:4" x14ac:dyDescent="0.45">
      <c r="A398" s="15">
        <v>48488</v>
      </c>
      <c r="B398" s="17">
        <f>IF(Kurse="konstant",tbl_Kurse[[#This Row],[Kurse konst.]],tbl_Kurse[[#This Row],[Kurse indiv.]])</f>
        <v>30511.07</v>
      </c>
      <c r="C398" s="17">
        <v>30511.07</v>
      </c>
      <c r="D398" s="17">
        <f t="shared" si="6"/>
        <v>362.46102999999999</v>
      </c>
    </row>
    <row r="399" spans="1:4" x14ac:dyDescent="0.45">
      <c r="A399" s="15">
        <v>48519</v>
      </c>
      <c r="B399" s="17">
        <f>IF(Kurse="konstant",tbl_Kurse[[#This Row],[Kurse konst.]],tbl_Kurse[[#This Row],[Kurse indiv.]])</f>
        <v>30254.45</v>
      </c>
      <c r="C399" s="17">
        <v>30254.45</v>
      </c>
      <c r="D399" s="17">
        <f t="shared" si="6"/>
        <v>363.64762999999999</v>
      </c>
    </row>
    <row r="400" spans="1:4" x14ac:dyDescent="0.45">
      <c r="A400" s="15">
        <v>48549</v>
      </c>
      <c r="B400" s="17">
        <f>IF(Kurse="konstant",tbl_Kurse[[#This Row],[Kurse konst.]],tbl_Kurse[[#This Row],[Kurse indiv.]])</f>
        <v>30000</v>
      </c>
      <c r="C400" s="17">
        <v>30000</v>
      </c>
      <c r="D400" s="17">
        <f t="shared" si="6"/>
        <v>364.83812</v>
      </c>
    </row>
    <row r="401" spans="1:4" x14ac:dyDescent="0.45">
      <c r="A401" s="15">
        <v>48580</v>
      </c>
      <c r="B401" s="17">
        <f>IF(Kurse="konstant",tbl_Kurse[[#This Row],[Kurse konst.]],tbl_Kurse[[#This Row],[Kurse indiv.]])</f>
        <v>30416.65</v>
      </c>
      <c r="C401" s="17">
        <v>30416.65</v>
      </c>
      <c r="D401" s="17">
        <f t="shared" si="6"/>
        <v>366.03251</v>
      </c>
    </row>
    <row r="402" spans="1:4" x14ac:dyDescent="0.45">
      <c r="A402" s="15">
        <v>48611</v>
      </c>
      <c r="B402" s="17">
        <f>IF(Kurse="konstant",tbl_Kurse[[#This Row],[Kurse konst.]],tbl_Kurse[[#This Row],[Kurse indiv.]])</f>
        <v>30839.09</v>
      </c>
      <c r="C402" s="17">
        <v>30839.09</v>
      </c>
      <c r="D402" s="17">
        <f t="shared" si="6"/>
        <v>367.23081000000002</v>
      </c>
    </row>
    <row r="403" spans="1:4" x14ac:dyDescent="0.45">
      <c r="A403" s="15">
        <v>48639</v>
      </c>
      <c r="B403" s="17">
        <f>IF(Kurse="konstant",tbl_Kurse[[#This Row],[Kurse konst.]],tbl_Kurse[[#This Row],[Kurse indiv.]])</f>
        <v>31267.4</v>
      </c>
      <c r="C403" s="17">
        <v>31267.4</v>
      </c>
      <c r="D403" s="17">
        <f t="shared" si="6"/>
        <v>368.43302999999997</v>
      </c>
    </row>
    <row r="404" spans="1:4" x14ac:dyDescent="0.45">
      <c r="A404" s="15">
        <v>48670</v>
      </c>
      <c r="B404" s="17">
        <f>IF(Kurse="konstant",tbl_Kurse[[#This Row],[Kurse konst.]],tbl_Kurse[[#This Row],[Kurse indiv.]])</f>
        <v>31701.65</v>
      </c>
      <c r="C404" s="17">
        <v>31701.65</v>
      </c>
      <c r="D404" s="17">
        <f t="shared" si="6"/>
        <v>369.63918000000001</v>
      </c>
    </row>
    <row r="405" spans="1:4" x14ac:dyDescent="0.45">
      <c r="A405" s="15">
        <v>48700</v>
      </c>
      <c r="B405" s="17">
        <f>IF(Kurse="konstant",tbl_Kurse[[#This Row],[Kurse konst.]],tbl_Kurse[[#This Row],[Kurse indiv.]])</f>
        <v>32141.94</v>
      </c>
      <c r="C405" s="17">
        <v>32141.94</v>
      </c>
      <c r="D405" s="17">
        <f t="shared" si="6"/>
        <v>370.84928000000002</v>
      </c>
    </row>
    <row r="406" spans="1:4" x14ac:dyDescent="0.45">
      <c r="A406" s="15">
        <v>48731</v>
      </c>
      <c r="B406" s="17">
        <f>IF(Kurse="konstant",tbl_Kurse[[#This Row],[Kurse konst.]],tbl_Kurse[[#This Row],[Kurse indiv.]])</f>
        <v>32588.34</v>
      </c>
      <c r="C406" s="17">
        <v>32588.34</v>
      </c>
      <c r="D406" s="17">
        <f t="shared" si="6"/>
        <v>372.06333999999998</v>
      </c>
    </row>
    <row r="407" spans="1:4" x14ac:dyDescent="0.45">
      <c r="A407" s="15">
        <v>48761</v>
      </c>
      <c r="B407" s="17">
        <f>IF(Kurse="konstant",tbl_Kurse[[#This Row],[Kurse konst.]],tbl_Kurse[[#This Row],[Kurse indiv.]])</f>
        <v>33040.94</v>
      </c>
      <c r="C407" s="17">
        <v>33040.94</v>
      </c>
      <c r="D407" s="17">
        <f t="shared" si="6"/>
        <v>373.28138000000001</v>
      </c>
    </row>
    <row r="408" spans="1:4" x14ac:dyDescent="0.45">
      <c r="A408" s="15">
        <v>48792</v>
      </c>
      <c r="B408" s="17">
        <f>IF(Kurse="konstant",tbl_Kurse[[#This Row],[Kurse konst.]],tbl_Kurse[[#This Row],[Kurse indiv.]])</f>
        <v>33499.83</v>
      </c>
      <c r="C408" s="17">
        <v>33499.83</v>
      </c>
      <c r="D408" s="17">
        <f t="shared" si="6"/>
        <v>374.50340999999997</v>
      </c>
    </row>
    <row r="409" spans="1:4" x14ac:dyDescent="0.45">
      <c r="A409" s="15">
        <v>48823</v>
      </c>
      <c r="B409" s="17">
        <f>IF(Kurse="konstant",tbl_Kurse[[#This Row],[Kurse konst.]],tbl_Kurse[[#This Row],[Kurse indiv.]])</f>
        <v>33965.089999999997</v>
      </c>
      <c r="C409" s="17">
        <v>33965.089999999997</v>
      </c>
      <c r="D409" s="17">
        <f t="shared" si="6"/>
        <v>375.72944000000001</v>
      </c>
    </row>
    <row r="410" spans="1:4" x14ac:dyDescent="0.45">
      <c r="A410" s="15">
        <v>48853</v>
      </c>
      <c r="B410" s="17">
        <f>IF(Kurse="konstant",tbl_Kurse[[#This Row],[Kurse konst.]],tbl_Kurse[[#This Row],[Kurse indiv.]])</f>
        <v>34436.81</v>
      </c>
      <c r="C410" s="17">
        <v>34436.81</v>
      </c>
      <c r="D410" s="17">
        <f t="shared" si="6"/>
        <v>376.95947999999999</v>
      </c>
    </row>
    <row r="411" spans="1:4" x14ac:dyDescent="0.45">
      <c r="A411" s="15">
        <v>48884</v>
      </c>
      <c r="B411" s="17">
        <f>IF(Kurse="konstant",tbl_Kurse[[#This Row],[Kurse konst.]],tbl_Kurse[[#This Row],[Kurse indiv.]])</f>
        <v>34915.08</v>
      </c>
      <c r="C411" s="17">
        <v>34915.08</v>
      </c>
      <c r="D411" s="17">
        <f t="shared" si="6"/>
        <v>378.19355000000002</v>
      </c>
    </row>
    <row r="412" spans="1:4" x14ac:dyDescent="0.45">
      <c r="A412" s="15">
        <v>48914</v>
      </c>
      <c r="B412" s="17">
        <f>IF(Kurse="konstant",tbl_Kurse[[#This Row],[Kurse konst.]],tbl_Kurse[[#This Row],[Kurse indiv.]])</f>
        <v>35400</v>
      </c>
      <c r="C412" s="17">
        <v>35400</v>
      </c>
      <c r="D412" s="17">
        <f t="shared" si="6"/>
        <v>379.43166000000002</v>
      </c>
    </row>
    <row r="413" spans="1:4" x14ac:dyDescent="0.45">
      <c r="A413" s="15">
        <v>48945</v>
      </c>
      <c r="B413" s="17">
        <f>IF(Kurse="konstant",tbl_Kurse[[#This Row],[Kurse konst.]],tbl_Kurse[[#This Row],[Kurse indiv.]])</f>
        <v>35679.230000000003</v>
      </c>
      <c r="C413" s="17">
        <v>35679.230000000003</v>
      </c>
      <c r="D413" s="17">
        <f t="shared" si="6"/>
        <v>380.67381999999998</v>
      </c>
    </row>
    <row r="414" spans="1:4" x14ac:dyDescent="0.45">
      <c r="A414" s="15">
        <v>48976</v>
      </c>
      <c r="B414" s="17">
        <f>IF(Kurse="konstant",tbl_Kurse[[#This Row],[Kurse konst.]],tbl_Kurse[[#This Row],[Kurse indiv.]])</f>
        <v>35960.660000000003</v>
      </c>
      <c r="C414" s="17">
        <v>35960.660000000003</v>
      </c>
      <c r="D414" s="17">
        <f t="shared" si="6"/>
        <v>381.92005</v>
      </c>
    </row>
    <row r="415" spans="1:4" x14ac:dyDescent="0.45">
      <c r="A415" s="15">
        <v>49004</v>
      </c>
      <c r="B415" s="17">
        <f>IF(Kurse="konstant",tbl_Kurse[[#This Row],[Kurse konst.]],tbl_Kurse[[#This Row],[Kurse indiv.]])</f>
        <v>36244.31</v>
      </c>
      <c r="C415" s="17">
        <v>36244.31</v>
      </c>
      <c r="D415" s="17">
        <f t="shared" si="6"/>
        <v>383.17036000000002</v>
      </c>
    </row>
    <row r="416" spans="1:4" x14ac:dyDescent="0.45">
      <c r="A416" s="15">
        <v>49035</v>
      </c>
      <c r="B416" s="17">
        <f>IF(Kurse="konstant",tbl_Kurse[[#This Row],[Kurse konst.]],tbl_Kurse[[#This Row],[Kurse indiv.]])</f>
        <v>36530.199999999997</v>
      </c>
      <c r="C416" s="17">
        <v>36530.199999999997</v>
      </c>
      <c r="D416" s="17">
        <f t="shared" si="6"/>
        <v>384.42475999999999</v>
      </c>
    </row>
    <row r="417" spans="1:4" x14ac:dyDescent="0.45">
      <c r="A417" s="15">
        <v>49065</v>
      </c>
      <c r="B417" s="17">
        <f>IF(Kurse="konstant",tbl_Kurse[[#This Row],[Kurse konst.]],tbl_Kurse[[#This Row],[Kurse indiv.]])</f>
        <v>36818.339999999997</v>
      </c>
      <c r="C417" s="17">
        <v>36818.339999999997</v>
      </c>
      <c r="D417" s="17">
        <f t="shared" si="6"/>
        <v>385.68326999999999</v>
      </c>
    </row>
    <row r="418" spans="1:4" x14ac:dyDescent="0.45">
      <c r="A418" s="15">
        <v>49096</v>
      </c>
      <c r="B418" s="17">
        <f>IF(Kurse="konstant",tbl_Kurse[[#This Row],[Kurse konst.]],tbl_Kurse[[#This Row],[Kurse indiv.]])</f>
        <v>37108.76</v>
      </c>
      <c r="C418" s="17">
        <v>37108.76</v>
      </c>
      <c r="D418" s="17">
        <f t="shared" si="6"/>
        <v>386.94589999999999</v>
      </c>
    </row>
    <row r="419" spans="1:4" x14ac:dyDescent="0.45">
      <c r="A419" s="15">
        <v>49126</v>
      </c>
      <c r="B419" s="17">
        <f>IF(Kurse="konstant",tbl_Kurse[[#This Row],[Kurse konst.]],tbl_Kurse[[#This Row],[Kurse indiv.]])</f>
        <v>37401.47</v>
      </c>
      <c r="C419" s="17">
        <v>37401.47</v>
      </c>
      <c r="D419" s="17">
        <f t="shared" si="6"/>
        <v>388.21266000000003</v>
      </c>
    </row>
    <row r="420" spans="1:4" x14ac:dyDescent="0.45">
      <c r="A420" s="15">
        <v>49157</v>
      </c>
      <c r="B420" s="17">
        <f>IF(Kurse="konstant",tbl_Kurse[[#This Row],[Kurse konst.]],tbl_Kurse[[#This Row],[Kurse indiv.]])</f>
        <v>37696.480000000003</v>
      </c>
      <c r="C420" s="17">
        <v>37696.480000000003</v>
      </c>
      <c r="D420" s="17">
        <f t="shared" si="6"/>
        <v>389.48356999999999</v>
      </c>
    </row>
    <row r="421" spans="1:4" x14ac:dyDescent="0.45">
      <c r="A421" s="15">
        <v>49188</v>
      </c>
      <c r="B421" s="17">
        <f>IF(Kurse="konstant",tbl_Kurse[[#This Row],[Kurse konst.]],tbl_Kurse[[#This Row],[Kurse indiv.]])</f>
        <v>37993.82</v>
      </c>
      <c r="C421" s="17">
        <v>37993.82</v>
      </c>
      <c r="D421" s="17">
        <f t="shared" si="6"/>
        <v>390.75864000000001</v>
      </c>
    </row>
    <row r="422" spans="1:4" x14ac:dyDescent="0.45">
      <c r="A422" s="15">
        <v>49218</v>
      </c>
      <c r="B422" s="17">
        <f>IF(Kurse="konstant",tbl_Kurse[[#This Row],[Kurse konst.]],tbl_Kurse[[#This Row],[Kurse indiv.]])</f>
        <v>38293.51</v>
      </c>
      <c r="C422" s="17">
        <v>38293.51</v>
      </c>
      <c r="D422" s="17">
        <f t="shared" si="6"/>
        <v>392.03787999999997</v>
      </c>
    </row>
    <row r="423" spans="1:4" x14ac:dyDescent="0.45">
      <c r="A423" s="15">
        <v>49249</v>
      </c>
      <c r="B423" s="17">
        <f>IF(Kurse="konstant",tbl_Kurse[[#This Row],[Kurse konst.]],tbl_Kurse[[#This Row],[Kurse indiv.]])</f>
        <v>38595.57</v>
      </c>
      <c r="C423" s="17">
        <v>38595.57</v>
      </c>
      <c r="D423" s="17">
        <f t="shared" si="6"/>
        <v>393.32130999999998</v>
      </c>
    </row>
    <row r="424" spans="1:4" x14ac:dyDescent="0.45">
      <c r="A424" s="15">
        <v>49279</v>
      </c>
      <c r="B424" s="17">
        <f>IF(Kurse="konstant",tbl_Kurse[[#This Row],[Kurse konst.]],tbl_Kurse[[#This Row],[Kurse indiv.]])</f>
        <v>38900</v>
      </c>
      <c r="C424" s="17">
        <v>38900</v>
      </c>
      <c r="D424" s="17">
        <f t="shared" si="6"/>
        <v>394.60894000000002</v>
      </c>
    </row>
    <row r="425" spans="1:4" x14ac:dyDescent="0.45">
      <c r="A425" s="15">
        <v>49310</v>
      </c>
      <c r="B425" s="17">
        <f>IF(Kurse="konstant",tbl_Kurse[[#This Row],[Kurse konst.]],tbl_Kurse[[#This Row],[Kurse indiv.]])</f>
        <v>39078.75</v>
      </c>
      <c r="C425" s="17">
        <v>39078.75</v>
      </c>
      <c r="D425" s="17">
        <f t="shared" si="6"/>
        <v>395.90078999999997</v>
      </c>
    </row>
    <row r="426" spans="1:4" x14ac:dyDescent="0.45">
      <c r="A426" s="15">
        <v>49341</v>
      </c>
      <c r="B426" s="17">
        <f>IF(Kurse="konstant",tbl_Kurse[[#This Row],[Kurse konst.]],tbl_Kurse[[#This Row],[Kurse indiv.]])</f>
        <v>39258.31</v>
      </c>
      <c r="C426" s="17">
        <v>39258.31</v>
      </c>
      <c r="D426" s="17">
        <f t="shared" si="6"/>
        <v>397.19686999999999</v>
      </c>
    </row>
    <row r="427" spans="1:4" x14ac:dyDescent="0.45">
      <c r="A427" s="15">
        <v>49369</v>
      </c>
      <c r="B427" s="17">
        <f>IF(Kurse="konstant",tbl_Kurse[[#This Row],[Kurse konst.]],tbl_Kurse[[#This Row],[Kurse indiv.]])</f>
        <v>39438.71</v>
      </c>
      <c r="C427" s="17">
        <v>39438.71</v>
      </c>
      <c r="D427" s="17">
        <f t="shared" si="6"/>
        <v>398.49718999999999</v>
      </c>
    </row>
    <row r="428" spans="1:4" x14ac:dyDescent="0.45">
      <c r="A428" s="15">
        <v>49400</v>
      </c>
      <c r="B428" s="17">
        <f>IF(Kurse="konstant",tbl_Kurse[[#This Row],[Kurse konst.]],tbl_Kurse[[#This Row],[Kurse indiv.]])</f>
        <v>39619.93</v>
      </c>
      <c r="C428" s="17">
        <v>39619.93</v>
      </c>
      <c r="D428" s="17">
        <f t="shared" si="6"/>
        <v>399.80176999999998</v>
      </c>
    </row>
    <row r="429" spans="1:4" x14ac:dyDescent="0.45">
      <c r="A429" s="15">
        <v>49430</v>
      </c>
      <c r="B429" s="17">
        <f>IF(Kurse="konstant",tbl_Kurse[[#This Row],[Kurse konst.]],tbl_Kurse[[#This Row],[Kurse indiv.]])</f>
        <v>39801.980000000003</v>
      </c>
      <c r="C429" s="17">
        <v>39801.980000000003</v>
      </c>
      <c r="D429" s="17">
        <f t="shared" si="6"/>
        <v>401.11061999999998</v>
      </c>
    </row>
    <row r="430" spans="1:4" x14ac:dyDescent="0.45">
      <c r="A430" s="15">
        <v>49461</v>
      </c>
      <c r="B430" s="17">
        <f>IF(Kurse="konstant",tbl_Kurse[[#This Row],[Kurse konst.]],tbl_Kurse[[#This Row],[Kurse indiv.]])</f>
        <v>39984.870000000003</v>
      </c>
      <c r="C430" s="17">
        <v>39984.870000000003</v>
      </c>
      <c r="D430" s="17">
        <f t="shared" si="6"/>
        <v>402.42374999999998</v>
      </c>
    </row>
    <row r="431" spans="1:4" x14ac:dyDescent="0.45">
      <c r="A431" s="15">
        <v>49491</v>
      </c>
      <c r="B431" s="17">
        <f>IF(Kurse="konstant",tbl_Kurse[[#This Row],[Kurse konst.]],tbl_Kurse[[#This Row],[Kurse indiv.]])</f>
        <v>40168.6</v>
      </c>
      <c r="C431" s="17">
        <v>40168.6</v>
      </c>
      <c r="D431" s="17">
        <f t="shared" si="6"/>
        <v>403.74117999999999</v>
      </c>
    </row>
    <row r="432" spans="1:4" x14ac:dyDescent="0.45">
      <c r="A432" s="15">
        <v>49522</v>
      </c>
      <c r="B432" s="17">
        <f>IF(Kurse="konstant",tbl_Kurse[[#This Row],[Kurse konst.]],tbl_Kurse[[#This Row],[Kurse indiv.]])</f>
        <v>40353.18</v>
      </c>
      <c r="C432" s="17">
        <v>40353.18</v>
      </c>
      <c r="D432" s="17">
        <f t="shared" si="6"/>
        <v>405.06292000000002</v>
      </c>
    </row>
    <row r="433" spans="1:4" x14ac:dyDescent="0.45">
      <c r="A433" s="15">
        <v>49553</v>
      </c>
      <c r="B433" s="17">
        <f>IF(Kurse="konstant",tbl_Kurse[[#This Row],[Kurse konst.]],tbl_Kurse[[#This Row],[Kurse indiv.]])</f>
        <v>40538.6</v>
      </c>
      <c r="C433" s="17">
        <v>40538.6</v>
      </c>
      <c r="D433" s="17">
        <f t="shared" si="6"/>
        <v>406.38898999999998</v>
      </c>
    </row>
    <row r="434" spans="1:4" x14ac:dyDescent="0.45">
      <c r="A434" s="15">
        <v>49583</v>
      </c>
      <c r="B434" s="17">
        <f>IF(Kurse="konstant",tbl_Kurse[[#This Row],[Kurse konst.]],tbl_Kurse[[#This Row],[Kurse indiv.]])</f>
        <v>40724.879999999997</v>
      </c>
      <c r="C434" s="17">
        <v>40724.879999999997</v>
      </c>
      <c r="D434" s="17">
        <f t="shared" si="6"/>
        <v>407.71940000000001</v>
      </c>
    </row>
    <row r="435" spans="1:4" x14ac:dyDescent="0.45">
      <c r="A435" s="15">
        <v>49614</v>
      </c>
      <c r="B435" s="17">
        <f>IF(Kurse="konstant",tbl_Kurse[[#This Row],[Kurse konst.]],tbl_Kurse[[#This Row],[Kurse indiv.]])</f>
        <v>40912.01</v>
      </c>
      <c r="C435" s="17">
        <v>40912.01</v>
      </c>
      <c r="D435" s="17">
        <f t="shared" si="6"/>
        <v>409.05417</v>
      </c>
    </row>
    <row r="436" spans="1:4" x14ac:dyDescent="0.45">
      <c r="A436" s="15">
        <v>49644</v>
      </c>
      <c r="B436" s="17">
        <f>IF(Kurse="konstant",tbl_Kurse[[#This Row],[Kurse konst.]],tbl_Kurse[[#This Row],[Kurse indiv.]])</f>
        <v>41100</v>
      </c>
      <c r="C436" s="17">
        <v>41100</v>
      </c>
      <c r="D436" s="17">
        <f t="shared" si="6"/>
        <v>410.39330999999999</v>
      </c>
    </row>
    <row r="437" spans="1:4" x14ac:dyDescent="0.45">
      <c r="A437" s="15">
        <v>49675</v>
      </c>
      <c r="B437" s="17">
        <f>IF(Kurse="konstant",tbl_Kurse[[#This Row],[Kurse konst.]],tbl_Kurse[[#This Row],[Kurse indiv.]])</f>
        <v>40964.230000000003</v>
      </c>
      <c r="C437" s="17">
        <v>40964.230000000003</v>
      </c>
      <c r="D437" s="17">
        <f t="shared" si="6"/>
        <v>411.73683</v>
      </c>
    </row>
    <row r="438" spans="1:4" x14ac:dyDescent="0.45">
      <c r="A438" s="15">
        <v>49706</v>
      </c>
      <c r="B438" s="17">
        <f>IF(Kurse="konstant",tbl_Kurse[[#This Row],[Kurse konst.]],tbl_Kurse[[#This Row],[Kurse indiv.]])</f>
        <v>40828.9</v>
      </c>
      <c r="C438" s="17">
        <v>40828.9</v>
      </c>
      <c r="D438" s="17">
        <f t="shared" si="6"/>
        <v>413.08474999999999</v>
      </c>
    </row>
    <row r="439" spans="1:4" x14ac:dyDescent="0.45">
      <c r="A439" s="15">
        <v>49735</v>
      </c>
      <c r="B439" s="17">
        <f>IF(Kurse="konstant",tbl_Kurse[[#This Row],[Kurse konst.]],tbl_Kurse[[#This Row],[Kurse indiv.]])</f>
        <v>40694.019999999997</v>
      </c>
      <c r="C439" s="17">
        <v>40694.019999999997</v>
      </c>
      <c r="D439" s="17">
        <f t="shared" si="6"/>
        <v>414.43707999999998</v>
      </c>
    </row>
    <row r="440" spans="1:4" x14ac:dyDescent="0.45">
      <c r="A440" s="15">
        <v>49766</v>
      </c>
      <c r="B440" s="17">
        <f>IF(Kurse="konstant",tbl_Kurse[[#This Row],[Kurse konst.]],tbl_Kurse[[#This Row],[Kurse indiv.]])</f>
        <v>40559.589999999997</v>
      </c>
      <c r="C440" s="17">
        <v>40559.589999999997</v>
      </c>
      <c r="D440" s="17">
        <f t="shared" si="6"/>
        <v>415.79383999999999</v>
      </c>
    </row>
    <row r="441" spans="1:4" x14ac:dyDescent="0.45">
      <c r="A441" s="15">
        <v>49796</v>
      </c>
      <c r="B441" s="17">
        <f>IF(Kurse="konstant",tbl_Kurse[[#This Row],[Kurse konst.]],tbl_Kurse[[#This Row],[Kurse indiv.]])</f>
        <v>40425.599999999999</v>
      </c>
      <c r="C441" s="17">
        <v>40425.599999999999</v>
      </c>
      <c r="D441" s="17">
        <f t="shared" si="6"/>
        <v>417.15503999999999</v>
      </c>
    </row>
    <row r="442" spans="1:4" x14ac:dyDescent="0.45">
      <c r="A442" s="15">
        <v>49827</v>
      </c>
      <c r="B442" s="17">
        <f>IF(Kurse="konstant",tbl_Kurse[[#This Row],[Kurse konst.]],tbl_Kurse[[#This Row],[Kurse indiv.]])</f>
        <v>40292.06</v>
      </c>
      <c r="C442" s="17">
        <v>40292.06</v>
      </c>
      <c r="D442" s="17">
        <f t="shared" si="6"/>
        <v>418.52069999999998</v>
      </c>
    </row>
    <row r="443" spans="1:4" x14ac:dyDescent="0.45">
      <c r="A443" s="15">
        <v>49857</v>
      </c>
      <c r="B443" s="17">
        <f>IF(Kurse="konstant",tbl_Kurse[[#This Row],[Kurse konst.]],tbl_Kurse[[#This Row],[Kurse indiv.]])</f>
        <v>40158.949999999997</v>
      </c>
      <c r="C443" s="17">
        <v>40158.949999999997</v>
      </c>
      <c r="D443" s="17">
        <f t="shared" si="6"/>
        <v>419.89082999999999</v>
      </c>
    </row>
    <row r="444" spans="1:4" x14ac:dyDescent="0.45">
      <c r="A444" s="15">
        <v>49888</v>
      </c>
      <c r="B444" s="17">
        <f>IF(Kurse="konstant",tbl_Kurse[[#This Row],[Kurse konst.]],tbl_Kurse[[#This Row],[Kurse indiv.]])</f>
        <v>40026.29</v>
      </c>
      <c r="C444" s="17">
        <v>40026.29</v>
      </c>
      <c r="D444" s="17">
        <f t="shared" si="6"/>
        <v>421.26544000000001</v>
      </c>
    </row>
    <row r="445" spans="1:4" x14ac:dyDescent="0.45">
      <c r="A445" s="15">
        <v>49919</v>
      </c>
      <c r="B445" s="17">
        <f>IF(Kurse="konstant",tbl_Kurse[[#This Row],[Kurse konst.]],tbl_Kurse[[#This Row],[Kurse indiv.]])</f>
        <v>39894.06</v>
      </c>
      <c r="C445" s="17">
        <v>39894.06</v>
      </c>
      <c r="D445" s="17">
        <f t="shared" si="6"/>
        <v>422.64454999999998</v>
      </c>
    </row>
    <row r="446" spans="1:4" x14ac:dyDescent="0.45">
      <c r="A446" s="15">
        <v>49949</v>
      </c>
      <c r="B446" s="17">
        <f>IF(Kurse="konstant",tbl_Kurse[[#This Row],[Kurse konst.]],tbl_Kurse[[#This Row],[Kurse indiv.]])</f>
        <v>39762.269999999997</v>
      </c>
      <c r="C446" s="17">
        <v>39762.269999999997</v>
      </c>
      <c r="D446" s="17">
        <f t="shared" si="6"/>
        <v>424.02818000000002</v>
      </c>
    </row>
    <row r="447" spans="1:4" x14ac:dyDescent="0.45">
      <c r="A447" s="15">
        <v>49980</v>
      </c>
      <c r="B447" s="17">
        <f>IF(Kurse="konstant",tbl_Kurse[[#This Row],[Kurse konst.]],tbl_Kurse[[#This Row],[Kurse indiv.]])</f>
        <v>39630.92</v>
      </c>
      <c r="C447" s="17">
        <v>39630.92</v>
      </c>
      <c r="D447" s="17">
        <f t="shared" si="6"/>
        <v>425.41633999999999</v>
      </c>
    </row>
    <row r="448" spans="1:4" x14ac:dyDescent="0.45">
      <c r="A448" s="15">
        <v>50010</v>
      </c>
      <c r="B448" s="17">
        <f>IF(Kurse="konstant",tbl_Kurse[[#This Row],[Kurse konst.]],tbl_Kurse[[#This Row],[Kurse indiv.]])</f>
        <v>39500</v>
      </c>
      <c r="C448" s="17">
        <v>39500</v>
      </c>
      <c r="D448" s="17">
        <f t="shared" si="6"/>
        <v>426.80903999999998</v>
      </c>
    </row>
    <row r="449" spans="1:4" x14ac:dyDescent="0.45">
      <c r="A449" s="15">
        <v>50041</v>
      </c>
      <c r="B449" s="17">
        <f>IF(Kurse="konstant",tbl_Kurse[[#This Row],[Kurse konst.]],tbl_Kurse[[#This Row],[Kurse indiv.]])</f>
        <v>39916.629999999997</v>
      </c>
      <c r="C449" s="17">
        <v>39916.629999999997</v>
      </c>
      <c r="D449" s="17">
        <f t="shared" si="6"/>
        <v>428.2063</v>
      </c>
    </row>
    <row r="450" spans="1:4" x14ac:dyDescent="0.45">
      <c r="A450" s="15">
        <v>50072</v>
      </c>
      <c r="B450" s="17">
        <f>IF(Kurse="konstant",tbl_Kurse[[#This Row],[Kurse konst.]],tbl_Kurse[[#This Row],[Kurse indiv.]])</f>
        <v>40337.65</v>
      </c>
      <c r="C450" s="17">
        <v>40337.65</v>
      </c>
      <c r="D450" s="17">
        <f t="shared" si="6"/>
        <v>429.60813999999999</v>
      </c>
    </row>
    <row r="451" spans="1:4" x14ac:dyDescent="0.45">
      <c r="A451" s="15">
        <v>50100</v>
      </c>
      <c r="B451" s="17">
        <f>IF(Kurse="konstant",tbl_Kurse[[#This Row],[Kurse konst.]],tbl_Kurse[[#This Row],[Kurse indiv.]])</f>
        <v>40763.11</v>
      </c>
      <c r="C451" s="17">
        <v>40763.11</v>
      </c>
      <c r="D451" s="17">
        <f t="shared" si="6"/>
        <v>431.01456999999999</v>
      </c>
    </row>
    <row r="452" spans="1:4" x14ac:dyDescent="0.45">
      <c r="A452" s="15">
        <v>50131</v>
      </c>
      <c r="B452" s="17">
        <f>IF(Kurse="konstant",tbl_Kurse[[#This Row],[Kurse konst.]],tbl_Kurse[[#This Row],[Kurse indiv.]])</f>
        <v>41193.06</v>
      </c>
      <c r="C452" s="17">
        <v>41193.06</v>
      </c>
      <c r="D452" s="17">
        <f t="shared" si="6"/>
        <v>432.42559999999997</v>
      </c>
    </row>
    <row r="453" spans="1:4" x14ac:dyDescent="0.45">
      <c r="A453" s="15">
        <v>50161</v>
      </c>
      <c r="B453" s="17">
        <f>IF(Kurse="konstant",tbl_Kurse[[#This Row],[Kurse konst.]],tbl_Kurse[[#This Row],[Kurse indiv.]])</f>
        <v>41627.550000000003</v>
      </c>
      <c r="C453" s="17">
        <v>41627.550000000003</v>
      </c>
      <c r="D453" s="17">
        <f t="shared" si="6"/>
        <v>433.84125</v>
      </c>
    </row>
    <row r="454" spans="1:4" x14ac:dyDescent="0.45">
      <c r="A454" s="15">
        <v>50192</v>
      </c>
      <c r="B454" s="17">
        <f>IF(Kurse="konstant",tbl_Kurse[[#This Row],[Kurse konst.]],tbl_Kurse[[#This Row],[Kurse indiv.]])</f>
        <v>42066.61</v>
      </c>
      <c r="C454" s="17">
        <v>42066.61</v>
      </c>
      <c r="D454" s="17">
        <f t="shared" ref="D454:D496" si="7">ROUND(D453*(1+Performance)^(1/12),5)</f>
        <v>435.26152999999999</v>
      </c>
    </row>
    <row r="455" spans="1:4" x14ac:dyDescent="0.45">
      <c r="A455" s="15">
        <v>50222</v>
      </c>
      <c r="B455" s="17">
        <f>IF(Kurse="konstant",tbl_Kurse[[#This Row],[Kurse konst.]],tbl_Kurse[[#This Row],[Kurse indiv.]])</f>
        <v>42510.31</v>
      </c>
      <c r="C455" s="17">
        <v>42510.31</v>
      </c>
      <c r="D455" s="17">
        <f t="shared" si="7"/>
        <v>436.68646000000001</v>
      </c>
    </row>
    <row r="456" spans="1:4" x14ac:dyDescent="0.45">
      <c r="A456" s="15">
        <v>50253</v>
      </c>
      <c r="B456" s="17">
        <f>IF(Kurse="konstant",tbl_Kurse[[#This Row],[Kurse konst.]],tbl_Kurse[[#This Row],[Kurse indiv.]])</f>
        <v>42958.69</v>
      </c>
      <c r="C456" s="17">
        <v>42958.69</v>
      </c>
      <c r="D456" s="17">
        <f t="shared" si="7"/>
        <v>438.11606</v>
      </c>
    </row>
    <row r="457" spans="1:4" x14ac:dyDescent="0.45">
      <c r="A457" s="15">
        <v>50284</v>
      </c>
      <c r="B457" s="17">
        <f>IF(Kurse="konstant",tbl_Kurse[[#This Row],[Kurse konst.]],tbl_Kurse[[#This Row],[Kurse indiv.]])</f>
        <v>43411.8</v>
      </c>
      <c r="C457" s="17">
        <v>43411.8</v>
      </c>
      <c r="D457" s="17">
        <f t="shared" si="7"/>
        <v>439.55034000000001</v>
      </c>
    </row>
    <row r="458" spans="1:4" x14ac:dyDescent="0.45">
      <c r="A458" s="15">
        <v>50314</v>
      </c>
      <c r="B458" s="17">
        <f>IF(Kurse="konstant",tbl_Kurse[[#This Row],[Kurse konst.]],tbl_Kurse[[#This Row],[Kurse indiv.]])</f>
        <v>43869.69</v>
      </c>
      <c r="C458" s="17">
        <v>43869.69</v>
      </c>
      <c r="D458" s="17">
        <f t="shared" si="7"/>
        <v>440.98930999999999</v>
      </c>
    </row>
    <row r="459" spans="1:4" x14ac:dyDescent="0.45">
      <c r="A459" s="15">
        <v>50345</v>
      </c>
      <c r="B459" s="17">
        <f>IF(Kurse="konstant",tbl_Kurse[[#This Row],[Kurse konst.]],tbl_Kurse[[#This Row],[Kurse indiv.]])</f>
        <v>44332.4</v>
      </c>
      <c r="C459" s="17">
        <v>44332.4</v>
      </c>
      <c r="D459" s="17">
        <f t="shared" si="7"/>
        <v>442.43299000000002</v>
      </c>
    </row>
    <row r="460" spans="1:4" x14ac:dyDescent="0.45">
      <c r="A460" s="15">
        <v>50375</v>
      </c>
      <c r="B460" s="17">
        <f>IF(Kurse="konstant",tbl_Kurse[[#This Row],[Kurse konst.]],tbl_Kurse[[#This Row],[Kurse indiv.]])</f>
        <v>44800</v>
      </c>
      <c r="C460" s="17">
        <v>44800</v>
      </c>
      <c r="D460" s="17">
        <f t="shared" si="7"/>
        <v>443.88139999999999</v>
      </c>
    </row>
    <row r="461" spans="1:4" x14ac:dyDescent="0.45">
      <c r="A461" s="15">
        <v>50406</v>
      </c>
      <c r="B461" s="17">
        <f>IF(Kurse="konstant",tbl_Kurse[[#This Row],[Kurse konst.]],tbl_Kurse[[#This Row],[Kurse indiv.]])</f>
        <v>45081.72</v>
      </c>
      <c r="C461" s="17">
        <v>45081.72</v>
      </c>
      <c r="D461" s="17">
        <f t="shared" si="7"/>
        <v>445.33454999999998</v>
      </c>
    </row>
    <row r="462" spans="1:4" x14ac:dyDescent="0.45">
      <c r="A462" s="15">
        <v>50437</v>
      </c>
      <c r="B462" s="17">
        <f>IF(Kurse="konstant",tbl_Kurse[[#This Row],[Kurse konst.]],tbl_Kurse[[#This Row],[Kurse indiv.]])</f>
        <v>45365.2</v>
      </c>
      <c r="C462" s="17">
        <v>45365.2</v>
      </c>
      <c r="D462" s="17">
        <f t="shared" si="7"/>
        <v>446.79246000000001</v>
      </c>
    </row>
    <row r="463" spans="1:4" x14ac:dyDescent="0.45">
      <c r="A463" s="15">
        <v>50465</v>
      </c>
      <c r="B463" s="17">
        <f>IF(Kurse="konstant",tbl_Kurse[[#This Row],[Kurse konst.]],tbl_Kurse[[#This Row],[Kurse indiv.]])</f>
        <v>45650.47</v>
      </c>
      <c r="C463" s="17">
        <v>45650.47</v>
      </c>
      <c r="D463" s="17">
        <f t="shared" si="7"/>
        <v>448.25513999999998</v>
      </c>
    </row>
    <row r="464" spans="1:4" x14ac:dyDescent="0.45">
      <c r="A464" s="15">
        <v>50496</v>
      </c>
      <c r="B464" s="17">
        <f>IF(Kurse="konstant",tbl_Kurse[[#This Row],[Kurse konst.]],tbl_Kurse[[#This Row],[Kurse indiv.]])</f>
        <v>45937.54</v>
      </c>
      <c r="C464" s="17">
        <v>45937.54</v>
      </c>
      <c r="D464" s="17">
        <f t="shared" si="7"/>
        <v>449.72260999999997</v>
      </c>
    </row>
    <row r="465" spans="1:4" x14ac:dyDescent="0.45">
      <c r="A465" s="15">
        <v>50526</v>
      </c>
      <c r="B465" s="17">
        <f>IF(Kurse="konstant",tbl_Kurse[[#This Row],[Kurse konst.]],tbl_Kurse[[#This Row],[Kurse indiv.]])</f>
        <v>46226.41</v>
      </c>
      <c r="C465" s="17">
        <v>46226.41</v>
      </c>
      <c r="D465" s="17">
        <f t="shared" si="7"/>
        <v>451.19488000000001</v>
      </c>
    </row>
    <row r="466" spans="1:4" x14ac:dyDescent="0.45">
      <c r="A466" s="15">
        <v>50557</v>
      </c>
      <c r="B466" s="17">
        <f>IF(Kurse="konstant",tbl_Kurse[[#This Row],[Kurse konst.]],tbl_Kurse[[#This Row],[Kurse indiv.]])</f>
        <v>46517.09</v>
      </c>
      <c r="C466" s="17">
        <v>46517.09</v>
      </c>
      <c r="D466" s="17">
        <f t="shared" si="7"/>
        <v>452.67196999999999</v>
      </c>
    </row>
    <row r="467" spans="1:4" x14ac:dyDescent="0.45">
      <c r="A467" s="15">
        <v>50587</v>
      </c>
      <c r="B467" s="17">
        <f>IF(Kurse="konstant",tbl_Kurse[[#This Row],[Kurse konst.]],tbl_Kurse[[#This Row],[Kurse indiv.]])</f>
        <v>46809.61</v>
      </c>
      <c r="C467" s="17">
        <v>46809.61</v>
      </c>
      <c r="D467" s="17">
        <f t="shared" si="7"/>
        <v>454.15390000000002</v>
      </c>
    </row>
    <row r="468" spans="1:4" x14ac:dyDescent="0.45">
      <c r="A468" s="15">
        <v>50618</v>
      </c>
      <c r="B468" s="17">
        <f>IF(Kurse="konstant",tbl_Kurse[[#This Row],[Kurse konst.]],tbl_Kurse[[#This Row],[Kurse indiv.]])</f>
        <v>47103.96</v>
      </c>
      <c r="C468" s="17">
        <v>47103.96</v>
      </c>
      <c r="D468" s="17">
        <f t="shared" si="7"/>
        <v>455.64067999999997</v>
      </c>
    </row>
    <row r="469" spans="1:4" x14ac:dyDescent="0.45">
      <c r="A469" s="15">
        <v>50649</v>
      </c>
      <c r="B469" s="17">
        <f>IF(Kurse="konstant",tbl_Kurse[[#This Row],[Kurse konst.]],tbl_Kurse[[#This Row],[Kurse indiv.]])</f>
        <v>47400.160000000003</v>
      </c>
      <c r="C469" s="17">
        <v>47400.160000000003</v>
      </c>
      <c r="D469" s="17">
        <f t="shared" si="7"/>
        <v>457.13233000000002</v>
      </c>
    </row>
    <row r="470" spans="1:4" x14ac:dyDescent="0.45">
      <c r="A470" s="15">
        <v>50679</v>
      </c>
      <c r="B470" s="17">
        <f>IF(Kurse="konstant",tbl_Kurse[[#This Row],[Kurse konst.]],tbl_Kurse[[#This Row],[Kurse indiv.]])</f>
        <v>47698.23</v>
      </c>
      <c r="C470" s="17">
        <v>47698.23</v>
      </c>
      <c r="D470" s="17">
        <f t="shared" si="7"/>
        <v>458.62885999999997</v>
      </c>
    </row>
    <row r="471" spans="1:4" x14ac:dyDescent="0.45">
      <c r="A471" s="15">
        <v>50710</v>
      </c>
      <c r="B471" s="17">
        <f>IF(Kurse="konstant",tbl_Kurse[[#This Row],[Kurse konst.]],tbl_Kurse[[#This Row],[Kurse indiv.]])</f>
        <v>47998.17</v>
      </c>
      <c r="C471" s="17">
        <v>47998.17</v>
      </c>
      <c r="D471" s="17">
        <f t="shared" si="7"/>
        <v>460.13029</v>
      </c>
    </row>
    <row r="472" spans="1:4" x14ac:dyDescent="0.45">
      <c r="A472" s="15">
        <v>50740</v>
      </c>
      <c r="B472" s="17">
        <f>IF(Kurse="konstant",tbl_Kurse[[#This Row],[Kurse konst.]],tbl_Kurse[[#This Row],[Kurse indiv.]])</f>
        <v>48300</v>
      </c>
      <c r="C472" s="17">
        <v>48300</v>
      </c>
      <c r="D472" s="17">
        <f t="shared" si="7"/>
        <v>461.63664</v>
      </c>
    </row>
    <row r="473" spans="1:4" x14ac:dyDescent="0.45">
      <c r="A473" s="15">
        <v>50771</v>
      </c>
      <c r="B473" s="17">
        <f>IF(Kurse="konstant",tbl_Kurse[[#This Row],[Kurse konst.]],tbl_Kurse[[#This Row],[Kurse indiv.]])</f>
        <v>48644.49</v>
      </c>
      <c r="C473" s="17">
        <v>48644.49</v>
      </c>
      <c r="D473" s="17">
        <f t="shared" si="7"/>
        <v>463.14792</v>
      </c>
    </row>
    <row r="474" spans="1:4" x14ac:dyDescent="0.45">
      <c r="A474" s="15">
        <v>50802</v>
      </c>
      <c r="B474" s="17">
        <f>IF(Kurse="konstant",tbl_Kurse[[#This Row],[Kurse konst.]],tbl_Kurse[[#This Row],[Kurse indiv.]])</f>
        <v>48991.44</v>
      </c>
      <c r="C474" s="17">
        <v>48991.44</v>
      </c>
      <c r="D474" s="17">
        <f t="shared" si="7"/>
        <v>464.66415000000001</v>
      </c>
    </row>
    <row r="475" spans="1:4" x14ac:dyDescent="0.45">
      <c r="A475" s="15">
        <v>50830</v>
      </c>
      <c r="B475" s="17">
        <f>IF(Kurse="konstant",tbl_Kurse[[#This Row],[Kurse konst.]],tbl_Kurse[[#This Row],[Kurse indiv.]])</f>
        <v>49340.87</v>
      </c>
      <c r="C475" s="17">
        <v>49340.87</v>
      </c>
      <c r="D475" s="17">
        <f t="shared" si="7"/>
        <v>466.18534</v>
      </c>
    </row>
    <row r="476" spans="1:4" x14ac:dyDescent="0.45">
      <c r="A476" s="15">
        <v>50861</v>
      </c>
      <c r="B476" s="17">
        <f>IF(Kurse="konstant",tbl_Kurse[[#This Row],[Kurse konst.]],tbl_Kurse[[#This Row],[Kurse indiv.]])</f>
        <v>49692.78</v>
      </c>
      <c r="C476" s="17">
        <v>49692.78</v>
      </c>
      <c r="D476" s="17">
        <f t="shared" si="7"/>
        <v>467.71150999999998</v>
      </c>
    </row>
    <row r="477" spans="1:4" x14ac:dyDescent="0.45">
      <c r="A477" s="15">
        <v>50891</v>
      </c>
      <c r="B477" s="17">
        <f>IF(Kurse="konstant",tbl_Kurse[[#This Row],[Kurse konst.]],tbl_Kurse[[#This Row],[Kurse indiv.]])</f>
        <v>50047.21</v>
      </c>
      <c r="C477" s="17">
        <v>50047.21</v>
      </c>
      <c r="D477" s="17">
        <f t="shared" si="7"/>
        <v>469.24268000000001</v>
      </c>
    </row>
    <row r="478" spans="1:4" x14ac:dyDescent="0.45">
      <c r="A478" s="15">
        <v>50922</v>
      </c>
      <c r="B478" s="17">
        <f>IF(Kurse="konstant",tbl_Kurse[[#This Row],[Kurse konst.]],tbl_Kurse[[#This Row],[Kurse indiv.]])</f>
        <v>50404.17</v>
      </c>
      <c r="C478" s="17">
        <v>50404.17</v>
      </c>
      <c r="D478" s="17">
        <f t="shared" si="7"/>
        <v>470.77886000000001</v>
      </c>
    </row>
    <row r="479" spans="1:4" x14ac:dyDescent="0.45">
      <c r="A479" s="15">
        <v>50952</v>
      </c>
      <c r="B479" s="17">
        <f>IF(Kurse="konstant",tbl_Kurse[[#This Row],[Kurse konst.]],tbl_Kurse[[#This Row],[Kurse indiv.]])</f>
        <v>50763.67</v>
      </c>
      <c r="C479" s="17">
        <v>50763.67</v>
      </c>
      <c r="D479" s="17">
        <f t="shared" si="7"/>
        <v>472.32006999999999</v>
      </c>
    </row>
    <row r="480" spans="1:4" x14ac:dyDescent="0.45">
      <c r="A480" s="15">
        <v>50983</v>
      </c>
      <c r="B480" s="17">
        <f>IF(Kurse="konstant",tbl_Kurse[[#This Row],[Kurse konst.]],tbl_Kurse[[#This Row],[Kurse indiv.]])</f>
        <v>51125.73</v>
      </c>
      <c r="C480" s="17">
        <v>51125.73</v>
      </c>
      <c r="D480" s="17">
        <f t="shared" si="7"/>
        <v>473.86631999999997</v>
      </c>
    </row>
    <row r="481" spans="1:4" x14ac:dyDescent="0.45">
      <c r="A481" s="15">
        <v>51014</v>
      </c>
      <c r="B481" s="17">
        <f>IF(Kurse="konstant",tbl_Kurse[[#This Row],[Kurse konst.]],tbl_Kurse[[#This Row],[Kurse indiv.]])</f>
        <v>51490.38</v>
      </c>
      <c r="C481" s="17">
        <v>51490.38</v>
      </c>
      <c r="D481" s="17">
        <f t="shared" si="7"/>
        <v>475.41764000000001</v>
      </c>
    </row>
    <row r="482" spans="1:4" x14ac:dyDescent="0.45">
      <c r="A482" s="15">
        <v>51044</v>
      </c>
      <c r="B482" s="17">
        <f>IF(Kurse="konstant",tbl_Kurse[[#This Row],[Kurse konst.]],tbl_Kurse[[#This Row],[Kurse indiv.]])</f>
        <v>51857.63</v>
      </c>
      <c r="C482" s="17">
        <v>51857.63</v>
      </c>
      <c r="D482" s="17">
        <f t="shared" si="7"/>
        <v>476.97403000000003</v>
      </c>
    </row>
    <row r="483" spans="1:4" x14ac:dyDescent="0.45">
      <c r="A483" s="15">
        <v>51075</v>
      </c>
      <c r="B483" s="17">
        <f>IF(Kurse="konstant",tbl_Kurse[[#This Row],[Kurse konst.]],tbl_Kurse[[#This Row],[Kurse indiv.]])</f>
        <v>52227.49</v>
      </c>
      <c r="C483" s="17">
        <v>52227.49</v>
      </c>
      <c r="D483" s="17">
        <f t="shared" si="7"/>
        <v>478.53552000000002</v>
      </c>
    </row>
    <row r="484" spans="1:4" x14ac:dyDescent="0.45">
      <c r="A484" s="15">
        <v>51105</v>
      </c>
      <c r="B484" s="17">
        <f>IF(Kurse="konstant",tbl_Kurse[[#This Row],[Kurse konst.]],tbl_Kurse[[#This Row],[Kurse indiv.]])</f>
        <v>52600</v>
      </c>
      <c r="C484" s="17">
        <v>52600</v>
      </c>
      <c r="D484" s="17">
        <f t="shared" si="7"/>
        <v>480.10212000000001</v>
      </c>
    </row>
    <row r="485" spans="1:4" x14ac:dyDescent="0.45">
      <c r="A485" s="15">
        <v>51136</v>
      </c>
      <c r="B485" s="17">
        <f>IF(Kurse="konstant",tbl_Kurse[[#This Row],[Kurse konst.]],tbl_Kurse[[#This Row],[Kurse indiv.]])</f>
        <v>52906.64</v>
      </c>
      <c r="C485" s="17">
        <v>52906.64</v>
      </c>
      <c r="D485" s="17">
        <f t="shared" si="7"/>
        <v>481.67385000000002</v>
      </c>
    </row>
    <row r="486" spans="1:4" x14ac:dyDescent="0.45">
      <c r="A486" s="15">
        <v>51167</v>
      </c>
      <c r="B486" s="17">
        <f>IF(Kurse="konstant",tbl_Kurse[[#This Row],[Kurse konst.]],tbl_Kurse[[#This Row],[Kurse indiv.]])</f>
        <v>53215.07</v>
      </c>
      <c r="C486" s="17">
        <v>53215.07</v>
      </c>
      <c r="D486" s="17">
        <f t="shared" si="7"/>
        <v>483.25072</v>
      </c>
    </row>
    <row r="487" spans="1:4" x14ac:dyDescent="0.45">
      <c r="A487" s="15">
        <v>51196</v>
      </c>
      <c r="B487" s="17">
        <f>IF(Kurse="konstant",tbl_Kurse[[#This Row],[Kurse konst.]],tbl_Kurse[[#This Row],[Kurse indiv.]])</f>
        <v>53525.3</v>
      </c>
      <c r="C487" s="17">
        <v>53525.3</v>
      </c>
      <c r="D487" s="17">
        <f t="shared" si="7"/>
        <v>484.83276000000001</v>
      </c>
    </row>
    <row r="488" spans="1:4" x14ac:dyDescent="0.45">
      <c r="A488" s="15">
        <v>51227</v>
      </c>
      <c r="B488" s="17">
        <f>IF(Kurse="konstant",tbl_Kurse[[#This Row],[Kurse konst.]],tbl_Kurse[[#This Row],[Kurse indiv.]])</f>
        <v>53837.33</v>
      </c>
      <c r="C488" s="17">
        <v>53837.33</v>
      </c>
      <c r="D488" s="17">
        <f t="shared" si="7"/>
        <v>486.41998000000001</v>
      </c>
    </row>
    <row r="489" spans="1:4" x14ac:dyDescent="0.45">
      <c r="A489" s="15">
        <v>51257</v>
      </c>
      <c r="B489" s="17">
        <f>IF(Kurse="konstant",tbl_Kurse[[#This Row],[Kurse konst.]],tbl_Kurse[[#This Row],[Kurse indiv.]])</f>
        <v>54151.19</v>
      </c>
      <c r="C489" s="17">
        <v>54151.19</v>
      </c>
      <c r="D489" s="17">
        <f t="shared" si="7"/>
        <v>488.01238999999998</v>
      </c>
    </row>
    <row r="490" spans="1:4" x14ac:dyDescent="0.45">
      <c r="A490" s="15">
        <v>51288</v>
      </c>
      <c r="B490" s="17">
        <f>IF(Kurse="konstant",tbl_Kurse[[#This Row],[Kurse konst.]],tbl_Kurse[[#This Row],[Kurse indiv.]])</f>
        <v>54466.87</v>
      </c>
      <c r="C490" s="17">
        <v>54466.87</v>
      </c>
      <c r="D490" s="17">
        <f t="shared" si="7"/>
        <v>489.61002000000002</v>
      </c>
    </row>
    <row r="491" spans="1:4" x14ac:dyDescent="0.45">
      <c r="A491" s="15">
        <v>51318</v>
      </c>
      <c r="B491" s="17">
        <f>IF(Kurse="konstant",tbl_Kurse[[#This Row],[Kurse konst.]],tbl_Kurse[[#This Row],[Kurse indiv.]])</f>
        <v>54784.4</v>
      </c>
      <c r="C491" s="17">
        <v>54784.4</v>
      </c>
      <c r="D491" s="17">
        <f t="shared" si="7"/>
        <v>491.21287999999998</v>
      </c>
    </row>
    <row r="492" spans="1:4" x14ac:dyDescent="0.45">
      <c r="A492" s="15">
        <v>51349</v>
      </c>
      <c r="B492" s="17">
        <f>IF(Kurse="konstant",tbl_Kurse[[#This Row],[Kurse konst.]],tbl_Kurse[[#This Row],[Kurse indiv.]])</f>
        <v>55103.77</v>
      </c>
      <c r="C492" s="17">
        <v>55103.77</v>
      </c>
      <c r="D492" s="17">
        <f t="shared" si="7"/>
        <v>492.82098000000002</v>
      </c>
    </row>
    <row r="493" spans="1:4" x14ac:dyDescent="0.45">
      <c r="A493" s="15">
        <v>51380</v>
      </c>
      <c r="B493" s="17">
        <f>IF(Kurse="konstant",tbl_Kurse[[#This Row],[Kurse konst.]],tbl_Kurse[[#This Row],[Kurse indiv.]])</f>
        <v>55425.01</v>
      </c>
      <c r="C493" s="17">
        <v>55425.01</v>
      </c>
      <c r="D493" s="17">
        <f t="shared" si="7"/>
        <v>494.43434999999999</v>
      </c>
    </row>
    <row r="494" spans="1:4" x14ac:dyDescent="0.45">
      <c r="A494" s="15">
        <v>51410</v>
      </c>
      <c r="B494" s="17">
        <f>IF(Kurse="konstant",tbl_Kurse[[#This Row],[Kurse konst.]],tbl_Kurse[[#This Row],[Kurse indiv.]])</f>
        <v>55748.12</v>
      </c>
      <c r="C494" s="17">
        <v>55748.12</v>
      </c>
      <c r="D494" s="17">
        <f t="shared" si="7"/>
        <v>496.053</v>
      </c>
    </row>
    <row r="495" spans="1:4" x14ac:dyDescent="0.45">
      <c r="A495" s="15">
        <v>51441</v>
      </c>
      <c r="B495" s="17">
        <f>IF(Kurse="konstant",tbl_Kurse[[#This Row],[Kurse konst.]],tbl_Kurse[[#This Row],[Kurse indiv.]])</f>
        <v>56073.11</v>
      </c>
      <c r="C495" s="17">
        <v>56073.11</v>
      </c>
      <c r="D495" s="17">
        <f t="shared" si="7"/>
        <v>497.67694999999998</v>
      </c>
    </row>
    <row r="496" spans="1:4" x14ac:dyDescent="0.45">
      <c r="A496" s="15">
        <v>51471</v>
      </c>
      <c r="B496" s="17">
        <f>IF(Kurse="konstant",tbl_Kurse[[#This Row],[Kurse konst.]],tbl_Kurse[[#This Row],[Kurse indiv.]])</f>
        <v>56400</v>
      </c>
      <c r="C496" s="17">
        <v>56400</v>
      </c>
      <c r="D496" s="17">
        <f t="shared" si="7"/>
        <v>499.30621000000002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2FAB-B710-4BC4-96C6-B73301951B74}">
  <sheetPr codeName="Tabelle3"/>
  <dimension ref="A3:E127"/>
  <sheetViews>
    <sheetView workbookViewId="0">
      <pane xSplit="1" ySplit="3" topLeftCell="B16" activePane="bottomRight" state="frozen"/>
      <selection activeCell="U4" sqref="U4"/>
      <selection pane="topRight" activeCell="U4" sqref="U4"/>
      <selection pane="bottomLeft" activeCell="U4" sqref="U4"/>
      <selection pane="bottomRight" activeCell="C11" sqref="C11"/>
    </sheetView>
  </sheetViews>
  <sheetFormatPr baseColWidth="10" defaultColWidth="15.86328125" defaultRowHeight="12.75" x14ac:dyDescent="0.35"/>
  <cols>
    <col min="1" max="16384" width="15.86328125" style="2"/>
  </cols>
  <sheetData>
    <row r="3" spans="1:5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 x14ac:dyDescent="0.35">
      <c r="A4" s="2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35">
      <c r="A5" s="2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35">
      <c r="A6" s="2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35">
      <c r="A7" s="2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35">
      <c r="A8" s="2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35">
      <c r="A9" s="2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35">
      <c r="A10" s="2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35">
      <c r="A11" s="2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35">
      <c r="A12" s="2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35">
      <c r="A13" s="2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35">
      <c r="A14" s="2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35">
      <c r="A15" s="2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35">
      <c r="A16" s="2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35">
      <c r="A17" s="2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35">
      <c r="A18" s="2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35">
      <c r="A19" s="2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35">
      <c r="A20" s="2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35">
      <c r="A21" s="2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35">
      <c r="A22" s="2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35">
      <c r="A23" s="2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35">
      <c r="A24" s="2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35">
      <c r="A25" s="2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35">
      <c r="A26" s="2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35">
      <c r="A27" s="2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35">
      <c r="A28" s="2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35">
      <c r="A29" s="2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35">
      <c r="A30" s="2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35">
      <c r="A31" s="2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35">
      <c r="A32" s="2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35">
      <c r="A33" s="2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35">
      <c r="A34" s="2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35">
      <c r="A35" s="2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35">
      <c r="A36" s="2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35">
      <c r="A37" s="2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35">
      <c r="A38" s="2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35">
      <c r="A39" s="2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35">
      <c r="A40" s="2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35">
      <c r="A41" s="2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35">
      <c r="A42" s="2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35">
      <c r="A43" s="2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35">
      <c r="A44" s="2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35">
      <c r="A45" s="2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35">
      <c r="A46" s="2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35">
      <c r="A47" s="2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35">
      <c r="A48" s="2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35">
      <c r="A49" s="2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35">
      <c r="A50" s="2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35">
      <c r="A51" s="2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35">
      <c r="A52" s="2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35">
      <c r="A53" s="2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35">
      <c r="A54" s="2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35">
      <c r="A55" s="2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35">
      <c r="A56" s="2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35">
      <c r="A57" s="2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35">
      <c r="A58" s="2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35">
      <c r="A59" s="2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35">
      <c r="A60" s="2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35">
      <c r="A61" s="2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35">
      <c r="A62" s="2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35">
      <c r="A63" s="2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35">
      <c r="A64" s="2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35">
      <c r="A65" s="2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35">
      <c r="A66" s="2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35">
      <c r="A67" s="2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35">
      <c r="A68" s="2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35">
      <c r="A69" s="2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35">
      <c r="A70" s="2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35">
      <c r="A71" s="2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35">
      <c r="A72" s="2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35">
      <c r="A73" s="2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35">
      <c r="A74" s="2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35">
      <c r="A75" s="2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35">
      <c r="A76" s="2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35">
      <c r="A77" s="2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35">
      <c r="A78" s="2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35">
      <c r="A79" s="2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35">
      <c r="A80" s="2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35">
      <c r="A81" s="2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35">
      <c r="A82" s="2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35">
      <c r="A83" s="2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35">
      <c r="A84" s="2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35">
      <c r="A85" s="2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35">
      <c r="A86" s="2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35">
      <c r="A87" s="2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35">
      <c r="A88" s="2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35">
      <c r="A89" s="2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35">
      <c r="A90" s="2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35">
      <c r="A91" s="2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35">
      <c r="A92" s="2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35">
      <c r="A93" s="2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35">
      <c r="A94" s="2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35">
      <c r="A95" s="2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35">
      <c r="A96" s="2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35">
      <c r="A97" s="2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35">
      <c r="A98" s="2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35">
      <c r="A99" s="2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35">
      <c r="A100" s="2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35">
      <c r="A101" s="2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35">
      <c r="A102" s="2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35">
      <c r="A103" s="2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35">
      <c r="A104" s="2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35">
      <c r="A105" s="2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35">
      <c r="A106" s="2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35">
      <c r="A107" s="2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35">
      <c r="A108" s="2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35">
      <c r="A109" s="2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35">
      <c r="A110" s="2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35">
      <c r="A111" s="2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35">
      <c r="A112" s="2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35">
      <c r="A113" s="2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35">
      <c r="A114" s="2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35">
      <c r="A115" s="2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35">
      <c r="A116" s="2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35">
      <c r="A117" s="2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35">
      <c r="A118" s="2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35">
      <c r="A119" s="2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35">
      <c r="A120" s="2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35">
      <c r="A121" s="2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35">
      <c r="A122" s="2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35">
      <c r="A123" s="2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35">
      <c r="A124" s="2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35">
      <c r="A125" s="2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35">
      <c r="A126" s="2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35">
      <c r="A127" s="2">
        <v>123</v>
      </c>
      <c r="B127" s="3">
        <v>1</v>
      </c>
      <c r="C127" s="3">
        <v>1</v>
      </c>
      <c r="D127" s="3">
        <v>1</v>
      </c>
      <c r="E127" s="3">
        <v>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20</vt:i4>
      </vt:variant>
    </vt:vector>
  </HeadingPairs>
  <TitlesOfParts>
    <vt:vector size="24" baseType="lpstr">
      <vt:lpstr>Daten</vt:lpstr>
      <vt:lpstr>Kalkulation</vt:lpstr>
      <vt:lpstr>Kurse</vt:lpstr>
      <vt:lpstr>Tafeln</vt:lpstr>
      <vt:lpstr>AblDat</vt:lpstr>
      <vt:lpstr>BegDat</vt:lpstr>
      <vt:lpstr>BeiSum</vt:lpstr>
      <vt:lpstr>Beitrag</vt:lpstr>
      <vt:lpstr>BZDauer</vt:lpstr>
      <vt:lpstr>dat_Wertstand</vt:lpstr>
      <vt:lpstr>Dauer</vt:lpstr>
      <vt:lpstr>GebDat</vt:lpstr>
      <vt:lpstr>Geschlecht</vt:lpstr>
      <vt:lpstr>Kurse</vt:lpstr>
      <vt:lpstr>m_Tafeln</vt:lpstr>
      <vt:lpstr>MRSum</vt:lpstr>
      <vt:lpstr>MTS</vt:lpstr>
      <vt:lpstr>MTSum</vt:lpstr>
      <vt:lpstr>Performance</vt:lpstr>
      <vt:lpstr>Tarifart</vt:lpstr>
      <vt:lpstr>v_Tafeln</vt:lpstr>
      <vt:lpstr>v_x</vt:lpstr>
      <vt:lpstr>x</vt:lpstr>
      <vt:lpstr>Zahlweise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Noetzel</dc:creator>
  <cp:lastModifiedBy>Dirk Nötzel</cp:lastModifiedBy>
  <dcterms:created xsi:type="dcterms:W3CDTF">2026-05-20T16:13:12Z</dcterms:created>
  <dcterms:modified xsi:type="dcterms:W3CDTF">2026-05-30T18:04:13Z</dcterms:modified>
</cp:coreProperties>
</file>