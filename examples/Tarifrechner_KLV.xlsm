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vtmw-my.sharepoint.com/personal/arno_rasch_vtmw_de/Documents/vtmw/DAV/LLM-Lösung/Updated_TarifRechner_Pipeline_mit_AutoTest/"/>
    </mc:Choice>
  </mc:AlternateContent>
  <xr:revisionPtr revIDLastSave="41" documentId="8_{69C568E0-9439-4A3F-883A-97813B63E349}" xr6:coauthVersionLast="47" xr6:coauthVersionMax="47" xr10:uidLastSave="{0DE6DDFE-FAD3-4EED-AB24-777035029967}"/>
  <bookViews>
    <workbookView xWindow="-108" yWindow="-108" windowWidth="23256" windowHeight="13896" xr2:uid="{00000000-000D-0000-FFFF-FFFF00000000}"/>
  </bookViews>
  <sheets>
    <sheet name="Kalkulation" sheetId="7" r:id="rId1"/>
    <sheet name="Tafeln" sheetId="5" r:id="rId2"/>
  </sheets>
  <functionGroups builtInGroupCount="19"/>
  <definedNames>
    <definedName name="_xleta.MAX" hidden="1" xlm="1">#NAME?</definedName>
    <definedName name="alpha">Kalkulation!$E$6</definedName>
    <definedName name="B_xt">Kalkulation!$K$5</definedName>
    <definedName name="beta1">Kalkulation!$E$7</definedName>
    <definedName name="BJB">Kalkulation!$K$6</definedName>
    <definedName name="gamma1">Kalkulation!$E$8</definedName>
    <definedName name="gamma2">Kalkulation!$E$9</definedName>
    <definedName name="gamma3">Kalkulation!$E$10</definedName>
    <definedName name="k">Kalkulation!$E$11</definedName>
    <definedName name="m_Tafeln">Tafeln!$B$4:$E$127</definedName>
    <definedName name="MinAlterFlex">Kalkulation!$H$4</definedName>
    <definedName name="MinRLZFlex">Kalkulation!$H$5</definedName>
    <definedName name="n">Kalkulation!$B$6</definedName>
    <definedName name="P_xt">Kalkulation!$K$9</definedName>
    <definedName name="ratzu">Kalkulation!$E$12</definedName>
    <definedName name="Sex">Kalkulation!$B$5</definedName>
    <definedName name="t">Kalkulation!$B$7</definedName>
    <definedName name="Tafel">Kalkulation!$E$5</definedName>
    <definedName name="v_Tafeln">Tafeln!$B$3:$E$3</definedName>
    <definedName name="v_x">Tafeln!$A$4:$A$127</definedName>
    <definedName name="VS">Kalkulation!$B$8</definedName>
    <definedName name="x">Kalkulation!$B$4</definedName>
    <definedName name="Zins">Kalkulation!$E$4</definedName>
    <definedName name="zw">Kalkulation!$B$9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6" i="7" l="1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I57" i="7"/>
  <c r="J57" i="7" s="1"/>
  <c r="I56" i="7"/>
  <c r="I55" i="7"/>
  <c r="I54" i="7"/>
  <c r="I53" i="7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I45" i="7"/>
  <c r="J45" i="7" s="1"/>
  <c r="I44" i="7"/>
  <c r="I43" i="7"/>
  <c r="J43" i="7" s="1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J58" i="7"/>
  <c r="J55" i="7"/>
  <c r="J46" i="7"/>
  <c r="J56" i="7"/>
  <c r="J54" i="7"/>
  <c r="J53" i="7"/>
  <c r="J44" i="7"/>
  <c r="J42" i="7"/>
  <c r="J41" i="7"/>
  <c r="B17" i="7" a="1"/>
  <c r="B17" i="7" l="1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B66" i="7" a="1"/>
  <c r="B66" i="7" s="1"/>
  <c r="B65" i="7" a="1"/>
  <c r="B65" i="7" s="1"/>
  <c r="B64" i="7" a="1"/>
  <c r="B64" i="7" s="1"/>
  <c r="B63" i="7" a="1"/>
  <c r="B63" i="7" s="1"/>
  <c r="B62" i="7" a="1"/>
  <c r="B62" i="7" s="1"/>
  <c r="B61" i="7" a="1"/>
  <c r="B61" i="7" s="1"/>
  <c r="B60" i="7" a="1"/>
  <c r="B60" i="7" s="1"/>
  <c r="B59" i="7" a="1"/>
  <c r="B59" i="7" s="1"/>
  <c r="B58" i="7" a="1"/>
  <c r="B58" i="7" s="1"/>
  <c r="B57" i="7" a="1"/>
  <c r="B57" i="7" s="1"/>
  <c r="B56" i="7" a="1"/>
  <c r="B56" i="7" s="1"/>
  <c r="B55" i="7" a="1"/>
  <c r="B55" i="7" s="1"/>
  <c r="B54" i="7" a="1"/>
  <c r="B54" i="7" s="1"/>
  <c r="B53" i="7" a="1"/>
  <c r="B53" i="7" s="1"/>
  <c r="B52" i="7" a="1"/>
  <c r="B52" i="7" s="1"/>
  <c r="B51" i="7" a="1"/>
  <c r="B51" i="7" s="1"/>
  <c r="B50" i="7" a="1"/>
  <c r="B50" i="7" s="1"/>
  <c r="B49" i="7" a="1"/>
  <c r="B49" i="7" s="1"/>
  <c r="B48" i="7" a="1"/>
  <c r="B48" i="7" s="1"/>
  <c r="B47" i="7" a="1"/>
  <c r="B47" i="7" s="1"/>
  <c r="B21" i="7" a="1"/>
  <c r="B39" i="7" a="1"/>
  <c r="C48" i="7" a="1"/>
  <c r="D47" i="7" a="1"/>
  <c r="D39" i="7" a="1"/>
  <c r="C18" i="7" a="1"/>
  <c r="D66" i="7" a="1"/>
  <c r="D51" i="7" a="1"/>
  <c r="D45" i="7" a="1"/>
  <c r="C19" i="7" a="1"/>
  <c r="D41" i="7" a="1"/>
  <c r="C21" i="7" a="1"/>
  <c r="D64" i="7" a="1"/>
  <c r="C36" i="7" a="1"/>
  <c r="C35" i="7" a="1"/>
  <c r="C54" i="7" a="1"/>
  <c r="C34" i="7" a="1"/>
  <c r="D19" i="7" a="1"/>
  <c r="B43" i="7" a="1"/>
  <c r="C55" i="7" a="1"/>
  <c r="C43" i="7" a="1"/>
  <c r="D60" i="7" a="1"/>
  <c r="B25" i="7" a="1"/>
  <c r="D56" i="7" a="1"/>
  <c r="D59" i="7" a="1"/>
  <c r="B46" i="7" a="1"/>
  <c r="C27" i="7" a="1"/>
  <c r="C41" i="7" a="1"/>
  <c r="D55" i="7" a="1"/>
  <c r="C30" i="7" a="1"/>
  <c r="D49" i="7" a="1"/>
  <c r="D30" i="7" a="1"/>
  <c r="C58" i="7" a="1"/>
  <c r="B36" i="7" a="1"/>
  <c r="C38" i="7" a="1"/>
  <c r="C60" i="7" a="1"/>
  <c r="D40" i="7" a="1"/>
  <c r="B23" i="7" a="1"/>
  <c r="B31" i="7" a="1"/>
  <c r="D61" i="7" a="1"/>
  <c r="B16" i="7" a="1"/>
  <c r="D52" i="7" a="1"/>
  <c r="B18" i="7" a="1"/>
  <c r="C62" i="7" a="1"/>
  <c r="D53" i="7" a="1"/>
  <c r="D18" i="7" a="1"/>
  <c r="D42" i="7" a="1"/>
  <c r="B27" i="7" a="1"/>
  <c r="B22" i="7" a="1"/>
  <c r="C49" i="7" a="1"/>
  <c r="C29" i="7" a="1"/>
  <c r="C61" i="7" a="1"/>
  <c r="C45" i="7" a="1"/>
  <c r="C28" i="7" a="1"/>
  <c r="B20" i="7" a="1"/>
  <c r="D37" i="7" a="1"/>
  <c r="B29" i="7" a="1"/>
  <c r="C25" i="7" a="1"/>
  <c r="D36" i="7" a="1"/>
  <c r="D62" i="7" a="1"/>
  <c r="C66" i="7" a="1"/>
  <c r="C26" i="7" a="1"/>
  <c r="D65" i="7" a="1"/>
  <c r="B30" i="7" a="1"/>
  <c r="C47" i="7" a="1"/>
  <c r="D28" i="7" a="1"/>
  <c r="D17" i="7" a="1"/>
  <c r="D31" i="7" a="1"/>
  <c r="C53" i="7" a="1"/>
  <c r="C52" i="7" a="1"/>
  <c r="D57" i="7" a="1"/>
  <c r="D23" i="7" a="1"/>
  <c r="C50" i="7" a="1"/>
  <c r="C59" i="7" a="1"/>
  <c r="D27" i="7" a="1"/>
  <c r="D29" i="7" a="1"/>
  <c r="D44" i="7" a="1"/>
  <c r="D54" i="7" a="1"/>
  <c r="B34" i="7" a="1"/>
  <c r="B32" i="7" a="1"/>
  <c r="B45" i="7" a="1"/>
  <c r="B38" i="7" a="1"/>
  <c r="D35" i="7" a="1"/>
  <c r="D32" i="7" a="1"/>
  <c r="D43" i="7" a="1"/>
  <c r="D48" i="7" a="1"/>
  <c r="C32" i="7" a="1"/>
  <c r="B44" i="7" a="1"/>
  <c r="C42" i="7" a="1"/>
  <c r="B33" i="7" a="1"/>
  <c r="C65" i="7" a="1"/>
  <c r="D24" i="7" a="1"/>
  <c r="C17" i="7" a="1"/>
  <c r="D50" i="7" a="1"/>
  <c r="D16" i="7" a="1"/>
  <c r="C23" i="7" a="1"/>
  <c r="B19" i="7" a="1"/>
  <c r="D22" i="7" a="1"/>
  <c r="D46" i="7" a="1"/>
  <c r="C24" i="7" a="1"/>
  <c r="C56" i="7" a="1"/>
  <c r="C63" i="7" a="1"/>
  <c r="D34" i="7" a="1"/>
  <c r="B35" i="7" a="1"/>
  <c r="C20" i="7" a="1"/>
  <c r="B41" i="7" a="1"/>
  <c r="C40" i="7" a="1"/>
  <c r="D25" i="7" a="1"/>
  <c r="D26" i="7" a="1"/>
  <c r="D38" i="7" a="1"/>
  <c r="C33" i="7" a="1"/>
  <c r="C37" i="7" a="1"/>
  <c r="B42" i="7" a="1"/>
  <c r="D21" i="7" a="1"/>
  <c r="D58" i="7" a="1"/>
  <c r="C44" i="7" a="1"/>
  <c r="B40" i="7" a="1"/>
  <c r="C22" i="7" a="1"/>
  <c r="B28" i="7" a="1"/>
  <c r="C46" i="7" a="1"/>
  <c r="C51" i="7" a="1"/>
  <c r="C16" i="7" a="1"/>
  <c r="C31" i="7" a="1"/>
  <c r="C39" i="7" a="1"/>
  <c r="B24" i="7" a="1"/>
  <c r="K5" i="7" a="1"/>
  <c r="D63" i="7" a="1"/>
  <c r="B26" i="7" a="1"/>
  <c r="D20" i="7" a="1"/>
  <c r="D33" i="7" a="1"/>
  <c r="C57" i="7" a="1"/>
  <c r="B37" i="7" a="1"/>
  <c r="C64" i="7" a="1"/>
  <c r="B38" i="7" l="1"/>
  <c r="B41" i="7"/>
  <c r="B40" i="7"/>
  <c r="B37" i="7"/>
  <c r="B39" i="7"/>
  <c r="B42" i="7"/>
  <c r="B43" i="7"/>
  <c r="B44" i="7"/>
  <c r="B46" i="7"/>
  <c r="B45" i="7"/>
  <c r="C34" i="7"/>
  <c r="C19" i="7"/>
  <c r="C25" i="7"/>
  <c r="C31" i="7"/>
  <c r="C61" i="7"/>
  <c r="G61" i="7" s="1"/>
  <c r="D19" i="7"/>
  <c r="D22" i="7"/>
  <c r="D25" i="7"/>
  <c r="D28" i="7"/>
  <c r="D34" i="7"/>
  <c r="D37" i="7"/>
  <c r="D40" i="7"/>
  <c r="D43" i="7"/>
  <c r="D46" i="7"/>
  <c r="D49" i="7"/>
  <c r="D52" i="7"/>
  <c r="D55" i="7"/>
  <c r="D58" i="7"/>
  <c r="D61" i="7"/>
  <c r="D64" i="7"/>
  <c r="C58" i="7"/>
  <c r="G58" i="7" s="1"/>
  <c r="D31" i="7"/>
  <c r="C22" i="7"/>
  <c r="C28" i="7"/>
  <c r="C64" i="7"/>
  <c r="G64" i="7" s="1"/>
  <c r="C17" i="7"/>
  <c r="C20" i="7"/>
  <c r="C23" i="7"/>
  <c r="C26" i="7"/>
  <c r="C29" i="7"/>
  <c r="C35" i="7"/>
  <c r="C38" i="7"/>
  <c r="C41" i="7"/>
  <c r="G41" i="7" s="1"/>
  <c r="C44" i="7"/>
  <c r="C47" i="7"/>
  <c r="G47" i="7" s="1"/>
  <c r="C50" i="7"/>
  <c r="G50" i="7" s="1"/>
  <c r="C53" i="7"/>
  <c r="G53" i="7" s="1"/>
  <c r="C56" i="7"/>
  <c r="G56" i="7" s="1"/>
  <c r="C59" i="7"/>
  <c r="G59" i="7" s="1"/>
  <c r="C62" i="7"/>
  <c r="G62" i="7" s="1"/>
  <c r="C65" i="7"/>
  <c r="G65" i="7" s="1"/>
  <c r="C37" i="7"/>
  <c r="C32" i="7"/>
  <c r="C43" i="7"/>
  <c r="D17" i="7"/>
  <c r="D29" i="7"/>
  <c r="D35" i="7"/>
  <c r="D38" i="7"/>
  <c r="D41" i="7"/>
  <c r="D47" i="7"/>
  <c r="D50" i="7"/>
  <c r="D53" i="7"/>
  <c r="D56" i="7"/>
  <c r="D59" i="7"/>
  <c r="D62" i="7"/>
  <c r="D65" i="7"/>
  <c r="C49" i="7"/>
  <c r="G49" i="7" s="1"/>
  <c r="D44" i="7"/>
  <c r="C52" i="7"/>
  <c r="G52" i="7" s="1"/>
  <c r="D32" i="7"/>
  <c r="C18" i="7"/>
  <c r="C21" i="7"/>
  <c r="C24" i="7"/>
  <c r="C27" i="7"/>
  <c r="C30" i="7"/>
  <c r="C33" i="7"/>
  <c r="C36" i="7"/>
  <c r="C39" i="7"/>
  <c r="C42" i="7"/>
  <c r="C45" i="7"/>
  <c r="C48" i="7"/>
  <c r="G48" i="7" s="1"/>
  <c r="C51" i="7"/>
  <c r="G51" i="7" s="1"/>
  <c r="C54" i="7"/>
  <c r="G54" i="7" s="1"/>
  <c r="C57" i="7"/>
  <c r="G57" i="7" s="1"/>
  <c r="C60" i="7"/>
  <c r="G60" i="7" s="1"/>
  <c r="C63" i="7"/>
  <c r="G63" i="7" s="1"/>
  <c r="C66" i="7"/>
  <c r="G66" i="7" s="1"/>
  <c r="C55" i="7"/>
  <c r="G55" i="7" s="1"/>
  <c r="D23" i="7"/>
  <c r="C46" i="7"/>
  <c r="D20" i="7"/>
  <c r="D18" i="7"/>
  <c r="D21" i="7"/>
  <c r="D24" i="7"/>
  <c r="D27" i="7"/>
  <c r="D30" i="7"/>
  <c r="D33" i="7"/>
  <c r="D36" i="7"/>
  <c r="D39" i="7"/>
  <c r="D42" i="7"/>
  <c r="D45" i="7"/>
  <c r="D48" i="7"/>
  <c r="D51" i="7"/>
  <c r="D54" i="7"/>
  <c r="D57" i="7"/>
  <c r="D60" i="7"/>
  <c r="D63" i="7"/>
  <c r="D66" i="7"/>
  <c r="C40" i="7"/>
  <c r="D26" i="7"/>
  <c r="D16" i="7"/>
  <c r="C16" i="7"/>
  <c r="B19" i="7"/>
  <c r="B25" i="7"/>
  <c r="B31" i="7"/>
  <c r="B24" i="7"/>
  <c r="B20" i="7"/>
  <c r="B23" i="7"/>
  <c r="B18" i="7"/>
  <c r="B36" i="7"/>
  <c r="B26" i="7"/>
  <c r="B32" i="7"/>
  <c r="B35" i="7"/>
  <c r="B21" i="7"/>
  <c r="B27" i="7"/>
  <c r="B33" i="7"/>
  <c r="B29" i="7"/>
  <c r="B28" i="7"/>
  <c r="B22" i="7"/>
  <c r="B34" i="7"/>
  <c r="B30" i="7"/>
  <c r="B16" i="7"/>
  <c r="K5" i="7"/>
  <c r="K9" i="7" a="1"/>
  <c r="G37" i="7" l="1"/>
  <c r="G42" i="7"/>
  <c r="G39" i="7"/>
  <c r="G44" i="7"/>
  <c r="G38" i="7"/>
  <c r="G40" i="7"/>
  <c r="G43" i="7"/>
  <c r="G45" i="7"/>
  <c r="G46" i="7"/>
  <c r="K9" i="7"/>
  <c r="G16" i="7"/>
  <c r="G36" i="7"/>
  <c r="G30" i="7"/>
  <c r="G18" i="7"/>
  <c r="G27" i="7"/>
  <c r="G34" i="7"/>
  <c r="G23" i="7"/>
  <c r="G22" i="7"/>
  <c r="G17" i="7"/>
  <c r="G28" i="7"/>
  <c r="G20" i="7"/>
  <c r="G29" i="7"/>
  <c r="G24" i="7"/>
  <c r="G33" i="7"/>
  <c r="G31" i="7"/>
  <c r="G25" i="7"/>
  <c r="G32" i="7"/>
  <c r="G21" i="7"/>
  <c r="G19" i="7"/>
  <c r="G35" i="7"/>
  <c r="G26" i="7"/>
  <c r="E55" i="7" a="1"/>
  <c r="E52" i="7" a="1"/>
  <c r="E52" i="7" l="1"/>
  <c r="E55" i="7"/>
  <c r="E29" i="7" a="1"/>
  <c r="E41" i="7" a="1"/>
  <c r="E44" i="7" a="1"/>
  <c r="E60" i="7" a="1"/>
  <c r="E36" i="7" a="1"/>
  <c r="E32" i="7" a="1"/>
  <c r="E22" i="7" a="1"/>
  <c r="E45" i="7" a="1"/>
  <c r="E34" i="7" a="1"/>
  <c r="E58" i="7" a="1"/>
  <c r="E25" i="7" a="1"/>
  <c r="E24" i="7" a="1"/>
  <c r="E21" i="7" a="1"/>
  <c r="E35" i="7" a="1"/>
  <c r="E53" i="7" a="1"/>
  <c r="E63" i="7" a="1"/>
  <c r="E57" i="7" a="1"/>
  <c r="E56" i="7" a="1"/>
  <c r="E40" i="7" a="1"/>
  <c r="E62" i="7" a="1"/>
  <c r="E37" i="7" a="1"/>
  <c r="E65" i="7" a="1"/>
  <c r="E48" i="7" a="1"/>
  <c r="E16" i="7" a="1"/>
  <c r="E20" i="7" a="1"/>
  <c r="E27" i="7" a="1"/>
  <c r="E61" i="7" a="1"/>
  <c r="E30" i="7" a="1"/>
  <c r="E64" i="7" a="1"/>
  <c r="E31" i="7" a="1"/>
  <c r="E43" i="7" a="1"/>
  <c r="E39" i="7" a="1"/>
  <c r="E28" i="7" a="1"/>
  <c r="E46" i="7" a="1"/>
  <c r="E17" i="7" a="1"/>
  <c r="E54" i="7" a="1"/>
  <c r="E19" i="7" a="1"/>
  <c r="E51" i="7" a="1"/>
  <c r="E49" i="7" a="1"/>
  <c r="E33" i="7" a="1"/>
  <c r="E23" i="7" a="1"/>
  <c r="E18" i="7" a="1"/>
  <c r="E38" i="7" a="1"/>
  <c r="E47" i="7" a="1"/>
  <c r="E59" i="7" a="1"/>
  <c r="E66" i="7" a="1"/>
  <c r="E26" i="7" a="1"/>
  <c r="E50" i="7" a="1"/>
  <c r="E42" i="7" a="1"/>
  <c r="E39" i="7" l="1"/>
  <c r="E31" i="7"/>
  <c r="E37" i="7"/>
  <c r="E40" i="7"/>
  <c r="E21" i="7"/>
  <c r="E22" i="7"/>
  <c r="E60" i="7"/>
  <c r="E29" i="7"/>
  <c r="E27" i="7"/>
  <c r="E19" i="7"/>
  <c r="E57" i="7"/>
  <c r="E45" i="7"/>
  <c r="E32" i="7"/>
  <c r="E42" i="7"/>
  <c r="E26" i="7"/>
  <c r="E33" i="7"/>
  <c r="E65" i="7"/>
  <c r="E56" i="7"/>
  <c r="E24" i="7"/>
  <c r="E23" i="7"/>
  <c r="E49" i="7"/>
  <c r="E47" i="7"/>
  <c r="E28" i="7"/>
  <c r="E63" i="7"/>
  <c r="E18" i="7"/>
  <c r="E20" i="7"/>
  <c r="E48" i="7"/>
  <c r="E53" i="7"/>
  <c r="E34" i="7"/>
  <c r="E25" i="7"/>
  <c r="E64" i="7"/>
  <c r="E38" i="7"/>
  <c r="E62" i="7"/>
  <c r="E41" i="7"/>
  <c r="E44" i="7"/>
  <c r="E46" i="7"/>
  <c r="E30" i="7"/>
  <c r="E58" i="7"/>
  <c r="E35" i="7"/>
  <c r="E54" i="7"/>
  <c r="E51" i="7"/>
  <c r="E50" i="7"/>
  <c r="E66" i="7"/>
  <c r="E17" i="7"/>
  <c r="E36" i="7"/>
  <c r="E16" i="7"/>
  <c r="E59" i="7"/>
  <c r="E61" i="7"/>
  <c r="E43" i="7"/>
  <c r="E12" i="7"/>
  <c r="K6" i="7" l="1"/>
  <c r="K7" i="7" s="1"/>
  <c r="F31" i="7" l="1"/>
  <c r="J31" i="7" s="1"/>
  <c r="F65" i="7"/>
  <c r="F37" i="7"/>
  <c r="J37" i="7" s="1"/>
  <c r="F60" i="7"/>
  <c r="F34" i="7"/>
  <c r="J34" i="7" s="1"/>
  <c r="F27" i="7"/>
  <c r="J27" i="7" s="1"/>
  <c r="F44" i="7"/>
  <c r="F42" i="7"/>
  <c r="F28" i="7"/>
  <c r="J28" i="7" s="1"/>
  <c r="F17" i="7"/>
  <c r="J17" i="7" s="1"/>
  <c r="F33" i="7"/>
  <c r="J33" i="7" s="1"/>
  <c r="F20" i="7"/>
  <c r="J20" i="7" s="1"/>
  <c r="F50" i="7"/>
  <c r="F57" i="7"/>
  <c r="F38" i="7"/>
  <c r="J38" i="7" s="1"/>
  <c r="F53" i="7"/>
  <c r="F19" i="7"/>
  <c r="J19" i="7" s="1"/>
  <c r="F23" i="7"/>
  <c r="J23" i="7" s="1"/>
  <c r="F55" i="7"/>
  <c r="F56" i="7"/>
  <c r="F39" i="7"/>
  <c r="J39" i="7" s="1"/>
  <c r="F64" i="7"/>
  <c r="F30" i="7"/>
  <c r="J30" i="7" s="1"/>
  <c r="F48" i="7"/>
  <c r="F61" i="7"/>
  <c r="F43" i="7"/>
  <c r="F29" i="7"/>
  <c r="J29" i="7" s="1"/>
  <c r="F51" i="7"/>
  <c r="F54" i="7"/>
  <c r="F45" i="7"/>
  <c r="F25" i="7"/>
  <c r="J25" i="7" s="1"/>
  <c r="F18" i="7"/>
  <c r="J18" i="7" s="1"/>
  <c r="F36" i="7"/>
  <c r="J36" i="7" s="1"/>
  <c r="F63" i="7"/>
  <c r="F32" i="7"/>
  <c r="J32" i="7" s="1"/>
  <c r="F22" i="7"/>
  <c r="J22" i="7" s="1"/>
  <c r="F35" i="7"/>
  <c r="J35" i="7" s="1"/>
  <c r="F24" i="7"/>
  <c r="J24" i="7" s="1"/>
  <c r="F47" i="7"/>
  <c r="F26" i="7"/>
  <c r="J26" i="7" s="1"/>
  <c r="F21" i="7"/>
  <c r="J21" i="7" s="1"/>
  <c r="F49" i="7"/>
  <c r="F41" i="7"/>
  <c r="H48" i="7" a="1"/>
  <c r="H56" i="7" a="1"/>
  <c r="H41" i="7" a="1"/>
  <c r="H60" i="7" a="1"/>
  <c r="H54" i="7" a="1"/>
  <c r="H47" i="7" a="1"/>
  <c r="H29" i="7" a="1"/>
  <c r="H30" i="7" a="1"/>
  <c r="H44" i="7" a="1"/>
  <c r="H64" i="7" a="1"/>
  <c r="H37" i="7" a="1"/>
  <c r="H45" i="7" a="1"/>
  <c r="H28" i="7" a="1"/>
  <c r="H49" i="7" a="1"/>
  <c r="H63" i="7" a="1"/>
  <c r="H55" i="7" a="1"/>
  <c r="H65" i="7" a="1"/>
  <c r="H39" i="7" a="1"/>
  <c r="H61" i="7" a="1"/>
  <c r="H43" i="7" a="1"/>
  <c r="H50" i="7" a="1"/>
  <c r="H42" i="7" a="1"/>
  <c r="H51" i="7" a="1"/>
  <c r="H57" i="7" a="1"/>
  <c r="H53" i="7" a="1"/>
  <c r="H65" i="7" l="1"/>
  <c r="K65" i="7" s="1"/>
  <c r="H63" i="7"/>
  <c r="K63" i="7" s="1"/>
  <c r="H64" i="7"/>
  <c r="K64" i="7" s="1"/>
  <c r="H29" i="7"/>
  <c r="L29" i="7" s="1"/>
  <c r="H57" i="7"/>
  <c r="K57" i="7" s="1"/>
  <c r="H61" i="7"/>
  <c r="K61" i="7" s="1"/>
  <c r="H50" i="7"/>
  <c r="K50" i="7" s="1"/>
  <c r="H48" i="7"/>
  <c r="K48" i="7" s="1"/>
  <c r="H30" i="7"/>
  <c r="L30" i="7" s="1"/>
  <c r="H39" i="7"/>
  <c r="K39" i="7" s="1"/>
  <c r="H28" i="7"/>
  <c r="L28" i="7" s="1"/>
  <c r="H43" i="7"/>
  <c r="K43" i="7" s="1"/>
  <c r="H56" i="7"/>
  <c r="K56" i="7" s="1"/>
  <c r="H42" i="7"/>
  <c r="K42" i="7" s="1"/>
  <c r="H47" i="7"/>
  <c r="K47" i="7" s="1"/>
  <c r="H41" i="7"/>
  <c r="K41" i="7" s="1"/>
  <c r="H55" i="7"/>
  <c r="K55" i="7" s="1"/>
  <c r="H44" i="7"/>
  <c r="K44" i="7" s="1"/>
  <c r="H49" i="7"/>
  <c r="K49" i="7" s="1"/>
  <c r="H45" i="7"/>
  <c r="K45" i="7" s="1"/>
  <c r="H37" i="7"/>
  <c r="K37" i="7" s="1"/>
  <c r="H54" i="7"/>
  <c r="K54" i="7" s="1"/>
  <c r="H51" i="7"/>
  <c r="K51" i="7" s="1"/>
  <c r="H53" i="7"/>
  <c r="K53" i="7" s="1"/>
  <c r="H60" i="7"/>
  <c r="K60" i="7" s="1"/>
  <c r="F16" i="7"/>
  <c r="J16" i="7" s="1"/>
  <c r="F46" i="7"/>
  <c r="F58" i="7"/>
  <c r="F66" i="7"/>
  <c r="F40" i="7"/>
  <c r="J40" i="7" s="1"/>
  <c r="F59" i="7"/>
  <c r="F62" i="7"/>
  <c r="F52" i="7"/>
  <c r="H27" i="7" a="1"/>
  <c r="H31" i="7" a="1"/>
  <c r="H20" i="7" a="1"/>
  <c r="H59" i="7" a="1"/>
  <c r="H34" i="7" a="1"/>
  <c r="H21" i="7" a="1"/>
  <c r="H36" i="7" a="1"/>
  <c r="H26" i="7" a="1"/>
  <c r="H18" i="7" a="1"/>
  <c r="H35" i="7" a="1"/>
  <c r="H62" i="7" a="1"/>
  <c r="H52" i="7" a="1"/>
  <c r="H24" i="7" a="1"/>
  <c r="H23" i="7" a="1"/>
  <c r="H32" i="7" a="1"/>
  <c r="H33" i="7" a="1"/>
  <c r="H25" i="7" a="1"/>
  <c r="H22" i="7" a="1"/>
  <c r="H19" i="7" a="1"/>
  <c r="H17" i="7" a="1"/>
  <c r="H38" i="7" a="1"/>
  <c r="H46" i="7" a="1"/>
  <c r="H58" i="7" a="1"/>
  <c r="H66" i="7" a="1"/>
  <c r="H27" i="7" l="1"/>
  <c r="H34" i="7"/>
  <c r="L34" i="7" s="1"/>
  <c r="K30" i="7"/>
  <c r="H23" i="7"/>
  <c r="K23" i="7" s="1"/>
  <c r="H21" i="7"/>
  <c r="K21" i="7" s="1"/>
  <c r="H31" i="7"/>
  <c r="L31" i="7" s="1"/>
  <c r="H17" i="7"/>
  <c r="L17" i="7" s="1"/>
  <c r="H32" i="7"/>
  <c r="L32" i="7" s="1"/>
  <c r="H20" i="7"/>
  <c r="L20" i="7" s="1"/>
  <c r="H18" i="7"/>
  <c r="L18" i="7" s="1"/>
  <c r="H24" i="7"/>
  <c r="L24" i="7" s="1"/>
  <c r="H38" i="7"/>
  <c r="K38" i="7" s="1"/>
  <c r="H36" i="7"/>
  <c r="H26" i="7"/>
  <c r="K26" i="7" s="1"/>
  <c r="H33" i="7"/>
  <c r="L33" i="7" s="1"/>
  <c r="H22" i="7"/>
  <c r="K22" i="7" s="1"/>
  <c r="H25" i="7"/>
  <c r="K25" i="7" s="1"/>
  <c r="H35" i="7"/>
  <c r="L35" i="7" s="1"/>
  <c r="H19" i="7"/>
  <c r="L19" i="7" s="1"/>
  <c r="K29" i="7"/>
  <c r="K28" i="7"/>
  <c r="K34" i="7"/>
  <c r="H62" i="7"/>
  <c r="K62" i="7" s="1"/>
  <c r="H58" i="7"/>
  <c r="K58" i="7" s="1"/>
  <c r="H52" i="7"/>
  <c r="K52" i="7" s="1"/>
  <c r="H59" i="7"/>
  <c r="K59" i="7" s="1"/>
  <c r="H66" i="7"/>
  <c r="K66" i="7" s="1"/>
  <c r="H46" i="7"/>
  <c r="K46" i="7" s="1"/>
  <c r="K27" i="7"/>
  <c r="L27" i="7"/>
  <c r="K32" i="7"/>
  <c r="K36" i="7"/>
  <c r="H40" i="7" a="1"/>
  <c r="H16" i="7" a="1"/>
  <c r="K31" i="7" l="1"/>
  <c r="K20" i="7"/>
  <c r="K33" i="7"/>
  <c r="K24" i="7"/>
  <c r="K18" i="7"/>
  <c r="L21" i="7"/>
  <c r="L23" i="7"/>
  <c r="K35" i="7"/>
  <c r="L22" i="7"/>
  <c r="K17" i="7"/>
  <c r="K19" i="7"/>
  <c r="L26" i="7"/>
  <c r="H40" i="7"/>
  <c r="K40" i="7" s="1"/>
  <c r="H16" i="7"/>
  <c r="L16" i="7" s="1"/>
  <c r="L25" i="7"/>
  <c r="K1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<sst xmlns="http://schemas.openxmlformats.org/spreadsheetml/2006/main" count="48" uniqueCount="47">
  <si>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Tarifrechner KLV</t>
  </si>
  <si>
    <t>Pfefferminzia Lebensversicherung AG</t>
  </si>
  <si>
    <t>VBA-Lösung mit KW-Cache</t>
  </si>
  <si>
    <t>Vertragsdaten</t>
  </si>
  <si>
    <t>Tarifdaten</t>
  </si>
  <si>
    <t>Grenzen</t>
  </si>
  <si>
    <t>Beitragsberechnung</t>
  </si>
  <si>
    <t>x</t>
  </si>
  <si>
    <t>Zins</t>
  </si>
  <si>
    <t>MinAlterFlex</t>
  </si>
  <si>
    <t>Sex</t>
  </si>
  <si>
    <t>M</t>
  </si>
  <si>
    <t>Tafel</t>
  </si>
  <si>
    <t>DAV1994_T</t>
  </si>
  <si>
    <t>MinRLZFlex</t>
  </si>
  <si>
    <t>Bxt</t>
  </si>
  <si>
    <t>n</t>
  </si>
  <si>
    <t>alpha</t>
  </si>
  <si>
    <t>BJB</t>
  </si>
  <si>
    <t>t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</si>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</sst>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4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  <xf numFmtId="0" fontId="0" fillId="5" borderId="0" xfId="0" applyFill="1"/>
    <xf numFmtId="166" fontId="0" fillId="5" borderId="0" xfId="0" applyNumberFormat="1" applyFill="1"/>
    <xf numFmtId="166" fontId="1" fillId="5" borderId="0" xfId="0" applyNumberFormat="1" applyFont="1" applyFill="1"/>
    <xf numFmtId="44" fontId="0" fillId="5" borderId="0" xfId="2" applyFont="1" applyFill="1"/>
    <xf numFmtId="0" fontId="0" fillId="5" borderId="0" xfId="2" applyNumberFormat="1" applyFont="1" applyFill="1"/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66"/>
  <sheetViews>
    <sheetView tabSelected="1" workbookViewId="0">
      <pane ySplit="15" topLeftCell="A16" activePane="bottomLeft" state="frozen"/>
      <selection pane="bottomLeft" activeCell="E26" sqref="E26"/>
    </sheetView>
  </sheetViews>
  <sheetFormatPr baseColWidth="10" defaultColWidth="11.44140625" defaultRowHeight="13.2" x14ac:dyDescent="0.25"/>
  <cols>
    <col min="2" max="2" width="12.88671875" bestFit="1" customWidth="1"/>
    <col min="5" max="5" width="12.44140625" customWidth="1"/>
    <col min="6" max="6" width="23.33203125" bestFit="1" customWidth="1"/>
    <col min="8" max="8" width="12.88671875" bestFit="1" customWidth="1"/>
    <col min="9" max="9" width="10.33203125" bestFit="1" customWidth="1"/>
    <col min="10" max="10" width="11.5546875" bestFit="1" customWidth="1"/>
    <col min="11" max="12" width="12.88671875" bestFit="1" customWidth="1"/>
  </cols>
  <sheetData>
    <row r="1" spans="1:12" ht="13.8" x14ac:dyDescent="0.25">
      <c r="A1" s="6" t="s">
        <v>0</v>
      </c>
      <c r="D1" s="16" t="s">
        <v>1</v>
      </c>
      <c r="E1" s="16"/>
      <c r="F1" s="16"/>
      <c r="J1" s="15" t="s">
        <v>2</v>
      </c>
    </row>
    <row r="3" spans="1:12" x14ac:dyDescent="0.25">
      <c r="A3" s="4" t="s">
        <v>3</v>
      </c>
      <c r="D3" s="4" t="s">
        <v>4</v>
      </c>
      <c r="G3" s="4" t="s">
        <v>5</v>
      </c>
      <c r="J3" s="4" t="s">
        <v>6</v>
      </c>
    </row>
    <row r="4" spans="1:12" x14ac:dyDescent="0.25">
      <c r="A4" t="s">
        <v>7</v>
      </c>
      <c r="B4" s="7">
        <v>45</v>
      </c>
      <c r="D4" t="s">
        <v>8</v>
      </c>
      <c r="E4" s="9">
        <v>1.7500000000000002E-2</v>
      </c>
      <c r="G4" s="1" t="s">
        <v>9</v>
      </c>
      <c r="H4" s="10">
        <v>60</v>
      </c>
    </row>
    <row r="5" spans="1:12" x14ac:dyDescent="0.25">
      <c r="A5" t="s">
        <v>10</v>
      </c>
      <c r="B5" s="8" t="s">
        <v>11</v>
      </c>
      <c r="D5" t="s">
        <v>12</v>
      </c>
      <c r="E5" s="10" t="s">
        <v>13</v>
      </c>
      <c r="G5" s="1" t="s">
        <v>14</v>
      </c>
      <c r="H5" s="10">
        <v>5</v>
      </c>
      <c r="I5" s="13"/>
      <c r="J5" s="1" t="s">
        <v>15</v>
      </c>
      <c r="K5" s="13" cm="1">
        <f t="array" ref="K5">( act_nGrAx(x,n,Sex,Tafel,Zins)+Act_Dx(x+n,Sex,Tafel,Zins)/Act_Dx(x,Sex,Tafel,Zins)+gamma1*Act_axn_k(x,t,Sex,Tafel,Zins,1)+gamma2*(Act_axn_k(x,n,Sex,Tafel,Zins,1)-Act_axn_k(x,t,Sex,Tafel,Zins,1)))/((1-beta1)*Act_axn_k(x,t,Sex,Tafel,Zins,1)-alpha*t)</f>
        <v>4.4656547026924003E-2</v>
      </c>
    </row>
    <row r="6" spans="1:12" x14ac:dyDescent="0.25">
      <c r="A6" t="s">
        <v>16</v>
      </c>
      <c r="B6" s="7">
        <v>30</v>
      </c>
      <c r="D6" t="s">
        <v>17</v>
      </c>
      <c r="E6" s="9">
        <v>2.5000000000000001E-2</v>
      </c>
      <c r="I6" s="17"/>
      <c r="J6" s="1" t="s">
        <v>18</v>
      </c>
      <c r="K6" s="17">
        <f>VS*K5</f>
        <v>4465.6547026924</v>
      </c>
    </row>
    <row r="7" spans="1:12" x14ac:dyDescent="0.25">
      <c r="A7" t="s">
        <v>19</v>
      </c>
      <c r="B7" s="7">
        <v>20</v>
      </c>
      <c r="D7" t="s">
        <v>20</v>
      </c>
      <c r="E7" s="9">
        <v>2.5000000000000001E-2</v>
      </c>
      <c r="I7" s="17"/>
      <c r="J7" s="1" t="s">
        <v>21</v>
      </c>
      <c r="K7" s="17">
        <f>(1+ratzu)/zw*(K6+k)</f>
        <v>392.84478648558502</v>
      </c>
    </row>
    <row r="8" spans="1:12" x14ac:dyDescent="0.25">
      <c r="A8" t="s">
        <v>22</v>
      </c>
      <c r="B8" s="18">
        <v>100000</v>
      </c>
      <c r="D8" t="s">
        <v>23</v>
      </c>
      <c r="E8" s="11">
        <v>8.0000000000000004E-4</v>
      </c>
    </row>
    <row r="9" spans="1:12" x14ac:dyDescent="0.25">
      <c r="A9" t="s">
        <v>24</v>
      </c>
      <c r="B9" s="7">
        <v>12</v>
      </c>
      <c r="D9" t="s">
        <v>25</v>
      </c>
      <c r="E9" s="11">
        <v>1.25E-3</v>
      </c>
      <c r="I9" s="13"/>
      <c r="J9" s="1" t="s">
        <v>26</v>
      </c>
      <c r="K9" s="13" cm="1">
        <f t="array" ref="K9">(act_nGrAx(x,n,Sex,Tafel,Zins)+Act_Dx(x+n,Sex,Tafel,Zins)/Act_Dx(x,Sex,Tafel,Zins)+t*alpha*B_xt)/Act_axn_k(x,t,Sex,Tafel,Zins,1)</f>
        <v>4.2392046400377824E-2</v>
      </c>
    </row>
    <row r="10" spans="1:12" x14ac:dyDescent="0.25">
      <c r="D10" t="s">
        <v>27</v>
      </c>
      <c r="E10" s="11">
        <v>2.5000000000000001E-3</v>
      </c>
    </row>
    <row r="11" spans="1:12" x14ac:dyDescent="0.25">
      <c r="D11" t="s">
        <v>28</v>
      </c>
      <c r="E11" s="12">
        <v>24</v>
      </c>
    </row>
    <row r="12" spans="1:12" x14ac:dyDescent="0.25">
      <c r="D12" t="s">
        <v>29</v>
      </c>
      <c r="E12" s="5">
        <f>IF(zw=2,2%,IF(zw=4,3%,IF(zw=12,5%,0)))</f>
        <v>0.05</v>
      </c>
    </row>
    <row r="14" spans="1:12" x14ac:dyDescent="0.25">
      <c r="A14" s="4" t="s">
        <v>30</v>
      </c>
    </row>
    <row r="15" spans="1:12" x14ac:dyDescent="0.25">
      <c r="A15" s="2" t="s">
        <v>28</v>
      </c>
      <c r="B15" s="1" t="s">
        <v>31</v>
      </c>
      <c r="C15" s="1" t="s">
        <v>32</v>
      </c>
      <c r="D15" s="1" t="s">
        <v>33</v>
      </c>
      <c r="E15" s="2" t="s">
        <v>34</v>
      </c>
      <c r="F15" s="2" t="s">
        <v>35</v>
      </c>
      <c r="G15" s="2" t="s">
        <v>36</v>
      </c>
      <c r="H15" s="2" t="s">
        <v>37</v>
      </c>
      <c r="I15" s="19" t="s">
        <v>38</v>
      </c>
      <c r="J15" s="19" t="s">
        <v>39</v>
      </c>
      <c r="K15" s="19" t="s">
        <v>40</v>
      </c>
      <c r="L15" s="19" t="s">
        <v>41</v>
      </c>
    </row>
    <row r="16" spans="1:12" x14ac:dyDescent="0.25">
      <c r="A16">
        <v>0</v>
      </c>
      <c r="B16" s="14" cm="1">
        <f t="array" ref="B16">IF(A16&lt;=n,act_nGrAx(x+$A16,MAX(0,n-$A16),Sex,Tafel,Zins)+Act_Dx(x+n,Sex,Tafel,Zins)/Act_Dx(x+$A16,Sex,Tafel,Zins),0)</f>
        <v>0.65083534357924266</v>
      </c>
      <c r="C16" s="21" cm="1">
        <f t="array" ref="C16">Act_axn_k(x+$A16,MAX(0,n-$A16),Sex,Tafel,Zins,1)</f>
        <v>20.301430737607092</v>
      </c>
      <c r="D16" s="21" cm="1">
        <f t="array" ref="D16">Act_axn_k(x+$A16,MAX(0,t-$A16),Sex,Tafel,Zins,1)</f>
        <v>15.879479153587287</v>
      </c>
      <c r="E16" s="14" cm="1">
        <f t="array" ref="E16">B16-P_xt*D16+gamma2*(C16-Act_axn_k(x,n,Sex,Tafel,Zins,1)/Act_axn_k(x,t,Sex,Tafel,Zins,1)*D16)</f>
        <v>-2.2328273513462005E-2</v>
      </c>
      <c r="F16" s="17">
        <f t="shared" ref="F16:F66" si="0">VS*E16</f>
        <v>-2232.8273513462004</v>
      </c>
      <c r="G16" s="14">
        <f t="shared" ref="G16" si="1">B16+gamma3*C16</f>
        <v>0.70158892042326038</v>
      </c>
      <c r="H16" s="17" cm="1">
        <f t="array" ref="H16">F16+alpha*t*BJB*Act_axn_k(x+A16,MAX(5-A16,0),Sex,Tafel,Zins,1)/Act_axn_k(x,5,Sex,Tafel,Zins,1)</f>
        <v>0</v>
      </c>
      <c r="I16" s="20">
        <f t="shared" ref="I16:I47" si="2">IF(AND(x+A16&gt;=MinAlterFlex,A16&gt;=n-MinRLZFlex),1,0)</f>
        <v>0</v>
      </c>
      <c r="J16" s="17">
        <f t="shared" ref="J16:J47" si="3">IF(OR(A16&gt;n,I16),0,MIN(150,MAX(50,1%*(VS-F16))))</f>
        <v>150</v>
      </c>
      <c r="K16" s="17">
        <f>MAX(0,H16-J16)</f>
        <v>0</v>
      </c>
      <c r="L16" s="17">
        <f t="shared" ref="L16:L47" si="4">IFERROR(IF(A16&gt;n,0,IF(A16&lt;t,H16/G16,VS)),0)</f>
        <v>0</v>
      </c>
    </row>
    <row r="17" spans="1:12" x14ac:dyDescent="0.25">
      <c r="A17">
        <v>1</v>
      </c>
      <c r="B17" s="14" cm="1">
        <f t="array" ref="B17">IF(A17&lt;=n,act_nGrAx(x+$A17,MAX(0,n-$A17),Sex,Tafel,Zins)+Act_Dx(x+n,Sex,Tafel,Zins)/Act_Dx(x+$A17,Sex,Tafel,Zins),0)</f>
        <v>0.6608343830624348</v>
      </c>
      <c r="C17" s="21" cm="1">
        <f t="array" ref="C17">Act_axn_k(x+$A17,MAX(0,n-$A17),Sex,Tafel,Zins,1)</f>
        <v>19.720058013370043</v>
      </c>
      <c r="D17" s="21" cm="1">
        <f t="array" ref="D17">Act_axn_k(x+$A17,MAX(0,t-$A17),Sex,Tafel,Zins,1)</f>
        <v>15.202199054900165</v>
      </c>
      <c r="E17" s="14" cm="1">
        <f t="array" ref="E17">B17-P_xt*D17+gamma2*(C17-Act_axn_k(x,n,Sex,Tafel,Zins,1)/Act_axn_k(x,t,Sex,Tafel,Zins,1)*D17)</f>
        <v>1.6737691921828737E-2</v>
      </c>
      <c r="F17" s="17">
        <f t="shared" si="0"/>
        <v>1673.7691921828737</v>
      </c>
      <c r="G17" s="14">
        <f t="shared" ref="G17:G66" si="5">B17+gamma3*C17</f>
        <v>0.71013452809585986</v>
      </c>
      <c r="H17" s="17" cm="1">
        <f t="array" ref="H17">F17+alpha*t*BJB*Act_axn_k(x+A17,MAX(5-A17,0),Sex,Tafel,Zins,1)/Act_axn_k(x,5,Sex,Tafel,Zins,1)</f>
        <v>3478.5757143748642</v>
      </c>
      <c r="I17" s="20">
        <f t="shared" si="2"/>
        <v>0</v>
      </c>
      <c r="J17" s="17">
        <f t="shared" si="3"/>
        <v>150</v>
      </c>
      <c r="K17" s="17">
        <f t="shared" ref="K17:K66" si="6">MAX(0,H17-J17)</f>
        <v>3328.5757143748642</v>
      </c>
      <c r="L17" s="17">
        <f t="shared" si="4"/>
        <v>4898.4742703643005</v>
      </c>
    </row>
    <row r="18" spans="1:12" x14ac:dyDescent="0.25">
      <c r="A18">
        <v>2</v>
      </c>
      <c r="B18" s="14" cm="1">
        <f t="array" ref="B18">IF(A18&lt;=n,act_nGrAx(x+$A18,MAX(0,n-$A18),Sex,Tafel,Zins)+Act_Dx(x+n,Sex,Tafel,Zins)/Act_Dx(x+$A18,Sex,Tafel,Zins),0)</f>
        <v>0.67091084360079067</v>
      </c>
      <c r="C18" s="21" cm="1">
        <f t="array" ref="C18">Act_axn_k(x+$A18,MAX(0,n-$A18),Sex,Tafel,Zins,1)</f>
        <v>19.134183807782836</v>
      </c>
      <c r="D18" s="21" cm="1">
        <f t="array" ref="D18">Act_axn_k(x+$A18,MAX(0,t-$A18),Sex,Tafel,Zins,1)</f>
        <v>14.516380611486076</v>
      </c>
      <c r="E18" s="14" cm="1">
        <f t="array" ref="E18">B18-P_xt*D18+gamma2*(C18-Act_axn_k(x,n,Sex,Tafel,Zins,1)/Act_axn_k(x,t,Sex,Tafel,Zins,1)*D18)</f>
        <v>5.6251054483733652E-2</v>
      </c>
      <c r="F18" s="17">
        <f t="shared" si="0"/>
        <v>5625.1054483733651</v>
      </c>
      <c r="G18" s="14">
        <f t="shared" si="5"/>
        <v>0.71874630312024779</v>
      </c>
      <c r="H18" s="17" cm="1">
        <f t="array" ref="H18">F18+alpha*t*BJB*Act_axn_k(x+A18,MAX(5-A18,0),Sex,Tafel,Zins,1)/Act_axn_k(x,5,Sex,Tafel,Zins,1)</f>
        <v>6993.187537366387</v>
      </c>
      <c r="I18" s="20">
        <f t="shared" si="2"/>
        <v>0</v>
      </c>
      <c r="J18" s="17">
        <f t="shared" si="3"/>
        <v>150</v>
      </c>
      <c r="K18" s="17">
        <f t="shared" si="6"/>
        <v>6843.187537366387</v>
      </c>
      <c r="L18" s="17">
        <f t="shared" si="4"/>
        <v>9729.7022704775045</v>
      </c>
    </row>
    <row r="19" spans="1:12" x14ac:dyDescent="0.25">
      <c r="A19">
        <v>3</v>
      </c>
      <c r="B19" s="14" cm="1">
        <f t="array" ref="B19">IF(A19&lt;=n,act_nGrAx(x+$A19,MAX(0,n-$A19),Sex,Tafel,Zins)+Act_Dx(x+n,Sex,Tafel,Zins)/Act_Dx(x+$A19,Sex,Tafel,Zins),0)</f>
        <v>0.68106251789045125</v>
      </c>
      <c r="C19" s="21" cm="1">
        <f t="array" ref="C19">Act_axn_k(x+$A19,MAX(0,n-$A19),Sex,Tafel,Zins,1)</f>
        <v>18.543936459798203</v>
      </c>
      <c r="D19" s="21" cm="1">
        <f t="array" ref="D19">Act_axn_k(x+$A19,MAX(0,t-$A19),Sex,Tafel,Zins,1)</f>
        <v>13.821791258025819</v>
      </c>
      <c r="E19" s="14" cm="1">
        <f t="array" ref="E19">B19-P_xt*D19+gamma2*(C19-Act_axn_k(x,n,Sex,Tafel,Zins,1)/Act_axn_k(x,t,Sex,Tafel,Zins,1)*D19)</f>
        <v>9.6219997871489341E-2</v>
      </c>
      <c r="F19" s="17">
        <f t="shared" si="0"/>
        <v>9621.999787148934</v>
      </c>
      <c r="G19" s="14">
        <f t="shared" si="5"/>
        <v>0.72742235903994679</v>
      </c>
      <c r="H19" s="17" cm="1">
        <f t="array" ref="H19">F19+alpha*t*BJB*Act_axn_k(x+A19,MAX(5-A19,0),Sex,Tafel,Zins,1)/Act_axn_k(x,5,Sex,Tafel,Zins,1)</f>
        <v>10544.123239317729</v>
      </c>
      <c r="I19" s="20">
        <f t="shared" si="2"/>
        <v>0</v>
      </c>
      <c r="J19" s="17">
        <f t="shared" si="3"/>
        <v>150</v>
      </c>
      <c r="K19" s="17">
        <f t="shared" si="6"/>
        <v>10394.123239317729</v>
      </c>
      <c r="L19" s="17">
        <f t="shared" si="4"/>
        <v>14495.187160914162</v>
      </c>
    </row>
    <row r="20" spans="1:12" x14ac:dyDescent="0.25">
      <c r="A20">
        <v>4</v>
      </c>
      <c r="B20" s="14" cm="1">
        <f t="array" ref="B20">IF(A20&lt;=n,act_nGrAx(x+$A20,MAX(0,n-$A20),Sex,Tafel,Zins)+Act_Dx(x+n,Sex,Tafel,Zins)/Act_Dx(x+$A20,Sex,Tafel,Zins),0)</f>
        <v>0.69128068597186743</v>
      </c>
      <c r="C20" s="21" cm="1">
        <f t="array" ref="C20">Act_axn_k(x+$A20,MAX(0,n-$A20),Sex,Tafel,Zins,1)</f>
        <v>17.949822972778737</v>
      </c>
      <c r="D20" s="21" cm="1">
        <f t="array" ref="D20">Act_axn_k(x+$A20,MAX(0,t-$A20),Sex,Tafel,Zins,1)</f>
        <v>13.118428911485731</v>
      </c>
      <c r="E20" s="14" cm="1">
        <f t="array" ref="E20">B20-P_xt*D20+gamma2*(C20-Act_axn_k(x,n,Sex,Tafel,Zins,1)/Act_axn_k(x,t,Sex,Tafel,Zins,1)*D20)</f>
        <v>0.13663652751267838</v>
      </c>
      <c r="F20" s="17">
        <f t="shared" si="0"/>
        <v>13663.652751267839</v>
      </c>
      <c r="G20" s="14">
        <f t="shared" si="5"/>
        <v>0.73615524340381422</v>
      </c>
      <c r="H20" s="17" cm="1">
        <f t="array" ref="H20">F20+alpha*t*BJB*Act_axn_k(x+A20,MAX(5-A20,0),Sex,Tafel,Zins,1)/Act_axn_k(x,5,Sex,Tafel,Zins,1)</f>
        <v>14129.986917895611</v>
      </c>
      <c r="I20" s="20">
        <f t="shared" si="2"/>
        <v>0</v>
      </c>
      <c r="J20" s="17">
        <f t="shared" si="3"/>
        <v>150</v>
      </c>
      <c r="K20" s="17">
        <f t="shared" si="6"/>
        <v>13979.986917895611</v>
      </c>
      <c r="L20" s="17">
        <f t="shared" si="4"/>
        <v>19194.30316431867</v>
      </c>
    </row>
    <row r="21" spans="1:12" x14ac:dyDescent="0.25">
      <c r="A21">
        <v>5</v>
      </c>
      <c r="B21" s="14" cm="1">
        <f t="array" ref="B21">IF(A21&lt;=n,act_nGrAx(x+$A21,MAX(0,n-$A21),Sex,Tafel,Zins)+Act_Dx(x+n,Sex,Tafel,Zins)/Act_Dx(x+$A21,Sex,Tafel,Zins),0)</f>
        <v>0.70155940096586078</v>
      </c>
      <c r="C21" s="21" cm="1">
        <f t="array" ref="C21">Act_axn_k(x+$A21,MAX(0,n-$A21),Sex,Tafel,Zins,1)</f>
        <v>17.352189115270825</v>
      </c>
      <c r="D21" s="21" cm="1">
        <f t="array" ref="D21">Act_axn_k(x+$A21,MAX(0,t-$A21),Sex,Tafel,Zins,1)</f>
        <v>12.406104216532279</v>
      </c>
      <c r="E21" s="14" cm="1">
        <f t="array" ref="E21">B21-P_xt*D21+gamma2*(C21-Act_axn_k(x,n,Sex,Tafel,Zins,1)/Act_axn_k(x,t,Sex,Tafel,Zins,1)*D21)</f>
        <v>0.17750345850517832</v>
      </c>
      <c r="F21" s="17">
        <f t="shared" si="0"/>
        <v>17750.345850517831</v>
      </c>
      <c r="G21" s="14">
        <f t="shared" si="5"/>
        <v>0.74493987375403781</v>
      </c>
      <c r="H21" s="17" cm="1">
        <f t="array" ref="H21">F21+alpha*t*BJB*Act_axn_k(x+A21,MAX(5-A21,0),Sex,Tafel,Zins,1)/Act_axn_k(x,5,Sex,Tafel,Zins,1)</f>
        <v>17750.345850517831</v>
      </c>
      <c r="I21" s="20">
        <f t="shared" si="2"/>
        <v>0</v>
      </c>
      <c r="J21" s="17">
        <f t="shared" si="3"/>
        <v>150</v>
      </c>
      <c r="K21" s="17">
        <f t="shared" si="6"/>
        <v>17600.345850517831</v>
      </c>
      <c r="L21" s="17">
        <f t="shared" si="4"/>
        <v>23827.890647156568</v>
      </c>
    </row>
    <row r="22" spans="1:12" x14ac:dyDescent="0.25">
      <c r="A22">
        <v>6</v>
      </c>
      <c r="B22" s="14" cm="1">
        <f t="array" ref="B22">IF(A22&lt;=n,act_nGrAx(x+$A22,MAX(0,n-$A22),Sex,Tafel,Zins)+Act_Dx(x+n,Sex,Tafel,Zins)/Act_Dx(x+$A22,Sex,Tafel,Zins),0)</f>
        <v>0.71189167115472718</v>
      </c>
      <c r="C22" s="21" cm="1">
        <f t="array" ref="C22">Act_axn_k(x+$A22,MAX(0,n-$A22),Sex,Tafel,Zins,1)</f>
        <v>16.751441405718062</v>
      </c>
      <c r="D22" s="21" cm="1">
        <f t="array" ref="D22">Act_axn_k(x+$A22,MAX(0,t-$A22),Sex,Tafel,Zins,1)</f>
        <v>11.684593732610448</v>
      </c>
      <c r="E22" s="14" cm="1">
        <f t="array" ref="E22">B22-P_xt*D22+gamma2*(C22-Act_axn_k(x,n,Sex,Tafel,Zins,1)/Act_axn_k(x,t,Sex,Tafel,Zins,1)*D22)</f>
        <v>0.21882413645915064</v>
      </c>
      <c r="F22" s="17">
        <f t="shared" si="0"/>
        <v>21882.413645915065</v>
      </c>
      <c r="G22" s="14">
        <f t="shared" si="5"/>
        <v>0.75377027466902236</v>
      </c>
      <c r="H22" s="17" cm="1">
        <f t="array" ref="H22">F22+alpha*t*BJB*Act_axn_k(x+A22,MAX(5-A22,0),Sex,Tafel,Zins,1)/Act_axn_k(x,5,Sex,Tafel,Zins,1)</f>
        <v>21882.413645915065</v>
      </c>
      <c r="I22" s="20">
        <f t="shared" si="2"/>
        <v>0</v>
      </c>
      <c r="J22" s="17">
        <f t="shared" si="3"/>
        <v>150</v>
      </c>
      <c r="K22" s="17">
        <f t="shared" si="6"/>
        <v>21732.413645915065</v>
      </c>
      <c r="L22" s="17">
        <f t="shared" si="4"/>
        <v>29030.613678051377</v>
      </c>
    </row>
    <row r="23" spans="1:12" x14ac:dyDescent="0.25">
      <c r="A23">
        <v>7</v>
      </c>
      <c r="B23" s="14" cm="1">
        <f t="array" ref="B23">IF(A23&lt;=n,act_nGrAx(x+$A23,MAX(0,n-$A23),Sex,Tafel,Zins)+Act_Dx(x+n,Sex,Tafel,Zins)/Act_Dx(x+$A23,Sex,Tafel,Zins),0)</f>
        <v>0.72227097363761361</v>
      </c>
      <c r="C23" s="21" cm="1">
        <f t="array" ref="C23">Act_axn_k(x+$A23,MAX(0,n-$A23),Sex,Tafel,Zins,1)</f>
        <v>16.147959104213182</v>
      </c>
      <c r="D23" s="21" cm="1">
        <f t="array" ref="D23">Act_axn_k(x+$A23,MAX(0,t-$A23),Sex,Tafel,Zins,1)</f>
        <v>10.953561530990612</v>
      </c>
      <c r="E23" s="14" cm="1">
        <f t="array" ref="E23">B23-P_xt*D23+gamma2*(C23-Act_axn_k(x,n,Sex,Tafel,Zins,1)/Act_axn_k(x,t,Sex,Tafel,Zins,1)*D23)</f>
        <v>0.26060729009847111</v>
      </c>
      <c r="F23" s="17">
        <f t="shared" si="0"/>
        <v>26060.729009847109</v>
      </c>
      <c r="G23" s="14">
        <f t="shared" si="5"/>
        <v>0.76264087139814651</v>
      </c>
      <c r="H23" s="17" cm="1">
        <f t="array" ref="H23">F23+alpha*t*BJB*Act_axn_k(x+A23,MAX(5-A23,0),Sex,Tafel,Zins,1)/Act_axn_k(x,5,Sex,Tafel,Zins,1)</f>
        <v>26060.729009847109</v>
      </c>
      <c r="I23" s="20">
        <f t="shared" si="2"/>
        <v>0</v>
      </c>
      <c r="J23" s="17">
        <f t="shared" si="3"/>
        <v>150</v>
      </c>
      <c r="K23" s="17">
        <f t="shared" si="6"/>
        <v>25910.729009847109</v>
      </c>
      <c r="L23" s="17">
        <f t="shared" si="4"/>
        <v>34171.69206007813</v>
      </c>
    </row>
    <row r="24" spans="1:12" s="22" customFormat="1" x14ac:dyDescent="0.25">
      <c r="A24" s="22">
        <v>8</v>
      </c>
      <c r="B24" s="23" cm="1">
        <f t="array" ref="B24">IF(A24&lt;=n,act_nGrAx(x+$A24,MAX(0,n-$A24),Sex,Tafel,Zins)+Act_Dx(x+n,Sex,Tafel,Zins)/Act_Dx(x+$A24,Sex,Tafel,Zins),0)</f>
        <v>0.73269152068096632</v>
      </c>
      <c r="C24" s="24" cm="1">
        <f t="array" ref="C24">Act_axn_k(x+$A24,MAX(0,n-$A24),Sex,Tafel,Zins,1)</f>
        <v>15.542078726121195</v>
      </c>
      <c r="D24" s="24" cm="1">
        <f t="array" ref="D24">Act_axn_k(x+$A24,MAX(0,t-$A24),Sex,Tafel,Zins,1)</f>
        <v>10.212533309316916</v>
      </c>
      <c r="E24" s="23" cm="1">
        <f t="array" ref="E24">B24-P_xt*D24+gamma2*(C24-Act_axn_k(x,n,Sex,Tafel,Zins,1)/Act_axn_k(x,t,Sex,Tafel,Zins,1)*D24)</f>
        <v>0.30286841695767508</v>
      </c>
      <c r="F24" s="25">
        <f t="shared" si="0"/>
        <v>30286.841695767507</v>
      </c>
      <c r="G24" s="23">
        <f t="shared" si="5"/>
        <v>0.77154671749626935</v>
      </c>
      <c r="H24" s="25" cm="1">
        <f t="array" ref="H24">F24+alpha*t*BJB*Act_axn_k(x+A24,MAX(5-A24,0),Sex,Tafel,Zins,1)/Act_axn_k(x,5,Sex,Tafel,Zins,1)</f>
        <v>30286.841695767507</v>
      </c>
      <c r="I24" s="26">
        <f t="shared" si="2"/>
        <v>0</v>
      </c>
      <c r="J24" s="25">
        <f t="shared" si="3"/>
        <v>150</v>
      </c>
      <c r="K24" s="25">
        <f t="shared" si="6"/>
        <v>30136.841695767507</v>
      </c>
      <c r="L24" s="25">
        <f t="shared" si="4"/>
        <v>39254.708767410382</v>
      </c>
    </row>
    <row r="25" spans="1:12" x14ac:dyDescent="0.25">
      <c r="A25">
        <v>9</v>
      </c>
      <c r="B25" s="14" cm="1">
        <f t="array" ref="B25">IF(A25&lt;=n,act_nGrAx(x+$A25,MAX(0,n-$A25),Sex,Tafel,Zins)+Act_Dx(x+n,Sex,Tafel,Zins)/Act_Dx(x+$A25,Sex,Tafel,Zins),0)</f>
        <v>0.74314671931133613</v>
      </c>
      <c r="C25" s="21" cm="1">
        <f t="array" ref="C25">Act_axn_k(x+$A25,MAX(0,n-$A25),Sex,Tafel,Zins,1)</f>
        <v>14.934183605755353</v>
      </c>
      <c r="D25" s="21" cm="1">
        <f t="array" ref="D25">Act_axn_k(x+$A25,MAX(0,t-$A25),Sex,Tafel,Zins,1)</f>
        <v>9.4609351597268425</v>
      </c>
      <c r="E25" s="14" cm="1">
        <f t="array" ref="E25">B25-P_xt*D25+gamma2*(C25-Act_axn_k(x,n,Sex,Tafel,Zins,1)/Act_axn_k(x,t,Sex,Tafel,Zins,1)*D25)</f>
        <v>0.34562664951460831</v>
      </c>
      <c r="F25" s="17">
        <f t="shared" si="0"/>
        <v>34562.664951460829</v>
      </c>
      <c r="G25" s="14">
        <f t="shared" si="5"/>
        <v>0.78048217832572453</v>
      </c>
      <c r="H25" s="17" cm="1">
        <f t="array" ref="H25">F25+alpha*t*BJB*Act_axn_k(x+A25,MAX(5-A25,0),Sex,Tafel,Zins,1)/Act_axn_k(x,5,Sex,Tafel,Zins,1)</f>
        <v>34562.664951460829</v>
      </c>
      <c r="I25" s="20">
        <f t="shared" si="2"/>
        <v>0</v>
      </c>
      <c r="J25" s="17">
        <f t="shared" si="3"/>
        <v>150</v>
      </c>
      <c r="K25" s="17">
        <f t="shared" si="6"/>
        <v>34412.664951460829</v>
      </c>
      <c r="L25" s="17">
        <f t="shared" si="4"/>
        <v>44283.733711388515</v>
      </c>
    </row>
    <row r="26" spans="1:12" x14ac:dyDescent="0.25">
      <c r="A26">
        <v>10</v>
      </c>
      <c r="B26" s="14" cm="1">
        <f t="array" ref="B26">IF(A26&lt;=n,act_nGrAx(x+$A26,MAX(0,n-$A26),Sex,Tafel,Zins)+Act_Dx(x+n,Sex,Tafel,Zins)/Act_Dx(x+$A26,Sex,Tafel,Zins),0)</f>
        <v>0.75364014821028891</v>
      </c>
      <c r="C26" s="21" cm="1">
        <f t="array" ref="C26">Act_axn_k(x+$A26,MAX(0,n-$A26),Sex,Tafel,Zins,1)</f>
        <v>14.324065668344845</v>
      </c>
      <c r="D26" s="21" cm="1">
        <f t="array" ref="D26">Act_axn_k(x+$A26,MAX(0,t-$A26),Sex,Tafel,Zins,1)</f>
        <v>8.6976743146600235</v>
      </c>
      <c r="E26" s="14" cm="1">
        <f t="array" ref="E26">B26-P_xt*D26+gamma2*(C26-Act_axn_k(x,n,Sex,Tafel,Zins,1)/Act_axn_k(x,t,Sex,Tafel,Zins,1)*D26)</f>
        <v>0.38893337734807576</v>
      </c>
      <c r="F26" s="17">
        <f t="shared" si="0"/>
        <v>38893.337734807574</v>
      </c>
      <c r="G26" s="14">
        <f t="shared" si="5"/>
        <v>0.78945031238115104</v>
      </c>
      <c r="H26" s="17" cm="1">
        <f t="array" ref="H26">F26+alpha*t*BJB*Act_axn_k(x+A26,MAX(5-A26,0),Sex,Tafel,Zins,1)/Act_axn_k(x,5,Sex,Tafel,Zins,1)</f>
        <v>38893.337734807574</v>
      </c>
      <c r="I26" s="20">
        <f t="shared" si="2"/>
        <v>0</v>
      </c>
      <c r="J26" s="17">
        <f t="shared" si="3"/>
        <v>150</v>
      </c>
      <c r="K26" s="17">
        <f t="shared" si="6"/>
        <v>38743.337734807574</v>
      </c>
      <c r="L26" s="17">
        <f t="shared" si="4"/>
        <v>49266.352960830358</v>
      </c>
    </row>
    <row r="27" spans="1:12" x14ac:dyDescent="0.25">
      <c r="A27">
        <v>11</v>
      </c>
      <c r="B27" s="14" cm="1">
        <f t="array" ref="B27">IF(A27&lt;=n,act_nGrAx(x+$A27,MAX(0,n-$A27),Sex,Tafel,Zins)+Act_Dx(x+n,Sex,Tafel,Zins)/Act_Dx(x+$A27,Sex,Tafel,Zins),0)</f>
        <v>0.76417916793488283</v>
      </c>
      <c r="C27" s="21" cm="1">
        <f t="array" ref="C27">Act_axn_k(x+$A27,MAX(0,n-$A27),Sex,Tafel,Zins,1)</f>
        <v>13.711296950071867</v>
      </c>
      <c r="D27" s="21" cm="1">
        <f t="array" ref="D27">Act_axn_k(x+$A27,MAX(0,t-$A27),Sex,Tafel,Zins,1)</f>
        <v>7.9213883344929235</v>
      </c>
      <c r="E27" s="14" cm="1">
        <f t="array" ref="E27">B27-P_xt*D27+gamma2*(C27-Act_axn_k(x,n,Sex,Tafel,Zins,1)/Act_axn_k(x,t,Sex,Tafel,Zins,1)*D27)</f>
        <v>0.43285535996108571</v>
      </c>
      <c r="F27" s="17">
        <f t="shared" si="0"/>
        <v>43285.535996108571</v>
      </c>
      <c r="G27" s="14">
        <f t="shared" si="5"/>
        <v>0.79845741031006245</v>
      </c>
      <c r="H27" s="17" cm="1">
        <f t="array" ref="H27">F27+alpha*t*BJB*Act_axn_k(x+A27,MAX(5-A27,0),Sex,Tafel,Zins,1)/Act_axn_k(x,5,Sex,Tafel,Zins,1)</f>
        <v>43285.535996108571</v>
      </c>
      <c r="I27" s="20">
        <f t="shared" si="2"/>
        <v>0</v>
      </c>
      <c r="J27" s="17">
        <f t="shared" si="3"/>
        <v>150</v>
      </c>
      <c r="K27" s="17">
        <f t="shared" si="6"/>
        <v>43135.535996108571</v>
      </c>
      <c r="L27" s="17">
        <f t="shared" si="4"/>
        <v>54211.452529822018</v>
      </c>
    </row>
    <row r="28" spans="1:12" x14ac:dyDescent="0.25">
      <c r="A28">
        <v>12</v>
      </c>
      <c r="B28" s="14" cm="1">
        <f t="array" ref="B28">IF(A28&lt;=n,act_nGrAx(x+$A28,MAX(0,n-$A28),Sex,Tafel,Zins)+Act_Dx(x+n,Sex,Tafel,Zins)/Act_Dx(x+$A28,Sex,Tafel,Zins),0)</f>
        <v>0.77477300222115164</v>
      </c>
      <c r="C28" s="21" cm="1">
        <f t="array" ref="C28">Act_axn_k(x+$A28,MAX(0,n-$A28),Sex,Tafel,Zins,1)</f>
        <v>13.095341156570219</v>
      </c>
      <c r="D28" s="21" cm="1">
        <f t="array" ref="D28">Act_axn_k(x+$A28,MAX(0,t-$A28),Sex,Tafel,Zins,1)</f>
        <v>7.1305030378334298</v>
      </c>
      <c r="E28" s="14" cm="1">
        <f t="array" ref="E28">B28-P_xt*D28+gamma2*(C28-Act_axn_k(x,n,Sex,Tafel,Zins,1)/Act_axn_k(x,t,Sex,Tafel,Zins,1)*D28)</f>
        <v>0.4774703991710722</v>
      </c>
      <c r="F28" s="17">
        <f t="shared" si="0"/>
        <v>47747.03991710722</v>
      </c>
      <c r="G28" s="14">
        <f t="shared" si="5"/>
        <v>0.80751135511257721</v>
      </c>
      <c r="H28" s="17" cm="1">
        <f t="array" ref="H28">F28+alpha*t*BJB*Act_axn_k(x+A28,MAX(5-A28,0),Sex,Tafel,Zins,1)/Act_axn_k(x,5,Sex,Tafel,Zins,1)</f>
        <v>47747.03991710722</v>
      </c>
      <c r="I28" s="20">
        <f t="shared" si="2"/>
        <v>0</v>
      </c>
      <c r="J28" s="17">
        <f t="shared" si="3"/>
        <v>150</v>
      </c>
      <c r="K28" s="17">
        <f t="shared" si="6"/>
        <v>47597.03991710722</v>
      </c>
      <c r="L28" s="17">
        <f t="shared" si="4"/>
        <v>59128.629727380969</v>
      </c>
    </row>
    <row r="29" spans="1:12" x14ac:dyDescent="0.25">
      <c r="A29">
        <v>13</v>
      </c>
      <c r="B29" s="14" cm="1">
        <f t="array" ref="B29">IF(A29&lt;=n,act_nGrAx(x+$A29,MAX(0,n-$A29),Sex,Tafel,Zins)+Act_Dx(x+n,Sex,Tafel,Zins)/Act_Dx(x+$A29,Sex,Tafel,Zins),0)</f>
        <v>0.78543076831689618</v>
      </c>
      <c r="C29" s="21" cm="1">
        <f t="array" ref="C29">Act_axn_k(x+$A29,MAX(0,n-$A29),Sex,Tafel,Zins,1)</f>
        <v>12.47566818500324</v>
      </c>
      <c r="D29" s="21" cm="1">
        <f t="array" ref="D29">Act_axn_k(x+$A29,MAX(0,t-$A29),Sex,Tafel,Zins,1)</f>
        <v>6.3232711435856341</v>
      </c>
      <c r="E29" s="14" cm="1">
        <f t="array" ref="E29">B29-P_xt*D29+gamma2*(C29-Act_axn_k(x,n,Sex,Tafel,Zins,1)/Act_axn_k(x,t,Sex,Tafel,Zins,1)*D29)</f>
        <v>0.52286381272570148</v>
      </c>
      <c r="F29" s="17">
        <f t="shared" si="0"/>
        <v>52286.38127257015</v>
      </c>
      <c r="G29" s="14">
        <f t="shared" si="5"/>
        <v>0.81661993877940431</v>
      </c>
      <c r="H29" s="17" cm="1">
        <f t="array" ref="H29">F29+alpha*t*BJB*Act_axn_k(x+A29,MAX(5-A29,0),Sex,Tafel,Zins,1)/Act_axn_k(x,5,Sex,Tafel,Zins,1)</f>
        <v>52286.38127257015</v>
      </c>
      <c r="I29" s="20">
        <f t="shared" si="2"/>
        <v>0</v>
      </c>
      <c r="J29" s="17">
        <f t="shared" si="3"/>
        <v>150</v>
      </c>
      <c r="K29" s="17">
        <f t="shared" si="6"/>
        <v>52136.38127257015</v>
      </c>
      <c r="L29" s="17">
        <f t="shared" si="4"/>
        <v>64027.803865188755</v>
      </c>
    </row>
    <row r="30" spans="1:12" x14ac:dyDescent="0.25">
      <c r="A30">
        <v>14</v>
      </c>
      <c r="B30" s="14" cm="1">
        <f t="array" ref="B30">IF(A30&lt;=n,act_nGrAx(x+$A30,MAX(0,n-$A30),Sex,Tafel,Zins)+Act_Dx(x+n,Sex,Tafel,Zins)/Act_Dx(x+$A30,Sex,Tafel,Zins),0)</f>
        <v>0.7961622697585552</v>
      </c>
      <c r="C30" s="21" cm="1">
        <f t="array" ref="C30">Act_axn_k(x+$A30,MAX(0,n-$A30),Sex,Tafel,Zins,1)</f>
        <v>11.8517080297527</v>
      </c>
      <c r="D30" s="21" cm="1">
        <f t="array" ref="D30">Act_axn_k(x+$A30,MAX(0,t-$A30),Sex,Tafel,Zins,1)</f>
        <v>5.4977064812167189</v>
      </c>
      <c r="E30" s="14" cm="1">
        <f t="array" ref="E30">B30-P_xt*D30+gamma2*(C30-Act_axn_k(x,n,Sex,Tafel,Zins,1)/Act_axn_k(x,t,Sex,Tafel,Zins,1)*D30)</f>
        <v>0.56913206356098622</v>
      </c>
      <c r="F30" s="17">
        <f t="shared" si="0"/>
        <v>56913.206356098621</v>
      </c>
      <c r="G30" s="14">
        <f t="shared" si="5"/>
        <v>0.82579153983293696</v>
      </c>
      <c r="H30" s="17" cm="1">
        <f t="array" ref="H30">F30+alpha*t*BJB*Act_axn_k(x+A30,MAX(5-A30,0),Sex,Tafel,Zins,1)/Act_axn_k(x,5,Sex,Tafel,Zins,1)</f>
        <v>56913.206356098621</v>
      </c>
      <c r="I30" s="20">
        <f t="shared" si="2"/>
        <v>0</v>
      </c>
      <c r="J30" s="17">
        <f t="shared" si="3"/>
        <v>150</v>
      </c>
      <c r="K30" s="17">
        <f t="shared" si="6"/>
        <v>56763.206356098621</v>
      </c>
      <c r="L30" s="17">
        <f t="shared" si="4"/>
        <v>68919.580318796361</v>
      </c>
    </row>
    <row r="31" spans="1:12" x14ac:dyDescent="0.25">
      <c r="A31">
        <v>15</v>
      </c>
      <c r="B31" s="14" cm="1">
        <f t="array" ref="B31">IF(A31&lt;=n,act_nGrAx(x+$A31,MAX(0,n-$A31),Sex,Tafel,Zins)+Act_Dx(x+n,Sex,Tafel,Zins)/Act_Dx(x+$A31,Sex,Tafel,Zins),0)</f>
        <v>0.80697780096491245</v>
      </c>
      <c r="C31" s="21" cm="1">
        <f t="array" ref="C31">Act_axn_k(x+$A31,MAX(0,n-$A31),Sex,Tafel,Zins,1)</f>
        <v>11.2228621438973</v>
      </c>
      <c r="D31" s="21" cm="1">
        <f t="array" ref="D31">Act_axn_k(x+$A31,MAX(0,t-$A31),Sex,Tafel,Zins,1)</f>
        <v>4.6515386945550716</v>
      </c>
      <c r="E31" s="14" cm="1">
        <f t="array" ref="E31">B31-P_xt*D31+gamma2*(C31-Act_axn_k(x,n,Sex,Tafel,Zins,1)/Act_axn_k(x,t,Sex,Tafel,Zins,1)*D31)</f>
        <v>0.61638457118280288</v>
      </c>
      <c r="F31" s="17">
        <f t="shared" si="0"/>
        <v>61638.45711828029</v>
      </c>
      <c r="G31" s="14">
        <f t="shared" si="5"/>
        <v>0.83503495632465574</v>
      </c>
      <c r="H31" s="17" cm="1">
        <f t="array" ref="H31">F31+alpha*t*BJB*Act_axn_k(x+A31,MAX(5-A31,0),Sex,Tafel,Zins,1)/Act_axn_k(x,5,Sex,Tafel,Zins,1)</f>
        <v>61638.45711828029</v>
      </c>
      <c r="I31" s="20">
        <f t="shared" si="2"/>
        <v>0</v>
      </c>
      <c r="J31" s="17">
        <f t="shared" si="3"/>
        <v>150</v>
      </c>
      <c r="K31" s="17">
        <f t="shared" si="6"/>
        <v>61488.45711828029</v>
      </c>
      <c r="L31" s="17">
        <f t="shared" si="4"/>
        <v>73815.421320297028</v>
      </c>
    </row>
    <row r="32" spans="1:12" x14ac:dyDescent="0.25">
      <c r="A32">
        <v>16</v>
      </c>
      <c r="B32" s="14" cm="1">
        <f t="array" ref="B32">IF(A32&lt;=n,act_nGrAx(x+$A32,MAX(0,n-$A32),Sex,Tafel,Zins)+Act_Dx(x+n,Sex,Tafel,Zins)/Act_Dx(x+$A32,Sex,Tafel,Zins),0)</f>
        <v>0.81789022774582021</v>
      </c>
      <c r="C32" s="21" cm="1">
        <f t="array" ref="C32">Act_axn_k(x+$A32,MAX(0,n-$A32),Sex,Tafel,Zins,1)</f>
        <v>10.588382472493201</v>
      </c>
      <c r="D32" s="21" cm="1">
        <f t="array" ref="D32">Act_axn_k(x+$A32,MAX(0,t-$A32),Sex,Tafel,Zins,1)</f>
        <v>3.7821001366176739</v>
      </c>
      <c r="E32" s="14" cm="1">
        <f t="array" ref="E32">B32-P_xt*D32+gamma2*(C32-Act_axn_k(x,n,Sex,Tafel,Zins,1)/Act_axn_k(x,t,Sex,Tafel,Zins,1)*D32)</f>
        <v>0.66475061647884104</v>
      </c>
      <c r="F32" s="17">
        <f t="shared" si="0"/>
        <v>66475.061647884111</v>
      </c>
      <c r="G32" s="14">
        <f t="shared" si="5"/>
        <v>0.84436118392705317</v>
      </c>
      <c r="H32" s="17" cm="1">
        <f t="array" ref="H32">F32+alpha*t*BJB*Act_axn_k(x+A32,MAX(5-A32,0),Sex,Tafel,Zins,1)/Act_axn_k(x,5,Sex,Tafel,Zins,1)</f>
        <v>66475.061647884111</v>
      </c>
      <c r="I32" s="20">
        <f t="shared" si="2"/>
        <v>0</v>
      </c>
      <c r="J32" s="17">
        <f t="shared" si="3"/>
        <v>150</v>
      </c>
      <c r="K32" s="17">
        <f t="shared" si="6"/>
        <v>66325.061647884111</v>
      </c>
      <c r="L32" s="17">
        <f t="shared" si="4"/>
        <v>78728.230185468929</v>
      </c>
    </row>
    <row r="33" spans="1:12" x14ac:dyDescent="0.25">
      <c r="A33">
        <v>17</v>
      </c>
      <c r="B33" s="14" cm="1">
        <f t="array" ref="B33">IF(A33&lt;=n,act_nGrAx(x+$A33,MAX(0,n-$A33),Sex,Tafel,Zins)+Act_Dx(x+n,Sex,Tafel,Zins)/Act_Dx(x+$A33,Sex,Tafel,Zins),0)</f>
        <v>0.82891453075609856</v>
      </c>
      <c r="C33" s="21" cm="1">
        <f t="array" ref="C33">Act_axn_k(x+$A33,MAX(0,n-$A33),Sex,Tafel,Zins,1)</f>
        <v>9.9473979974671547</v>
      </c>
      <c r="D33" s="21" cm="1">
        <f t="array" ref="D33">Act_axn_k(x+$A33,MAX(0,t-$A33),Sex,Tafel,Zins,1)</f>
        <v>2.8862696505000494</v>
      </c>
      <c r="E33" s="14" cm="1">
        <f t="array" ref="E33">B33-P_xt*D33+gamma2*(C33-Act_axn_k(x,n,Sex,Tafel,Zins,1)/Act_axn_k(x,t,Sex,Tafel,Zins,1)*D33)</f>
        <v>0.71438139143976698</v>
      </c>
      <c r="F33" s="17">
        <f t="shared" si="0"/>
        <v>71438.139143976703</v>
      </c>
      <c r="G33" s="14">
        <f t="shared" si="5"/>
        <v>0.8537830257497665</v>
      </c>
      <c r="H33" s="17" cm="1">
        <f t="array" ref="H33">F33+alpha*t*BJB*Act_axn_k(x+A33,MAX(5-A33,0),Sex,Tafel,Zins,1)/Act_axn_k(x,5,Sex,Tafel,Zins,1)</f>
        <v>71438.139143976703</v>
      </c>
      <c r="I33" s="20">
        <f t="shared" si="2"/>
        <v>0</v>
      </c>
      <c r="J33" s="17">
        <f t="shared" si="3"/>
        <v>150</v>
      </c>
      <c r="K33" s="17">
        <f t="shared" si="6"/>
        <v>71288.139143976703</v>
      </c>
      <c r="L33" s="17">
        <f t="shared" si="4"/>
        <v>83672.475312146067</v>
      </c>
    </row>
    <row r="34" spans="1:12" x14ac:dyDescent="0.25">
      <c r="A34">
        <v>18</v>
      </c>
      <c r="B34" s="14" cm="1">
        <f t="array" ref="B34">IF(A34&lt;=n,act_nGrAx(x+$A34,MAX(0,n-$A34),Sex,Tafel,Zins)+Act_Dx(x+n,Sex,Tafel,Zins)/Act_Dx(x+$A34,Sex,Tafel,Zins),0)</f>
        <v>0.84006902145800422</v>
      </c>
      <c r="C34" s="21" cm="1">
        <f t="array" ref="C34">Act_axn_k(x+$A34,MAX(0,n-$A34),Sex,Tafel,Zins,1)</f>
        <v>9.2988440380849156</v>
      </c>
      <c r="D34" s="21" cm="1">
        <f t="array" ref="D34">Act_axn_k(x+$A34,MAX(0,t-$A34),Sex,Tafel,Zins,1)</f>
        <v>1.9603606879606867</v>
      </c>
      <c r="E34" s="14" cm="1">
        <f t="array" ref="E34">B34-P_xt*D34+gamma2*(C34-Act_axn_k(x,n,Sex,Tafel,Zins,1)/Act_axn_k(x,t,Sex,Tafel,Zins,1)*D34)</f>
        <v>0.76545604842566983</v>
      </c>
      <c r="F34" s="17">
        <f t="shared" si="0"/>
        <v>76545.604842566987</v>
      </c>
      <c r="G34" s="14">
        <f t="shared" si="5"/>
        <v>0.86331613155321651</v>
      </c>
      <c r="H34" s="17" cm="1">
        <f t="array" ref="H34">F34+alpha*t*BJB*Act_axn_k(x+A34,MAX(5-A34,0),Sex,Tafel,Zins,1)/Act_axn_k(x,5,Sex,Tafel,Zins,1)</f>
        <v>76545.604842566987</v>
      </c>
      <c r="I34" s="20">
        <f t="shared" si="2"/>
        <v>0</v>
      </c>
      <c r="J34" s="17">
        <f t="shared" si="3"/>
        <v>150</v>
      </c>
      <c r="K34" s="17">
        <f t="shared" si="6"/>
        <v>76395.604842566987</v>
      </c>
      <c r="L34" s="17">
        <f t="shared" si="4"/>
        <v>88664.629380724786</v>
      </c>
    </row>
    <row r="35" spans="1:12" x14ac:dyDescent="0.25">
      <c r="A35">
        <v>19</v>
      </c>
      <c r="B35" s="14" cm="1">
        <f t="array" ref="B35">IF(A35&lt;=n,act_nGrAx(x+$A35,MAX(0,n-$A35),Sex,Tafel,Zins)+Act_Dx(x+n,Sex,Tafel,Zins)/Act_Dx(x+$A35,Sex,Tafel,Zins),0)</f>
        <v>0.85137671384064173</v>
      </c>
      <c r="C35" s="21" cm="1">
        <f t="array" ref="C35">Act_axn_k(x+$A35,MAX(0,n-$A35),Sex,Tafel,Zins,1)</f>
        <v>8.6413824952658302</v>
      </c>
      <c r="D35" s="21" cm="1">
        <f t="array" ref="D35">Act_axn_k(x+$A35,MAX(0,t-$A35),Sex,Tafel,Zins,1)</f>
        <v>1.0000000000000135</v>
      </c>
      <c r="E35" s="14" cm="1">
        <f t="array" ref="E35">B35-P_xt*D35+gamma2*(C35-Act_axn_k(x,n,Sex,Tafel,Zins,1)/Act_axn_k(x,t,Sex,Tafel,Zins,1)*D35)</f>
        <v>0.81818830860847247</v>
      </c>
      <c r="F35" s="17">
        <f t="shared" si="0"/>
        <v>81818.830860847243</v>
      </c>
      <c r="G35" s="14">
        <f t="shared" si="5"/>
        <v>0.87298017007880635</v>
      </c>
      <c r="H35" s="17" cm="1">
        <f t="array" ref="H35">F35+alpha*t*BJB*Act_axn_k(x+A35,MAX(5-A35,0),Sex,Tafel,Zins,1)/Act_axn_k(x,5,Sex,Tafel,Zins,1)</f>
        <v>81818.830860847243</v>
      </c>
      <c r="I35" s="20">
        <f t="shared" si="2"/>
        <v>0</v>
      </c>
      <c r="J35" s="17">
        <f t="shared" si="3"/>
        <v>150</v>
      </c>
      <c r="K35" s="17">
        <f t="shared" si="6"/>
        <v>81668.830860847243</v>
      </c>
      <c r="L35" s="17">
        <f t="shared" si="4"/>
        <v>93723.584641631925</v>
      </c>
    </row>
    <row r="36" spans="1:12" x14ac:dyDescent="0.25">
      <c r="A36">
        <v>20</v>
      </c>
      <c r="B36" s="14" cm="1">
        <f t="array" ref="B36">IF(A36&lt;=n,act_nGrAx(x+$A36,MAX(0,n-$A36),Sex,Tafel,Zins)+Act_Dx(x+n,Sex,Tafel,Zins)/Act_Dx(x+$A36,Sex,Tafel,Zins),0)</f>
        <v>0.86286695305181282</v>
      </c>
      <c r="C36" s="21" cm="1">
        <f t="array" ref="C36">Act_axn_k(x+$A36,MAX(0,n-$A36),Sex,Tafel,Zins,1)</f>
        <v>7.9733071582733199</v>
      </c>
      <c r="D36" s="21" cm="1">
        <f t="array" ref="D36">Act_axn_k(x+$A36,MAX(0,t-$A36),Sex,Tafel,Zins,1)</f>
        <v>0</v>
      </c>
      <c r="E36" s="14" cm="1">
        <f t="array" ref="E36">B36-P_xt*D36+gamma2*(C36-Act_axn_k(x,n,Sex,Tafel,Zins,1)/Act_axn_k(x,t,Sex,Tafel,Zins,1)*D36)</f>
        <v>0.87283358699965452</v>
      </c>
      <c r="F36" s="17">
        <f t="shared" si="0"/>
        <v>87283.358699965451</v>
      </c>
      <c r="G36" s="14">
        <f t="shared" si="5"/>
        <v>0.88280022094749611</v>
      </c>
      <c r="H36" s="17" cm="1">
        <f t="array" ref="H36">F36+alpha*t*BJB*Act_axn_k(x+A36,MAX(5-A36,0),Sex,Tafel,Zins,1)/Act_axn_k(x,5,Sex,Tafel,Zins,1)</f>
        <v>87283.358699965451</v>
      </c>
      <c r="I36" s="20">
        <f t="shared" si="2"/>
        <v>0</v>
      </c>
      <c r="J36" s="17">
        <f t="shared" si="3"/>
        <v>127.1664130003455</v>
      </c>
      <c r="K36" s="17">
        <f t="shared" si="6"/>
        <v>87156.192286965103</v>
      </c>
      <c r="L36" s="17">
        <f t="shared" si="4"/>
        <v>100000</v>
      </c>
    </row>
    <row r="37" spans="1:12" x14ac:dyDescent="0.25">
      <c r="A37">
        <v>21</v>
      </c>
      <c r="B37" s="14" cm="1">
        <f t="array" ref="B37">IF(A37&lt;=n,act_nGrAx(x+$A37,MAX(0,n-$A37),Sex,Tafel,Zins)+Act_Dx(x+n,Sex,Tafel,Zins)/Act_Dx(x+$A37,Sex,Tafel,Zins),0)</f>
        <v>0.87457139613785773</v>
      </c>
      <c r="C37" s="21" cm="1">
        <f t="array" ref="C37">Act_axn_k(x+$A37,MAX(0,n-$A37),Sex,Tafel,Zins,1)</f>
        <v>7.2927773959845634</v>
      </c>
      <c r="D37" s="21" cm="1">
        <f t="array" ref="D37">Act_axn_k(x+$A37,MAX(0,t-$A37),Sex,Tafel,Zins,1)</f>
        <v>0</v>
      </c>
      <c r="E37" s="14" cm="1">
        <f t="array" ref="E37">B37-P_xt*D37+gamma2*(C37-Act_axn_k(x,n,Sex,Tafel,Zins,1)/Act_axn_k(x,t,Sex,Tafel,Zins,1)*D37)</f>
        <v>0.88368736788283841</v>
      </c>
      <c r="F37" s="17">
        <f t="shared" si="0"/>
        <v>88368.736788283844</v>
      </c>
      <c r="G37" s="14">
        <f t="shared" si="5"/>
        <v>0.8928033396278191</v>
      </c>
      <c r="H37" s="17" cm="1">
        <f t="array" ref="H37">F37+alpha*t*BJB*Act_axn_k(x+A37,MAX(5-A37,0),Sex,Tafel,Zins,1)/Act_axn_k(x,5,Sex,Tafel,Zins,1)</f>
        <v>88368.736788283844</v>
      </c>
      <c r="I37" s="20">
        <f t="shared" si="2"/>
        <v>0</v>
      </c>
      <c r="J37" s="17">
        <f t="shared" si="3"/>
        <v>116.31263211716156</v>
      </c>
      <c r="K37" s="17">
        <f t="shared" si="6"/>
        <v>88252.424156166686</v>
      </c>
      <c r="L37" s="17">
        <f t="shared" si="4"/>
        <v>100000</v>
      </c>
    </row>
    <row r="38" spans="1:12" x14ac:dyDescent="0.25">
      <c r="A38">
        <v>22</v>
      </c>
      <c r="B38" s="14" cm="1">
        <f t="array" ref="B38">IF(A38&lt;=n,act_nGrAx(x+$A38,MAX(0,n-$A38),Sex,Tafel,Zins)+Act_Dx(x+n,Sex,Tafel,Zins)/Act_Dx(x+$A38,Sex,Tafel,Zins),0)</f>
        <v>0.8865229209295824</v>
      </c>
      <c r="C38" s="21" cm="1">
        <f t="array" ref="C38">Act_axn_k(x+$A38,MAX(0,n-$A38),Sex,Tafel,Zins,1)</f>
        <v>6.5978815973800593</v>
      </c>
      <c r="D38" s="21" cm="1">
        <f t="array" ref="D38">Act_axn_k(x+$A38,MAX(0,t-$A38),Sex,Tafel,Zins,1)</f>
        <v>0</v>
      </c>
      <c r="E38" s="14" cm="1">
        <f t="array" ref="E38">B38-P_xt*D38+gamma2*(C38-Act_axn_k(x,n,Sex,Tafel,Zins,1)/Act_axn_k(x,t,Sex,Tafel,Zins,1)*D38)</f>
        <v>0.89477027292630751</v>
      </c>
      <c r="F38" s="17">
        <f t="shared" si="0"/>
        <v>89477.027292630752</v>
      </c>
      <c r="G38" s="14">
        <f t="shared" si="5"/>
        <v>0.9030176249230325</v>
      </c>
      <c r="H38" s="17" cm="1">
        <f t="array" ref="H38">F38+alpha*t*BJB*Act_axn_k(x+A38,MAX(5-A38,0),Sex,Tafel,Zins,1)/Act_axn_k(x,5,Sex,Tafel,Zins,1)</f>
        <v>89477.027292630752</v>
      </c>
      <c r="I38" s="20">
        <f t="shared" si="2"/>
        <v>0</v>
      </c>
      <c r="J38" s="17">
        <f t="shared" si="3"/>
        <v>105.22972707369249</v>
      </c>
      <c r="K38" s="17">
        <f t="shared" si="6"/>
        <v>89371.797565557063</v>
      </c>
      <c r="L38" s="17">
        <f t="shared" si="4"/>
        <v>100000</v>
      </c>
    </row>
    <row r="39" spans="1:12" x14ac:dyDescent="0.25">
      <c r="A39">
        <v>23</v>
      </c>
      <c r="B39" s="14" cm="1">
        <f t="array" ref="B39">IF(A39&lt;=n,act_nGrAx(x+$A39,MAX(0,n-$A39),Sex,Tafel,Zins)+Act_Dx(x+n,Sex,Tafel,Zins)/Act_Dx(x+$A39,Sex,Tafel,Zins),0)</f>
        <v>0.8987620235062812</v>
      </c>
      <c r="C39" s="21" cm="1">
        <f t="array" ref="C39">Act_axn_k(x+$A39,MAX(0,n-$A39),Sex,Tafel,Zins,1)</f>
        <v>5.8862652047064685</v>
      </c>
      <c r="D39" s="21" cm="1">
        <f t="array" ref="D39">Act_axn_k(x+$A39,MAX(0,t-$A39),Sex,Tafel,Zins,1)</f>
        <v>0</v>
      </c>
      <c r="E39" s="14" cm="1">
        <f t="array" ref="E39">B39-P_xt*D39+gamma2*(C39-Act_axn_k(x,n,Sex,Tafel,Zins,1)/Act_axn_k(x,t,Sex,Tafel,Zins,1)*D39)</f>
        <v>0.9061198550121643</v>
      </c>
      <c r="F39" s="17">
        <f t="shared" si="0"/>
        <v>90611.985501216433</v>
      </c>
      <c r="G39" s="14">
        <f t="shared" si="5"/>
        <v>0.91347768651804739</v>
      </c>
      <c r="H39" s="17" cm="1">
        <f t="array" ref="H39">F39+alpha*t*BJB*Act_axn_k(x+A39,MAX(5-A39,0),Sex,Tafel,Zins,1)/Act_axn_k(x,5,Sex,Tafel,Zins,1)</f>
        <v>90611.985501216433</v>
      </c>
      <c r="I39" s="20">
        <f t="shared" si="2"/>
        <v>0</v>
      </c>
      <c r="J39" s="17">
        <f t="shared" si="3"/>
        <v>93.880144987835664</v>
      </c>
      <c r="K39" s="17">
        <f t="shared" si="6"/>
        <v>90518.105356228596</v>
      </c>
      <c r="L39" s="17">
        <f t="shared" si="4"/>
        <v>100000</v>
      </c>
    </row>
    <row r="40" spans="1:12" x14ac:dyDescent="0.25">
      <c r="A40">
        <v>24</v>
      </c>
      <c r="B40" s="14" cm="1">
        <f t="array" ref="B40">IF(A40&lt;=n,act_nGrAx(x+$A40,MAX(0,n-$A40),Sex,Tafel,Zins)+Act_Dx(x+n,Sex,Tafel,Zins)/Act_Dx(x+$A40,Sex,Tafel,Zins),0)</f>
        <v>0.91133090160358243</v>
      </c>
      <c r="C40" s="21" cm="1">
        <f t="array" ref="C40">Act_axn_k(x+$A40,MAX(0,n-$A40),Sex,Tafel,Zins,1)</f>
        <v>5.1554747210492895</v>
      </c>
      <c r="D40" s="21" cm="1">
        <f t="array" ref="D40">Act_axn_k(x+$A40,MAX(0,t-$A40),Sex,Tafel,Zins,1)</f>
        <v>0</v>
      </c>
      <c r="E40" s="14" cm="1">
        <f t="array" ref="E40">B40-P_xt*D40+gamma2*(C40-Act_axn_k(x,n,Sex,Tafel,Zins,1)/Act_axn_k(x,t,Sex,Tafel,Zins,1)*D40)</f>
        <v>0.91777524500489405</v>
      </c>
      <c r="F40" s="17">
        <f t="shared" si="0"/>
        <v>91777.52450048941</v>
      </c>
      <c r="G40" s="14">
        <f t="shared" si="5"/>
        <v>0.92421958840620566</v>
      </c>
      <c r="H40" s="17" cm="1">
        <f t="array" ref="H40">F40+alpha*t*BJB*Act_axn_k(x+A40,MAX(5-A40,0),Sex,Tafel,Zins,1)/Act_axn_k(x,5,Sex,Tafel,Zins,1)</f>
        <v>91777.52450048941</v>
      </c>
      <c r="I40" s="20">
        <f t="shared" si="2"/>
        <v>0</v>
      </c>
      <c r="J40" s="17">
        <f t="shared" si="3"/>
        <v>82.224754995105911</v>
      </c>
      <c r="K40" s="17">
        <f t="shared" si="6"/>
        <v>91695.299745494311</v>
      </c>
      <c r="L40" s="17">
        <f t="shared" si="4"/>
        <v>100000</v>
      </c>
    </row>
    <row r="41" spans="1:12" x14ac:dyDescent="0.25">
      <c r="A41">
        <v>25</v>
      </c>
      <c r="B41" s="14" cm="1">
        <f t="array" ref="B41">IF(A41&lt;=n,act_nGrAx(x+$A41,MAX(0,n-$A41),Sex,Tafel,Zins)+Act_Dx(x+n,Sex,Tafel,Zins)/Act_Dx(x+$A41,Sex,Tafel,Zins),0)</f>
        <v>0.92431034120507272</v>
      </c>
      <c r="C41" s="21" cm="1">
        <f t="array" ref="C41">Act_axn_k(x+$A41,MAX(0,n-$A41),Sex,Tafel,Zins,1)</f>
        <v>4.4008130185055094</v>
      </c>
      <c r="D41" s="21" cm="1">
        <f t="array" ref="D41">Act_axn_k(x+$A41,MAX(0,t-$A41),Sex,Tafel,Zins,1)</f>
        <v>0</v>
      </c>
      <c r="E41" s="14" cm="1">
        <f t="array" ref="E41">B41-P_xt*D41+gamma2*(C41-Act_axn_k(x,n,Sex,Tafel,Zins,1)/Act_axn_k(x,t,Sex,Tafel,Zins,1)*D41)</f>
        <v>0.92981135747820465</v>
      </c>
      <c r="F41" s="17">
        <f t="shared" si="0"/>
        <v>92981.135747820459</v>
      </c>
      <c r="G41" s="14">
        <f t="shared" si="5"/>
        <v>0.93531237375133647</v>
      </c>
      <c r="H41" s="17" cm="1">
        <f t="array" ref="H41">F41+alpha*t*BJB*Act_axn_k(x+A41,MAX(5-A41,0),Sex,Tafel,Zins,1)/Act_axn_k(x,5,Sex,Tafel,Zins,1)</f>
        <v>92981.135747820459</v>
      </c>
      <c r="I41" s="20">
        <f t="shared" si="2"/>
        <v>1</v>
      </c>
      <c r="J41" s="17">
        <f t="shared" si="3"/>
        <v>0</v>
      </c>
      <c r="K41" s="17">
        <f t="shared" si="6"/>
        <v>92981.135747820459</v>
      </c>
      <c r="L41" s="17">
        <f t="shared" si="4"/>
        <v>100000</v>
      </c>
    </row>
    <row r="42" spans="1:12" x14ac:dyDescent="0.25">
      <c r="A42">
        <v>26</v>
      </c>
      <c r="B42" s="14" cm="1">
        <f t="array" ref="B42">IF(A42&lt;=n,act_nGrAx(x+$A42,MAX(0,n-$A42),Sex,Tafel,Zins)+Act_Dx(x+n,Sex,Tafel,Zins)/Act_Dx(x+$A42,Sex,Tafel,Zins),0)</f>
        <v>0.93780342028269004</v>
      </c>
      <c r="C42" s="21" cm="1">
        <f t="array" ref="C42">Act_axn_k(x+$A42,MAX(0,n-$A42),Sex,Tafel,Zins,1)</f>
        <v>3.6162868492781763</v>
      </c>
      <c r="D42" s="21" cm="1">
        <f t="array" ref="D42">Act_axn_k(x+$A42,MAX(0,t-$A42),Sex,Tafel,Zins,1)</f>
        <v>0</v>
      </c>
      <c r="E42" s="14" cm="1">
        <f t="array" ref="E42">B42-P_xt*D42+gamma2*(C42-Act_axn_k(x,n,Sex,Tafel,Zins,1)/Act_axn_k(x,t,Sex,Tafel,Zins,1)*D42)</f>
        <v>0.94232377884428775</v>
      </c>
      <c r="F42" s="17">
        <f t="shared" si="0"/>
        <v>94232.377884428774</v>
      </c>
      <c r="G42" s="14">
        <f t="shared" si="5"/>
        <v>0.94684413740588547</v>
      </c>
      <c r="H42" s="17" cm="1">
        <f t="array" ref="H42">F42+alpha*t*BJB*Act_axn_k(x+A42,MAX(5-A42,0),Sex,Tafel,Zins,1)/Act_axn_k(x,5,Sex,Tafel,Zins,1)</f>
        <v>94232.377884428774</v>
      </c>
      <c r="I42" s="20">
        <f t="shared" si="2"/>
        <v>1</v>
      </c>
      <c r="J42" s="17">
        <f t="shared" si="3"/>
        <v>0</v>
      </c>
      <c r="K42" s="17">
        <f t="shared" si="6"/>
        <v>94232.377884428774</v>
      </c>
      <c r="L42" s="17">
        <f t="shared" si="4"/>
        <v>100000</v>
      </c>
    </row>
    <row r="43" spans="1:12" x14ac:dyDescent="0.25">
      <c r="A43">
        <v>27</v>
      </c>
      <c r="B43" s="14" cm="1">
        <f t="array" ref="B43">IF(A43&lt;=n,act_nGrAx(x+$A43,MAX(0,n-$A43),Sex,Tafel,Zins)+Act_Dx(x+n,Sex,Tafel,Zins)/Act_Dx(x+$A43,Sex,Tafel,Zins),0)</f>
        <v>0.95193678368427137</v>
      </c>
      <c r="C43" s="21" cm="1">
        <f t="array" ref="C43">Act_axn_k(x+$A43,MAX(0,n-$A43),Sex,Tafel,Zins,1)</f>
        <v>2.7945327200719374</v>
      </c>
      <c r="D43" s="21" cm="1">
        <f t="array" ref="D43">Act_axn_k(x+$A43,MAX(0,t-$A43),Sex,Tafel,Zins,1)</f>
        <v>0</v>
      </c>
      <c r="E43" s="14" cm="1">
        <f t="array" ref="E43">B43-P_xt*D43+gamma2*(C43-Act_axn_k(x,n,Sex,Tafel,Zins,1)/Act_axn_k(x,t,Sex,Tafel,Zins,1)*D43)</f>
        <v>0.95542994958436134</v>
      </c>
      <c r="F43" s="17">
        <f t="shared" si="0"/>
        <v>95542.994958436131</v>
      </c>
      <c r="G43" s="14">
        <f t="shared" si="5"/>
        <v>0.95892311548445119</v>
      </c>
      <c r="H43" s="17" cm="1">
        <f t="array" ref="H43">F43+alpha*t*BJB*Act_axn_k(x+A43,MAX(5-A43,0),Sex,Tafel,Zins,1)/Act_axn_k(x,5,Sex,Tafel,Zins,1)</f>
        <v>95542.994958436131</v>
      </c>
      <c r="I43" s="20">
        <f t="shared" si="2"/>
        <v>1</v>
      </c>
      <c r="J43" s="17">
        <f t="shared" si="3"/>
        <v>0</v>
      </c>
      <c r="K43" s="17">
        <f t="shared" si="6"/>
        <v>95542.994958436131</v>
      </c>
      <c r="L43" s="17">
        <f t="shared" si="4"/>
        <v>100000</v>
      </c>
    </row>
    <row r="44" spans="1:12" x14ac:dyDescent="0.25">
      <c r="A44">
        <v>28</v>
      </c>
      <c r="B44" s="14" cm="1">
        <f t="array" ref="B44">IF(A44&lt;=n,act_nGrAx(x+$A44,MAX(0,n-$A44),Sex,Tafel,Zins)+Act_Dx(x+n,Sex,Tafel,Zins)/Act_Dx(x+$A44,Sex,Tafel,Zins),0)</f>
        <v>0.96686923313754725</v>
      </c>
      <c r="C44" s="21" cm="1">
        <f t="array" ref="C44">Act_axn_k(x+$A44,MAX(0,n-$A44),Sex,Tafel,Zins,1)</f>
        <v>1.9263174447174185</v>
      </c>
      <c r="D44" s="21" cm="1">
        <f t="array" ref="D44">Act_axn_k(x+$A44,MAX(0,t-$A44),Sex,Tafel,Zins,1)</f>
        <v>0</v>
      </c>
      <c r="E44" s="14" cm="1">
        <f t="array" ref="E44">B44-P_xt*D44+gamma2*(C44-Act_axn_k(x,n,Sex,Tafel,Zins,1)/Act_axn_k(x,t,Sex,Tafel,Zins,1)*D44)</f>
        <v>0.96927712994344406</v>
      </c>
      <c r="F44" s="17">
        <f t="shared" si="0"/>
        <v>96927.712994344402</v>
      </c>
      <c r="G44" s="14">
        <f t="shared" si="5"/>
        <v>0.97168502674934076</v>
      </c>
      <c r="H44" s="17" cm="1">
        <f t="array" ref="H44">F44+alpha*t*BJB*Act_axn_k(x+A44,MAX(5-A44,0),Sex,Tafel,Zins,1)/Act_axn_k(x,5,Sex,Tafel,Zins,1)</f>
        <v>96927.712994344402</v>
      </c>
      <c r="I44" s="20">
        <f t="shared" si="2"/>
        <v>1</v>
      </c>
      <c r="J44" s="17">
        <f t="shared" si="3"/>
        <v>0</v>
      </c>
      <c r="K44" s="17">
        <f t="shared" si="6"/>
        <v>96927.712994344402</v>
      </c>
      <c r="L44" s="17">
        <f t="shared" si="4"/>
        <v>100000</v>
      </c>
    </row>
    <row r="45" spans="1:12" x14ac:dyDescent="0.25">
      <c r="A45">
        <v>29</v>
      </c>
      <c r="B45" s="14" cm="1">
        <f t="array" ref="B45">IF(A45&lt;=n,act_nGrAx(x+$A45,MAX(0,n-$A45),Sex,Tafel,Zins)+Act_Dx(x+n,Sex,Tafel,Zins)/Act_Dx(x+$A45,Sex,Tafel,Zins),0)</f>
        <v>0.98280098280099193</v>
      </c>
      <c r="C45" s="21" cm="1">
        <f t="array" ref="C45">Act_axn_k(x+$A45,MAX(0,n-$A45),Sex,Tafel,Zins,1)</f>
        <v>0.99999999999999956</v>
      </c>
      <c r="D45" s="21" cm="1">
        <f t="array" ref="D45">Act_axn_k(x+$A45,MAX(0,t-$A45),Sex,Tafel,Zins,1)</f>
        <v>0</v>
      </c>
      <c r="E45" s="14" cm="1">
        <f t="array" ref="E45">B45-P_xt*D45+gamma2*(C45-Act_axn_k(x,n,Sex,Tafel,Zins,1)/Act_axn_k(x,t,Sex,Tafel,Zins,1)*D45)</f>
        <v>0.9840509828009919</v>
      </c>
      <c r="F45" s="17">
        <f t="shared" si="0"/>
        <v>98405.098280099191</v>
      </c>
      <c r="G45" s="14">
        <f t="shared" si="5"/>
        <v>0.98530098280099188</v>
      </c>
      <c r="H45" s="17" cm="1">
        <f t="array" ref="H45">F45+alpha*t*BJB*Act_axn_k(x+A45,MAX(5-A45,0),Sex,Tafel,Zins,1)/Act_axn_k(x,5,Sex,Tafel,Zins,1)</f>
        <v>98405.098280099191</v>
      </c>
      <c r="I45" s="20">
        <f t="shared" si="2"/>
        <v>1</v>
      </c>
      <c r="J45" s="17">
        <f t="shared" si="3"/>
        <v>0</v>
      </c>
      <c r="K45" s="17">
        <f t="shared" si="6"/>
        <v>98405.098280099191</v>
      </c>
      <c r="L45" s="17">
        <f t="shared" si="4"/>
        <v>100000</v>
      </c>
    </row>
    <row r="46" spans="1:12" x14ac:dyDescent="0.25">
      <c r="A46">
        <v>30</v>
      </c>
      <c r="B46" s="14" cm="1">
        <f t="array" ref="B46">IF(A46&lt;=n,act_nGrAx(x+$A46,MAX(0,n-$A46),Sex,Tafel,Zins)+Act_Dx(x+n,Sex,Tafel,Zins)/Act_Dx(x+$A46,Sex,Tafel,Zins),0)</f>
        <v>1</v>
      </c>
      <c r="C46" s="21" cm="1">
        <f t="array" ref="C46">Act_axn_k(x+$A46,MAX(0,n-$A46),Sex,Tafel,Zins,1)</f>
        <v>0</v>
      </c>
      <c r="D46" s="21" cm="1">
        <f t="array" ref="D46">Act_axn_k(x+$A46,MAX(0,t-$A46),Sex,Tafel,Zins,1)</f>
        <v>0</v>
      </c>
      <c r="E46" s="14" cm="1">
        <f t="array" ref="E46">B46-P_xt*D46+gamma2*(C46-Act_axn_k(x,n,Sex,Tafel,Zins,1)/Act_axn_k(x,t,Sex,Tafel,Zins,1)*D46)</f>
        <v>1</v>
      </c>
      <c r="F46" s="17">
        <f t="shared" si="0"/>
        <v>100000</v>
      </c>
      <c r="G46" s="14">
        <f t="shared" si="5"/>
        <v>1</v>
      </c>
      <c r="H46" s="17" cm="1">
        <f t="array" ref="H46">F46+alpha*t*BJB*Act_axn_k(x+A46,MAX(5-A46,0),Sex,Tafel,Zins,1)/Act_axn_k(x,5,Sex,Tafel,Zins,1)</f>
        <v>100000</v>
      </c>
      <c r="I46" s="20">
        <f t="shared" si="2"/>
        <v>1</v>
      </c>
      <c r="J46" s="17">
        <f t="shared" si="3"/>
        <v>0</v>
      </c>
      <c r="K46" s="17">
        <f t="shared" si="6"/>
        <v>100000</v>
      </c>
      <c r="L46" s="17">
        <f t="shared" si="4"/>
        <v>100000</v>
      </c>
    </row>
    <row r="47" spans="1:12" x14ac:dyDescent="0.25">
      <c r="A47">
        <v>31</v>
      </c>
      <c r="B47" s="14" cm="1">
        <f t="array" ref="B47">IF(A47&lt;=n,act_nGrAx(x+$A47,MAX(0,n-$A47),Sex,Tafel,Zins)+Act_Dx(x+n,Sex,Tafel,Zins)/Act_Dx(x+$A47,Sex,Tafel,Zins),0)</f>
        <v>0</v>
      </c>
      <c r="C47" s="21" cm="1">
        <f t="array" ref="C47">Act_axn_k(x+$A47,MAX(0,n-$A47),Sex,Tafel,Zins,1)</f>
        <v>0</v>
      </c>
      <c r="D47" s="21" cm="1">
        <f t="array" ref="D47">Act_axn_k(x+$A47,MAX(0,t-$A47),Sex,Tafel,Zins,1)</f>
        <v>0</v>
      </c>
      <c r="E47" s="14" cm="1">
        <f t="array" ref="E47">B47-P_xt*D47+gamma2*(C47-Act_axn_k(x,n,Sex,Tafel,Zins,1)/Act_axn_k(x,t,Sex,Tafel,Zins,1)*D47)</f>
        <v>0</v>
      </c>
      <c r="F47" s="17">
        <f t="shared" si="0"/>
        <v>0</v>
      </c>
      <c r="G47" s="14">
        <f t="shared" si="5"/>
        <v>0</v>
      </c>
      <c r="H47" s="17" cm="1">
        <f t="array" ref="H47">F47+alpha*t*BJB*Act_axn_k(x+A47,MAX(5-A47,0),Sex,Tafel,Zins,1)/Act_axn_k(x,5,Sex,Tafel,Zins,1)</f>
        <v>0</v>
      </c>
      <c r="I47" s="20">
        <f t="shared" si="2"/>
        <v>1</v>
      </c>
      <c r="J47" s="17">
        <f t="shared" si="3"/>
        <v>0</v>
      </c>
      <c r="K47" s="17">
        <f t="shared" si="6"/>
        <v>0</v>
      </c>
      <c r="L47" s="17">
        <f t="shared" si="4"/>
        <v>0</v>
      </c>
    </row>
    <row r="48" spans="1:12" x14ac:dyDescent="0.25">
      <c r="A48">
        <v>32</v>
      </c>
      <c r="B48" s="14" cm="1">
        <f t="array" ref="B48">IF(A48&lt;=n,act_nGrAx(x+$A48,MAX(0,n-$A48),Sex,Tafel,Zins)+Act_Dx(x+n,Sex,Tafel,Zins)/Act_Dx(x+$A48,Sex,Tafel,Zins),0)</f>
        <v>0</v>
      </c>
      <c r="C48" s="21" cm="1">
        <f t="array" ref="C48">Act_axn_k(x+$A48,MAX(0,n-$A48),Sex,Tafel,Zins,1)</f>
        <v>0</v>
      </c>
      <c r="D48" s="21" cm="1">
        <f t="array" ref="D48">Act_axn_k(x+$A48,MAX(0,t-$A48),Sex,Tafel,Zins,1)</f>
        <v>0</v>
      </c>
      <c r="E48" s="14" cm="1">
        <f t="array" ref="E48">B48-P_xt*D48+gamma2*(C48-Act_axn_k(x,n,Sex,Tafel,Zins,1)/Act_axn_k(x,t,Sex,Tafel,Zins,1)*D48)</f>
        <v>0</v>
      </c>
      <c r="F48" s="17">
        <f t="shared" si="0"/>
        <v>0</v>
      </c>
      <c r="G48" s="14">
        <f t="shared" si="5"/>
        <v>0</v>
      </c>
      <c r="H48" s="17" cm="1">
        <f t="array" ref="H48">F48+alpha*t*BJB*Act_axn_k(x+A48,MAX(5-A48,0),Sex,Tafel,Zins,1)/Act_axn_k(x,5,Sex,Tafel,Zins,1)</f>
        <v>0</v>
      </c>
      <c r="I48" s="20">
        <f t="shared" ref="I48:I66" si="7">IF(AND(x+A48&gt;=MinAlterFlex,A48&gt;=n-MinRLZFlex),1,0)</f>
        <v>1</v>
      </c>
      <c r="J48" s="17">
        <f t="shared" ref="J48:J66" si="8">IF(OR(A48&gt;n,I48),0,MIN(150,MAX(50,1%*(VS-F48))))</f>
        <v>0</v>
      </c>
      <c r="K48" s="17">
        <f t="shared" si="6"/>
        <v>0</v>
      </c>
      <c r="L48" s="17">
        <f t="shared" ref="L48:L66" si="9">IFERROR(IF(A48&gt;n,0,IF(A48&lt;t,H48/G48,VS)),0)</f>
        <v>0</v>
      </c>
    </row>
    <row r="49" spans="1:12" x14ac:dyDescent="0.25">
      <c r="A49">
        <v>33</v>
      </c>
      <c r="B49" s="14" cm="1">
        <f t="array" ref="B49">IF(A49&lt;=n,act_nGrAx(x+$A49,MAX(0,n-$A49),Sex,Tafel,Zins)+Act_Dx(x+n,Sex,Tafel,Zins)/Act_Dx(x+$A49,Sex,Tafel,Zins),0)</f>
        <v>0</v>
      </c>
      <c r="C49" s="21" cm="1">
        <f t="array" ref="C49">Act_axn_k(x+$A49,MAX(0,n-$A49),Sex,Tafel,Zins,1)</f>
        <v>0</v>
      </c>
      <c r="D49" s="21" cm="1">
        <f t="array" ref="D49">Act_axn_k(x+$A49,MAX(0,t-$A49),Sex,Tafel,Zins,1)</f>
        <v>0</v>
      </c>
      <c r="E49" s="14" cm="1">
        <f t="array" ref="E49">B49-P_xt*D49+gamma2*(C49-Act_axn_k(x,n,Sex,Tafel,Zins,1)/Act_axn_k(x,t,Sex,Tafel,Zins,1)*D49)</f>
        <v>0</v>
      </c>
      <c r="F49" s="17">
        <f t="shared" si="0"/>
        <v>0</v>
      </c>
      <c r="G49" s="14">
        <f t="shared" si="5"/>
        <v>0</v>
      </c>
      <c r="H49" s="17" cm="1">
        <f t="array" ref="H49">F49+alpha*t*BJB*Act_axn_k(x+A49,MAX(5-A49,0),Sex,Tafel,Zins,1)/Act_axn_k(x,5,Sex,Tafel,Zins,1)</f>
        <v>0</v>
      </c>
      <c r="I49" s="20">
        <f t="shared" si="7"/>
        <v>1</v>
      </c>
      <c r="J49" s="17">
        <f t="shared" si="8"/>
        <v>0</v>
      </c>
      <c r="K49" s="17">
        <f t="shared" si="6"/>
        <v>0</v>
      </c>
      <c r="L49" s="17">
        <f t="shared" si="9"/>
        <v>0</v>
      </c>
    </row>
    <row r="50" spans="1:12" x14ac:dyDescent="0.25">
      <c r="A50">
        <v>34</v>
      </c>
      <c r="B50" s="14" cm="1">
        <f t="array" ref="B50">IF(A50&lt;=n,act_nGrAx(x+$A50,MAX(0,n-$A50),Sex,Tafel,Zins)+Act_Dx(x+n,Sex,Tafel,Zins)/Act_Dx(x+$A50,Sex,Tafel,Zins),0)</f>
        <v>0</v>
      </c>
      <c r="C50" s="21" cm="1">
        <f t="array" ref="C50">Act_axn_k(x+$A50,MAX(0,n-$A50),Sex,Tafel,Zins,1)</f>
        <v>0</v>
      </c>
      <c r="D50" s="21" cm="1">
        <f t="array" ref="D50">Act_axn_k(x+$A50,MAX(0,t-$A50),Sex,Tafel,Zins,1)</f>
        <v>0</v>
      </c>
      <c r="E50" s="14" cm="1">
        <f t="array" ref="E50">B50-P_xt*D50+gamma2*(C50-Act_axn_k(x,n,Sex,Tafel,Zins,1)/Act_axn_k(x,t,Sex,Tafel,Zins,1)*D50)</f>
        <v>0</v>
      </c>
      <c r="F50" s="17">
        <f t="shared" si="0"/>
        <v>0</v>
      </c>
      <c r="G50" s="14">
        <f t="shared" si="5"/>
        <v>0</v>
      </c>
      <c r="H50" s="17" cm="1">
        <f t="array" ref="H50">F50+alpha*t*BJB*Act_axn_k(x+A50,MAX(5-A50,0),Sex,Tafel,Zins,1)/Act_axn_k(x,5,Sex,Tafel,Zins,1)</f>
        <v>0</v>
      </c>
      <c r="I50" s="20">
        <f t="shared" si="7"/>
        <v>1</v>
      </c>
      <c r="J50" s="17">
        <f t="shared" si="8"/>
        <v>0</v>
      </c>
      <c r="K50" s="17">
        <f t="shared" si="6"/>
        <v>0</v>
      </c>
      <c r="L50" s="17">
        <f t="shared" si="9"/>
        <v>0</v>
      </c>
    </row>
    <row r="51" spans="1:12" x14ac:dyDescent="0.25">
      <c r="A51">
        <v>35</v>
      </c>
      <c r="B51" s="14" cm="1">
        <f t="array" ref="B51">IF(A51&lt;=n,act_nGrAx(x+$A51,MAX(0,n-$A51),Sex,Tafel,Zins)+Act_Dx(x+n,Sex,Tafel,Zins)/Act_Dx(x+$A51,Sex,Tafel,Zins),0)</f>
        <v>0</v>
      </c>
      <c r="C51" s="21" cm="1">
        <f t="array" ref="C51">Act_axn_k(x+$A51,MAX(0,n-$A51),Sex,Tafel,Zins,1)</f>
        <v>0</v>
      </c>
      <c r="D51" s="21" cm="1">
        <f t="array" ref="D51">Act_axn_k(x+$A51,MAX(0,t-$A51),Sex,Tafel,Zins,1)</f>
        <v>0</v>
      </c>
      <c r="E51" s="14" cm="1">
        <f t="array" ref="E51">B51-P_xt*D51+gamma2*(C51-Act_axn_k(x,n,Sex,Tafel,Zins,1)/Act_axn_k(x,t,Sex,Tafel,Zins,1)*D51)</f>
        <v>0</v>
      </c>
      <c r="F51" s="17">
        <f t="shared" si="0"/>
        <v>0</v>
      </c>
      <c r="G51" s="14">
        <f t="shared" si="5"/>
        <v>0</v>
      </c>
      <c r="H51" s="17" cm="1">
        <f t="array" ref="H51">F51+alpha*t*BJB*Act_axn_k(x+A51,MAX(5-A51,0),Sex,Tafel,Zins,1)/Act_axn_k(x,5,Sex,Tafel,Zins,1)</f>
        <v>0</v>
      </c>
      <c r="I51" s="20">
        <f t="shared" si="7"/>
        <v>1</v>
      </c>
      <c r="J51" s="17">
        <f t="shared" si="8"/>
        <v>0</v>
      </c>
      <c r="K51" s="17">
        <f t="shared" si="6"/>
        <v>0</v>
      </c>
      <c r="L51" s="17">
        <f t="shared" si="9"/>
        <v>0</v>
      </c>
    </row>
    <row r="52" spans="1:12" x14ac:dyDescent="0.25">
      <c r="A52">
        <v>36</v>
      </c>
      <c r="B52" s="14" cm="1">
        <f t="array" ref="B52">IF(A52&lt;=n,act_nGrAx(x+$A52,MAX(0,n-$A52),Sex,Tafel,Zins)+Act_Dx(x+n,Sex,Tafel,Zins)/Act_Dx(x+$A52,Sex,Tafel,Zins),0)</f>
        <v>0</v>
      </c>
      <c r="C52" s="21" cm="1">
        <f t="array" ref="C52">Act_axn_k(x+$A52,MAX(0,n-$A52),Sex,Tafel,Zins,1)</f>
        <v>0</v>
      </c>
      <c r="D52" s="21" cm="1">
        <f t="array" ref="D52">Act_axn_k(x+$A52,MAX(0,t-$A52),Sex,Tafel,Zins,1)</f>
        <v>0</v>
      </c>
      <c r="E52" s="14" cm="1">
        <f t="array" ref="E52">B52-P_xt*D52+gamma2*(C52-Act_axn_k(x,n,Sex,Tafel,Zins,1)/Act_axn_k(x,t,Sex,Tafel,Zins,1)*D52)</f>
        <v>0</v>
      </c>
      <c r="F52" s="17">
        <f t="shared" si="0"/>
        <v>0</v>
      </c>
      <c r="G52" s="14">
        <f t="shared" si="5"/>
        <v>0</v>
      </c>
      <c r="H52" s="17" cm="1">
        <f t="array" ref="H52">F52+alpha*t*BJB*Act_axn_k(x+A52,MAX(5-A52,0),Sex,Tafel,Zins,1)/Act_axn_k(x,5,Sex,Tafel,Zins,1)</f>
        <v>0</v>
      </c>
      <c r="I52" s="20">
        <f t="shared" si="7"/>
        <v>1</v>
      </c>
      <c r="J52" s="17">
        <f t="shared" si="8"/>
        <v>0</v>
      </c>
      <c r="K52" s="17">
        <f t="shared" si="6"/>
        <v>0</v>
      </c>
      <c r="L52" s="17">
        <f t="shared" si="9"/>
        <v>0</v>
      </c>
    </row>
    <row r="53" spans="1:12" x14ac:dyDescent="0.25">
      <c r="A53">
        <v>37</v>
      </c>
      <c r="B53" s="14" cm="1">
        <f t="array" ref="B53">IF(A53&lt;=n,act_nGrAx(x+$A53,MAX(0,n-$A53),Sex,Tafel,Zins)+Act_Dx(x+n,Sex,Tafel,Zins)/Act_Dx(x+$A53,Sex,Tafel,Zins),0)</f>
        <v>0</v>
      </c>
      <c r="C53" s="21" cm="1">
        <f t="array" ref="C53">Act_axn_k(x+$A53,MAX(0,n-$A53),Sex,Tafel,Zins,1)</f>
        <v>0</v>
      </c>
      <c r="D53" s="21" cm="1">
        <f t="array" ref="D53">Act_axn_k(x+$A53,MAX(0,t-$A53),Sex,Tafel,Zins,1)</f>
        <v>0</v>
      </c>
      <c r="E53" s="14" cm="1">
        <f t="array" ref="E53">B53-P_xt*D53+gamma2*(C53-Act_axn_k(x,n,Sex,Tafel,Zins,1)/Act_axn_k(x,t,Sex,Tafel,Zins,1)*D53)</f>
        <v>0</v>
      </c>
      <c r="F53" s="17">
        <f t="shared" si="0"/>
        <v>0</v>
      </c>
      <c r="G53" s="14">
        <f t="shared" si="5"/>
        <v>0</v>
      </c>
      <c r="H53" s="17" cm="1">
        <f t="array" ref="H53">F53+alpha*t*BJB*Act_axn_k(x+A53,MAX(5-A53,0),Sex,Tafel,Zins,1)/Act_axn_k(x,5,Sex,Tafel,Zins,1)</f>
        <v>0</v>
      </c>
      <c r="I53" s="20">
        <f t="shared" si="7"/>
        <v>1</v>
      </c>
      <c r="J53" s="17">
        <f t="shared" si="8"/>
        <v>0</v>
      </c>
      <c r="K53" s="17">
        <f t="shared" si="6"/>
        <v>0</v>
      </c>
      <c r="L53" s="17">
        <f t="shared" si="9"/>
        <v>0</v>
      </c>
    </row>
    <row r="54" spans="1:12" x14ac:dyDescent="0.25">
      <c r="A54">
        <v>38</v>
      </c>
      <c r="B54" s="14" cm="1">
        <f t="array" ref="B54">IF(A54&lt;=n,act_nGrAx(x+$A54,MAX(0,n-$A54),Sex,Tafel,Zins)+Act_Dx(x+n,Sex,Tafel,Zins)/Act_Dx(x+$A54,Sex,Tafel,Zins),0)</f>
        <v>0</v>
      </c>
      <c r="C54" s="21" cm="1">
        <f t="array" ref="C54">Act_axn_k(x+$A54,MAX(0,n-$A54),Sex,Tafel,Zins,1)</f>
        <v>0</v>
      </c>
      <c r="D54" s="21" cm="1">
        <f t="array" ref="D54">Act_axn_k(x+$A54,MAX(0,t-$A54),Sex,Tafel,Zins,1)</f>
        <v>0</v>
      </c>
      <c r="E54" s="14" cm="1">
        <f t="array" ref="E54">B54-P_xt*D54+gamma2*(C54-Act_axn_k(x,n,Sex,Tafel,Zins,1)/Act_axn_k(x,t,Sex,Tafel,Zins,1)*D54)</f>
        <v>0</v>
      </c>
      <c r="F54" s="17">
        <f t="shared" si="0"/>
        <v>0</v>
      </c>
      <c r="G54" s="14">
        <f t="shared" si="5"/>
        <v>0</v>
      </c>
      <c r="H54" s="17" cm="1">
        <f t="array" ref="H54">F54+alpha*t*BJB*Act_axn_k(x+A54,MAX(5-A54,0),Sex,Tafel,Zins,1)/Act_axn_k(x,5,Sex,Tafel,Zins,1)</f>
        <v>0</v>
      </c>
      <c r="I54" s="20">
        <f t="shared" si="7"/>
        <v>1</v>
      </c>
      <c r="J54" s="17">
        <f t="shared" si="8"/>
        <v>0</v>
      </c>
      <c r="K54" s="17">
        <f t="shared" si="6"/>
        <v>0</v>
      </c>
      <c r="L54" s="17">
        <f t="shared" si="9"/>
        <v>0</v>
      </c>
    </row>
    <row r="55" spans="1:12" x14ac:dyDescent="0.25">
      <c r="A55">
        <v>39</v>
      </c>
      <c r="B55" s="14" cm="1">
        <f t="array" ref="B55">IF(A55&lt;=n,act_nGrAx(x+$A55,MAX(0,n-$A55),Sex,Tafel,Zins)+Act_Dx(x+n,Sex,Tafel,Zins)/Act_Dx(x+$A55,Sex,Tafel,Zins),0)</f>
        <v>0</v>
      </c>
      <c r="C55" s="21" cm="1">
        <f t="array" ref="C55">Act_axn_k(x+$A55,MAX(0,n-$A55),Sex,Tafel,Zins,1)</f>
        <v>0</v>
      </c>
      <c r="D55" s="21" cm="1">
        <f t="array" ref="D55">Act_axn_k(x+$A55,MAX(0,t-$A55),Sex,Tafel,Zins,1)</f>
        <v>0</v>
      </c>
      <c r="E55" s="14" cm="1">
        <f t="array" ref="E55">B55-P_xt*D55+gamma2*(C55-Act_axn_k(x,n,Sex,Tafel,Zins,1)/Act_axn_k(x,t,Sex,Tafel,Zins,1)*D55)</f>
        <v>0</v>
      </c>
      <c r="F55" s="17">
        <f t="shared" si="0"/>
        <v>0</v>
      </c>
      <c r="G55" s="14">
        <f t="shared" si="5"/>
        <v>0</v>
      </c>
      <c r="H55" s="17" cm="1">
        <f t="array" ref="H55">F55+alpha*t*BJB*Act_axn_k(x+A55,MAX(5-A55,0),Sex,Tafel,Zins,1)/Act_axn_k(x,5,Sex,Tafel,Zins,1)</f>
        <v>0</v>
      </c>
      <c r="I55" s="20">
        <f t="shared" si="7"/>
        <v>1</v>
      </c>
      <c r="J55" s="17">
        <f t="shared" si="8"/>
        <v>0</v>
      </c>
      <c r="K55" s="17">
        <f t="shared" si="6"/>
        <v>0</v>
      </c>
      <c r="L55" s="17">
        <f t="shared" si="9"/>
        <v>0</v>
      </c>
    </row>
    <row r="56" spans="1:12" x14ac:dyDescent="0.25">
      <c r="A56">
        <v>40</v>
      </c>
      <c r="B56" s="14" cm="1">
        <f t="array" ref="B56">IF(A56&lt;=n,act_nGrAx(x+$A56,MAX(0,n-$A56),Sex,Tafel,Zins)+Act_Dx(x+n,Sex,Tafel,Zins)/Act_Dx(x+$A56,Sex,Tafel,Zins),0)</f>
        <v>0</v>
      </c>
      <c r="C56" s="21" cm="1">
        <f t="array" ref="C56">Act_axn_k(x+$A56,MAX(0,n-$A56),Sex,Tafel,Zins,1)</f>
        <v>0</v>
      </c>
      <c r="D56" s="21" cm="1">
        <f t="array" ref="D56">Act_axn_k(x+$A56,MAX(0,t-$A56),Sex,Tafel,Zins,1)</f>
        <v>0</v>
      </c>
      <c r="E56" s="14" cm="1">
        <f t="array" ref="E56">B56-P_xt*D56+gamma2*(C56-Act_axn_k(x,n,Sex,Tafel,Zins,1)/Act_axn_k(x,t,Sex,Tafel,Zins,1)*D56)</f>
        <v>0</v>
      </c>
      <c r="F56" s="17">
        <f t="shared" si="0"/>
        <v>0</v>
      </c>
      <c r="G56" s="14">
        <f t="shared" si="5"/>
        <v>0</v>
      </c>
      <c r="H56" s="17" cm="1">
        <f t="array" ref="H56">F56+alpha*t*BJB*Act_axn_k(x+A56,MAX(5-A56,0),Sex,Tafel,Zins,1)/Act_axn_k(x,5,Sex,Tafel,Zins,1)</f>
        <v>0</v>
      </c>
      <c r="I56" s="20">
        <f t="shared" si="7"/>
        <v>1</v>
      </c>
      <c r="J56" s="17">
        <f t="shared" si="8"/>
        <v>0</v>
      </c>
      <c r="K56" s="17">
        <f t="shared" si="6"/>
        <v>0</v>
      </c>
      <c r="L56" s="17">
        <f t="shared" si="9"/>
        <v>0</v>
      </c>
    </row>
    <row r="57" spans="1:12" x14ac:dyDescent="0.25">
      <c r="A57">
        <v>41</v>
      </c>
      <c r="B57" s="14" cm="1">
        <f t="array" ref="B57">IF(A57&lt;=n,act_nGrAx(x+$A57,MAX(0,n-$A57),Sex,Tafel,Zins)+Act_Dx(x+n,Sex,Tafel,Zins)/Act_Dx(x+$A57,Sex,Tafel,Zins),0)</f>
        <v>0</v>
      </c>
      <c r="C57" s="21" cm="1">
        <f t="array" ref="C57">Act_axn_k(x+$A57,MAX(0,n-$A57),Sex,Tafel,Zins,1)</f>
        <v>0</v>
      </c>
      <c r="D57" s="21" cm="1">
        <f t="array" ref="D57">Act_axn_k(x+$A57,MAX(0,t-$A57),Sex,Tafel,Zins,1)</f>
        <v>0</v>
      </c>
      <c r="E57" s="14" cm="1">
        <f t="array" ref="E57">B57-P_xt*D57+gamma2*(C57-Act_axn_k(x,n,Sex,Tafel,Zins,1)/Act_axn_k(x,t,Sex,Tafel,Zins,1)*D57)</f>
        <v>0</v>
      </c>
      <c r="F57" s="17">
        <f t="shared" si="0"/>
        <v>0</v>
      </c>
      <c r="G57" s="14">
        <f t="shared" si="5"/>
        <v>0</v>
      </c>
      <c r="H57" s="17" cm="1">
        <f t="array" ref="H57">F57+alpha*t*BJB*Act_axn_k(x+A57,MAX(5-A57,0),Sex,Tafel,Zins,1)/Act_axn_k(x,5,Sex,Tafel,Zins,1)</f>
        <v>0</v>
      </c>
      <c r="I57" s="20">
        <f t="shared" si="7"/>
        <v>1</v>
      </c>
      <c r="J57" s="17">
        <f t="shared" si="8"/>
        <v>0</v>
      </c>
      <c r="K57" s="17">
        <f t="shared" si="6"/>
        <v>0</v>
      </c>
      <c r="L57" s="17">
        <f t="shared" si="9"/>
        <v>0</v>
      </c>
    </row>
    <row r="58" spans="1:12" x14ac:dyDescent="0.25">
      <c r="A58">
        <v>42</v>
      </c>
      <c r="B58" s="14" cm="1">
        <f t="array" ref="B58">IF(A58&lt;=n,act_nGrAx(x+$A58,MAX(0,n-$A58),Sex,Tafel,Zins)+Act_Dx(x+n,Sex,Tafel,Zins)/Act_Dx(x+$A58,Sex,Tafel,Zins),0)</f>
        <v>0</v>
      </c>
      <c r="C58" s="21" cm="1">
        <f t="array" ref="C58">Act_axn_k(x+$A58,MAX(0,n-$A58),Sex,Tafel,Zins,1)</f>
        <v>0</v>
      </c>
      <c r="D58" s="21" cm="1">
        <f t="array" ref="D58">Act_axn_k(x+$A58,MAX(0,t-$A58),Sex,Tafel,Zins,1)</f>
        <v>0</v>
      </c>
      <c r="E58" s="14" cm="1">
        <f t="array" ref="E58">B58-P_xt*D58+gamma2*(C58-Act_axn_k(x,n,Sex,Tafel,Zins,1)/Act_axn_k(x,t,Sex,Tafel,Zins,1)*D58)</f>
        <v>0</v>
      </c>
      <c r="F58" s="17">
        <f t="shared" si="0"/>
        <v>0</v>
      </c>
      <c r="G58" s="14">
        <f t="shared" si="5"/>
        <v>0</v>
      </c>
      <c r="H58" s="17" cm="1">
        <f t="array" ref="H58">F58+alpha*t*BJB*Act_axn_k(x+A58,MAX(5-A58,0),Sex,Tafel,Zins,1)/Act_axn_k(x,5,Sex,Tafel,Zins,1)</f>
        <v>0</v>
      </c>
      <c r="I58" s="20">
        <f t="shared" si="7"/>
        <v>1</v>
      </c>
      <c r="J58" s="17">
        <f t="shared" si="8"/>
        <v>0</v>
      </c>
      <c r="K58" s="17">
        <f t="shared" si="6"/>
        <v>0</v>
      </c>
      <c r="L58" s="17">
        <f t="shared" si="9"/>
        <v>0</v>
      </c>
    </row>
    <row r="59" spans="1:12" x14ac:dyDescent="0.25">
      <c r="A59">
        <v>43</v>
      </c>
      <c r="B59" s="14" cm="1">
        <f t="array" ref="B59">IF(A59&lt;=n,act_nGrAx(x+$A59,MAX(0,n-$A59),Sex,Tafel,Zins)+Act_Dx(x+n,Sex,Tafel,Zins)/Act_Dx(x+$A59,Sex,Tafel,Zins),0)</f>
        <v>0</v>
      </c>
      <c r="C59" s="21" cm="1">
        <f t="array" ref="C59">Act_axn_k(x+$A59,MAX(0,n-$A59),Sex,Tafel,Zins,1)</f>
        <v>0</v>
      </c>
      <c r="D59" s="21" cm="1">
        <f t="array" ref="D59">Act_axn_k(x+$A59,MAX(0,t-$A59),Sex,Tafel,Zins,1)</f>
        <v>0</v>
      </c>
      <c r="E59" s="14" cm="1">
        <f t="array" ref="E59">B59-P_xt*D59+gamma2*(C59-Act_axn_k(x,n,Sex,Tafel,Zins,1)/Act_axn_k(x,t,Sex,Tafel,Zins,1)*D59)</f>
        <v>0</v>
      </c>
      <c r="F59" s="17">
        <f t="shared" si="0"/>
        <v>0</v>
      </c>
      <c r="G59" s="14">
        <f t="shared" si="5"/>
        <v>0</v>
      </c>
      <c r="H59" s="17" cm="1">
        <f t="array" ref="H59">F59+alpha*t*BJB*Act_axn_k(x+A59,MAX(5-A59,0),Sex,Tafel,Zins,1)/Act_axn_k(x,5,Sex,Tafel,Zins,1)</f>
        <v>0</v>
      </c>
      <c r="I59" s="20">
        <f t="shared" si="7"/>
        <v>1</v>
      </c>
      <c r="J59" s="17">
        <f t="shared" si="8"/>
        <v>0</v>
      </c>
      <c r="K59" s="17">
        <f t="shared" si="6"/>
        <v>0</v>
      </c>
      <c r="L59" s="17">
        <f t="shared" si="9"/>
        <v>0</v>
      </c>
    </row>
    <row r="60" spans="1:12" x14ac:dyDescent="0.25">
      <c r="A60">
        <v>44</v>
      </c>
      <c r="B60" s="14" cm="1">
        <f t="array" ref="B60">IF(A60&lt;=n,act_nGrAx(x+$A60,MAX(0,n-$A60),Sex,Tafel,Zins)+Act_Dx(x+n,Sex,Tafel,Zins)/Act_Dx(x+$A60,Sex,Tafel,Zins),0)</f>
        <v>0</v>
      </c>
      <c r="C60" s="21" cm="1">
        <f t="array" ref="C60">Act_axn_k(x+$A60,MAX(0,n-$A60),Sex,Tafel,Zins,1)</f>
        <v>0</v>
      </c>
      <c r="D60" s="21" cm="1">
        <f t="array" ref="D60">Act_axn_k(x+$A60,MAX(0,t-$A60),Sex,Tafel,Zins,1)</f>
        <v>0</v>
      </c>
      <c r="E60" s="14" cm="1">
        <f t="array" ref="E60">B60-P_xt*D60+gamma2*(C60-Act_axn_k(x,n,Sex,Tafel,Zins,1)/Act_axn_k(x,t,Sex,Tafel,Zins,1)*D60)</f>
        <v>0</v>
      </c>
      <c r="F60" s="17">
        <f t="shared" si="0"/>
        <v>0</v>
      </c>
      <c r="G60" s="14">
        <f t="shared" si="5"/>
        <v>0</v>
      </c>
      <c r="H60" s="17" cm="1">
        <f t="array" ref="H60">F60+alpha*t*BJB*Act_axn_k(x+A60,MAX(5-A60,0),Sex,Tafel,Zins,1)/Act_axn_k(x,5,Sex,Tafel,Zins,1)</f>
        <v>0</v>
      </c>
      <c r="I60" s="20">
        <f t="shared" si="7"/>
        <v>1</v>
      </c>
      <c r="J60" s="17">
        <f t="shared" si="8"/>
        <v>0</v>
      </c>
      <c r="K60" s="17">
        <f t="shared" si="6"/>
        <v>0</v>
      </c>
      <c r="L60" s="17">
        <f t="shared" si="9"/>
        <v>0</v>
      </c>
    </row>
    <row r="61" spans="1:12" x14ac:dyDescent="0.25">
      <c r="A61">
        <v>45</v>
      </c>
      <c r="B61" s="14" cm="1">
        <f t="array" ref="B61">IF(A61&lt;=n,act_nGrAx(x+$A61,MAX(0,n-$A61),Sex,Tafel,Zins)+Act_Dx(x+n,Sex,Tafel,Zins)/Act_Dx(x+$A61,Sex,Tafel,Zins),0)</f>
        <v>0</v>
      </c>
      <c r="C61" s="21" cm="1">
        <f t="array" ref="C61">Act_axn_k(x+$A61,MAX(0,n-$A61),Sex,Tafel,Zins,1)</f>
        <v>0</v>
      </c>
      <c r="D61" s="21" cm="1">
        <f t="array" ref="D61">Act_axn_k(x+$A61,MAX(0,t-$A61),Sex,Tafel,Zins,1)</f>
        <v>0</v>
      </c>
      <c r="E61" s="14" cm="1">
        <f t="array" ref="E61">B61-P_xt*D61+gamma2*(C61-Act_axn_k(x,n,Sex,Tafel,Zins,1)/Act_axn_k(x,t,Sex,Tafel,Zins,1)*D61)</f>
        <v>0</v>
      </c>
      <c r="F61" s="17">
        <f t="shared" si="0"/>
        <v>0</v>
      </c>
      <c r="G61" s="14">
        <f t="shared" si="5"/>
        <v>0</v>
      </c>
      <c r="H61" s="17" cm="1">
        <f t="array" ref="H61">F61+alpha*t*BJB*Act_axn_k(x+A61,MAX(5-A61,0),Sex,Tafel,Zins,1)/Act_axn_k(x,5,Sex,Tafel,Zins,1)</f>
        <v>0</v>
      </c>
      <c r="I61" s="20">
        <f t="shared" si="7"/>
        <v>1</v>
      </c>
      <c r="J61" s="17">
        <f t="shared" si="8"/>
        <v>0</v>
      </c>
      <c r="K61" s="17">
        <f t="shared" si="6"/>
        <v>0</v>
      </c>
      <c r="L61" s="17">
        <f t="shared" si="9"/>
        <v>0</v>
      </c>
    </row>
    <row r="62" spans="1:12" x14ac:dyDescent="0.25">
      <c r="A62">
        <v>46</v>
      </c>
      <c r="B62" s="14" cm="1">
        <f t="array" ref="B62">IF(A62&lt;=n,act_nGrAx(x+$A62,MAX(0,n-$A62),Sex,Tafel,Zins)+Act_Dx(x+n,Sex,Tafel,Zins)/Act_Dx(x+$A62,Sex,Tafel,Zins),0)</f>
        <v>0</v>
      </c>
      <c r="C62" s="21" cm="1">
        <f t="array" ref="C62">Act_axn_k(x+$A62,MAX(0,n-$A62),Sex,Tafel,Zins,1)</f>
        <v>0</v>
      </c>
      <c r="D62" s="21" cm="1">
        <f t="array" ref="D62">Act_axn_k(x+$A62,MAX(0,t-$A62),Sex,Tafel,Zins,1)</f>
        <v>0</v>
      </c>
      <c r="E62" s="14" cm="1">
        <f t="array" ref="E62">B62-P_xt*D62+gamma2*(C62-Act_axn_k(x,n,Sex,Tafel,Zins,1)/Act_axn_k(x,t,Sex,Tafel,Zins,1)*D62)</f>
        <v>0</v>
      </c>
      <c r="F62" s="17">
        <f t="shared" si="0"/>
        <v>0</v>
      </c>
      <c r="G62" s="14">
        <f t="shared" si="5"/>
        <v>0</v>
      </c>
      <c r="H62" s="17" cm="1">
        <f t="array" ref="H62">F62+alpha*t*BJB*Act_axn_k(x+A62,MAX(5-A62,0),Sex,Tafel,Zins,1)/Act_axn_k(x,5,Sex,Tafel,Zins,1)</f>
        <v>0</v>
      </c>
      <c r="I62" s="20">
        <f t="shared" si="7"/>
        <v>1</v>
      </c>
      <c r="J62" s="17">
        <f t="shared" si="8"/>
        <v>0</v>
      </c>
      <c r="K62" s="17">
        <f t="shared" si="6"/>
        <v>0</v>
      </c>
      <c r="L62" s="17">
        <f t="shared" si="9"/>
        <v>0</v>
      </c>
    </row>
    <row r="63" spans="1:12" x14ac:dyDescent="0.25">
      <c r="A63">
        <v>47</v>
      </c>
      <c r="B63" s="14" cm="1">
        <f t="array" ref="B63">IF(A63&lt;=n,act_nGrAx(x+$A63,MAX(0,n-$A63),Sex,Tafel,Zins)+Act_Dx(x+n,Sex,Tafel,Zins)/Act_Dx(x+$A63,Sex,Tafel,Zins),0)</f>
        <v>0</v>
      </c>
      <c r="C63" s="21" cm="1">
        <f t="array" ref="C63">Act_axn_k(x+$A63,MAX(0,n-$A63),Sex,Tafel,Zins,1)</f>
        <v>0</v>
      </c>
      <c r="D63" s="21" cm="1">
        <f t="array" ref="D63">Act_axn_k(x+$A63,MAX(0,t-$A63),Sex,Tafel,Zins,1)</f>
        <v>0</v>
      </c>
      <c r="E63" s="14" cm="1">
        <f t="array" ref="E63">B63-P_xt*D63+gamma2*(C63-Act_axn_k(x,n,Sex,Tafel,Zins,1)/Act_axn_k(x,t,Sex,Tafel,Zins,1)*D63)</f>
        <v>0</v>
      </c>
      <c r="F63" s="17">
        <f t="shared" si="0"/>
        <v>0</v>
      </c>
      <c r="G63" s="14">
        <f t="shared" si="5"/>
        <v>0</v>
      </c>
      <c r="H63" s="17" cm="1">
        <f t="array" ref="H63">F63+alpha*t*BJB*Act_axn_k(x+A63,MAX(5-A63,0),Sex,Tafel,Zins,1)/Act_axn_k(x,5,Sex,Tafel,Zins,1)</f>
        <v>0</v>
      </c>
      <c r="I63" s="20">
        <f t="shared" si="7"/>
        <v>1</v>
      </c>
      <c r="J63" s="17">
        <f t="shared" si="8"/>
        <v>0</v>
      </c>
      <c r="K63" s="17">
        <f t="shared" si="6"/>
        <v>0</v>
      </c>
      <c r="L63" s="17">
        <f t="shared" si="9"/>
        <v>0</v>
      </c>
    </row>
    <row r="64" spans="1:12" x14ac:dyDescent="0.25">
      <c r="A64">
        <v>48</v>
      </c>
      <c r="B64" s="14" cm="1">
        <f t="array" ref="B64">IF(A64&lt;=n,act_nGrAx(x+$A64,MAX(0,n-$A64),Sex,Tafel,Zins)+Act_Dx(x+n,Sex,Tafel,Zins)/Act_Dx(x+$A64,Sex,Tafel,Zins),0)</f>
        <v>0</v>
      </c>
      <c r="C64" s="21" cm="1">
        <f t="array" ref="C64">Act_axn_k(x+$A64,MAX(0,n-$A64),Sex,Tafel,Zins,1)</f>
        <v>0</v>
      </c>
      <c r="D64" s="21" cm="1">
        <f t="array" ref="D64">Act_axn_k(x+$A64,MAX(0,t-$A64),Sex,Tafel,Zins,1)</f>
        <v>0</v>
      </c>
      <c r="E64" s="14" cm="1">
        <f t="array" ref="E64">B64-P_xt*D64+gamma2*(C64-Act_axn_k(x,n,Sex,Tafel,Zins,1)/Act_axn_k(x,t,Sex,Tafel,Zins,1)*D64)</f>
        <v>0</v>
      </c>
      <c r="F64" s="17">
        <f t="shared" si="0"/>
        <v>0</v>
      </c>
      <c r="G64" s="14">
        <f t="shared" si="5"/>
        <v>0</v>
      </c>
      <c r="H64" s="17" cm="1">
        <f t="array" ref="H64">F64+alpha*t*BJB*Act_axn_k(x+A64,MAX(5-A64,0),Sex,Tafel,Zins,1)/Act_axn_k(x,5,Sex,Tafel,Zins,1)</f>
        <v>0</v>
      </c>
      <c r="I64" s="20">
        <f t="shared" si="7"/>
        <v>1</v>
      </c>
      <c r="J64" s="17">
        <f t="shared" si="8"/>
        <v>0</v>
      </c>
      <c r="K64" s="17">
        <f t="shared" si="6"/>
        <v>0</v>
      </c>
      <c r="L64" s="17">
        <f t="shared" si="9"/>
        <v>0</v>
      </c>
    </row>
    <row r="65" spans="1:12" x14ac:dyDescent="0.25">
      <c r="A65">
        <v>49</v>
      </c>
      <c r="B65" s="14" cm="1">
        <f t="array" ref="B65">IF(A65&lt;=n,act_nGrAx(x+$A65,MAX(0,n-$A65),Sex,Tafel,Zins)+Act_Dx(x+n,Sex,Tafel,Zins)/Act_Dx(x+$A65,Sex,Tafel,Zins),0)</f>
        <v>0</v>
      </c>
      <c r="C65" s="21" cm="1">
        <f t="array" ref="C65">Act_axn_k(x+$A65,MAX(0,n-$A65),Sex,Tafel,Zins,1)</f>
        <v>0</v>
      </c>
      <c r="D65" s="21" cm="1">
        <f t="array" ref="D65">Act_axn_k(x+$A65,MAX(0,t-$A65),Sex,Tafel,Zins,1)</f>
        <v>0</v>
      </c>
      <c r="E65" s="14" cm="1">
        <f t="array" ref="E65">B65-P_xt*D65+gamma2*(C65-Act_axn_k(x,n,Sex,Tafel,Zins,1)/Act_axn_k(x,t,Sex,Tafel,Zins,1)*D65)</f>
        <v>0</v>
      </c>
      <c r="F65" s="17">
        <f t="shared" si="0"/>
        <v>0</v>
      </c>
      <c r="G65" s="14">
        <f t="shared" si="5"/>
        <v>0</v>
      </c>
      <c r="H65" s="17" cm="1">
        <f t="array" ref="H65">F65+alpha*t*BJB*Act_axn_k(x+A65,MAX(5-A65,0),Sex,Tafel,Zins,1)/Act_axn_k(x,5,Sex,Tafel,Zins,1)</f>
        <v>0</v>
      </c>
      <c r="I65" s="20">
        <f t="shared" si="7"/>
        <v>1</v>
      </c>
      <c r="J65" s="17">
        <f t="shared" si="8"/>
        <v>0</v>
      </c>
      <c r="K65" s="17">
        <f t="shared" si="6"/>
        <v>0</v>
      </c>
      <c r="L65" s="17">
        <f t="shared" si="9"/>
        <v>0</v>
      </c>
    </row>
    <row r="66" spans="1:12" x14ac:dyDescent="0.25">
      <c r="A66">
        <v>50</v>
      </c>
      <c r="B66" s="14" cm="1">
        <f t="array" ref="B66">IF(A66&lt;=n,act_nGrAx(x+$A66,MAX(0,n-$A66),Sex,Tafel,Zins)+Act_Dx(x+n,Sex,Tafel,Zins)/Act_Dx(x+$A66,Sex,Tafel,Zins),0)</f>
        <v>0</v>
      </c>
      <c r="C66" s="21" cm="1">
        <f t="array" ref="C66">Act_axn_k(x+$A66,MAX(0,n-$A66),Sex,Tafel,Zins,1)</f>
        <v>0</v>
      </c>
      <c r="D66" s="21" cm="1">
        <f t="array" ref="D66">Act_axn_k(x+$A66,MAX(0,t-$A66),Sex,Tafel,Zins,1)</f>
        <v>0</v>
      </c>
      <c r="E66" s="14" cm="1">
        <f t="array" ref="E66">B66-P_xt*D66+gamma2*(C66-Act_axn_k(x,n,Sex,Tafel,Zins,1)/Act_axn_k(x,t,Sex,Tafel,Zins,1)*D66)</f>
        <v>0</v>
      </c>
      <c r="F66" s="17">
        <f t="shared" si="0"/>
        <v>0</v>
      </c>
      <c r="G66" s="14">
        <f t="shared" si="5"/>
        <v>0</v>
      </c>
      <c r="H66" s="17" cm="1">
        <f t="array" ref="H66">F66+alpha*t*BJB*Act_axn_k(x+A66,MAX(5-A66,0),Sex,Tafel,Zins,1)/Act_axn_k(x,5,Sex,Tafel,Zins,1)</f>
        <v>0</v>
      </c>
      <c r="I66" s="20">
        <f t="shared" si="7"/>
        <v>1</v>
      </c>
      <c r="J66" s="17">
        <f t="shared" si="8"/>
        <v>0</v>
      </c>
      <c r="K66" s="17">
        <f t="shared" si="6"/>
        <v>0</v>
      </c>
      <c r="L66" s="17">
        <f t="shared" si="9"/>
        <v>0</v>
      </c>
    </row>
  </sheetData>
  <conditionalFormatting sqref="A16:L66">
    <cfRule type="expression" dxfId="2" priority="1">
      <formula>$A16&gt;n</formula>
    </cfRule>
    <cfRule type="expression" dxfId="1" priority="2">
      <formula>$A16=n</formula>
    </cfRule>
    <cfRule type="expression" dxfId="0" priority="3">
      <formula>$A16=t</formula>
    </cfRule>
  </conditionalFormatting>
  <dataValidations count="2">
    <dataValidation type="list" allowBlank="1" showInputMessage="1" showErrorMessage="1" sqref="B5" xr:uid="{01A88204-4895-42C4-A29A-4E373E9EE946}">
      <formula1>"M,F"</formula1>
    </dataValidation>
    <dataValidation type="list" allowBlank="1" showInputMessage="1" showErrorMessage="1" sqref="B9" xr:uid="{948B63C1-9665-42EE-B260-2F130E106642}">
      <formula1>"1,2,4,12"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E127"/>
  <sheetViews>
    <sheetView workbookViewId="0">
      <pane xSplit="1" ySplit="3" topLeftCell="B4" activePane="bottomRight" state="frozen"/>
      <selection pane="topRight" activeCell="U4" sqref="U4"/>
      <selection pane="bottomLeft" activeCell="U4" sqref="U4"/>
      <selection pane="bottomRight" activeCell="E19" sqref="E19"/>
    </sheetView>
  </sheetViews>
  <sheetFormatPr baseColWidth="10" defaultColWidth="15.88671875" defaultRowHeight="13.2" x14ac:dyDescent="0.25"/>
  <cols>
    <col min="1" max="16384" width="15.88671875" style="1"/>
  </cols>
  <sheetData>
    <row r="3" spans="1:5" x14ac:dyDescent="0.25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</row>
    <row r="4" spans="1:5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b28b568-2cda-471e-a8ab-a78d69cc36dd">
      <Terms xmlns="http://schemas.microsoft.com/office/infopath/2007/PartnerControls"/>
    </lcf76f155ced4ddcb4097134ff3c332f>
    <TaxCatchAll xmlns="57803110-eace-407b-ac46-ae358bd191d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0278233FFA3FB4DB81CC814F6D6CF35" ma:contentTypeVersion="16" ma:contentTypeDescription="Ein neues Dokument erstellen." ma:contentTypeScope="" ma:versionID="97388e9e0f43c4869371620cd262e44c">
  <xsd:schema xmlns:xsd="http://www.w3.org/2001/XMLSchema" xmlns:xs="http://www.w3.org/2001/XMLSchema" xmlns:p="http://schemas.microsoft.com/office/2006/metadata/properties" xmlns:ns2="fb28b568-2cda-471e-a8ab-a78d69cc36dd" xmlns:ns3="57803110-eace-407b-ac46-ae358bd191dc" targetNamespace="http://schemas.microsoft.com/office/2006/metadata/properties" ma:root="true" ma:fieldsID="7ca54ca74d9fa06d60d760be719f5985" ns2:_="" ns3:_="">
    <xsd:import namespace="fb28b568-2cda-471e-a8ab-a78d69cc36dd"/>
    <xsd:import namespace="57803110-eace-407b-ac46-ae358bd191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28b568-2cda-471e-a8ab-a78d69cc36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137cdba1-ceb5-45fd-90f0-f91e20144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803110-eace-407b-ac46-ae358bd191d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405b997d-52d8-424c-ab84-6e96f2ae77c2}" ma:internalName="TaxCatchAll" ma:showField="CatchAllData" ma:web="57803110-eace-407b-ac46-ae358bd191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4BFF3A-74EC-44EA-92F6-B16DFAFA7E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E4EE78-46A4-4326-80E2-331BB014CB14}">
  <ds:schemaRefs>
    <ds:schemaRef ds:uri="http://schemas.microsoft.com/office/2006/metadata/properties"/>
    <ds:schemaRef ds:uri="http://schemas.microsoft.com/office/infopath/2007/PartnerControls"/>
    <ds:schemaRef ds:uri="fb28b568-2cda-471e-a8ab-a78d69cc36dd"/>
    <ds:schemaRef ds:uri="57803110-eace-407b-ac46-ae358bd191dc"/>
  </ds:schemaRefs>
</ds:datastoreItem>
</file>

<file path=customXml/itemProps3.xml><?xml version="1.0" encoding="utf-8"?>
<ds:datastoreItem xmlns:ds="http://schemas.openxmlformats.org/officeDocument/2006/customXml" ds:itemID="{7B7754D7-0AA2-4ADE-AC22-F5E85CF7EF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28b568-2cda-471e-a8ab-a78d69cc36dd"/>
    <ds:schemaRef ds:uri="57803110-eace-407b-ac46-ae358bd191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23</vt:i4>
      </vt:variant>
    </vt:vector>
  </HeadingPairs>
  <TitlesOfParts>
    <vt:vector size="25" baseType="lpstr">
      <vt:lpstr>Kalkulation</vt:lpstr>
      <vt:lpstr>Tafeln</vt:lpstr>
      <vt:lpstr>alpha</vt:lpstr>
      <vt:lpstr>B_xt</vt:lpstr>
      <vt:lpstr>beta1</vt:lpstr>
      <vt:lpstr>BJB</vt:lpstr>
      <vt:lpstr>gamma1</vt:lpstr>
      <vt:lpstr>gamma2</vt:lpstr>
      <vt:lpstr>gamma3</vt:lpstr>
      <vt:lpstr>k</vt:lpstr>
      <vt:lpstr>m_Tafeln</vt:lpstr>
      <vt:lpstr>MinAlterFlex</vt:lpstr>
      <vt:lpstr>MinRLZFlex</vt:lpstr>
      <vt:lpstr>n</vt:lpstr>
      <vt:lpstr>P_xt</vt:lpstr>
      <vt:lpstr>ratzu</vt:lpstr>
      <vt:lpstr>Sex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Arno Rasch</cp:lastModifiedBy>
  <cp:revision/>
  <dcterms:created xsi:type="dcterms:W3CDTF">1996-10-17T05:27:31Z</dcterms:created>
  <dcterms:modified xsi:type="dcterms:W3CDTF">2026-02-23T19:52:10Z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0x01010010278233FFA3FB4DB81CC814F6D6CF35</vt:lpwstr>
  </property>
  <property fmtid="{D5CDD505-2E9C-101B-9397-08002B2CF9AE}" pid="3" name="MediaServiceImageTags">
    <vt:lpwstr/>
  </property>
</Properties>
</file>